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2.42578125" customWidth="1"/>
    <col min="18" max="18" width="15.5703125" customWidth="1"/>
    <col min="19" max="19" width="15.28515625" customWidth="1"/>
    <col min="20" max="20" width="14.140625" customWidth="1"/>
    <col min="21" max="21" width="15.28515625" customWidth="1"/>
    <col min="22" max="22" width="11.5703125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8.140625" customWidth="1"/>
    <col min="33" max="33" width="11.42578125" customWidth="1"/>
    <col min="34" max="34" width="11.42578125" customWidth="1"/>
    <col min="35" max="35" width="11.42578125" customWidth="1"/>
    <col min="36" max="36" width="11.42578125" customWidth="1"/>
    <col min="37" max="37" width="11.42578125" customWidth="1"/>
    <col min="38" max="38" width="11.42578125" customWidth="1"/>
    <col min="39" max="39" width="11.42578125" customWidth="1"/>
    <col min="40" max="40" width="13.0" customWidth="1"/>
    <col min="41" max="41" width="20.0" customWidth="1"/>
    <col min="42" max="42" width="24.0" customWidth="1"/>
    <col min="43" max="43" width="105.140625" customWidth="1"/>
  </cols>
  <sheetData>
    <row r="1">
      <c r="A1" t="inlineStr" s="1">
        <is>
          <t>CONJUNTO CERRADO Montecielo E9 T1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4">
        <is>
          <t>ABONOS CR CONSTRUCTOR</t>
        </is>
      </c>
      <c r="R4" t="inlineStr" s="4">
        <is>
          <t>DESEMBOLSO SUBSIDIO CAJAS DE COMPENSACION</t>
        </is>
      </c>
      <c r="S4" t="inlineStr" s="4">
        <is>
          <t>DESEMBOLSO SUBSIDIOS GOBIERNO</t>
        </is>
      </c>
      <c r="T4" t="inlineStr" s="2">
        <is>
          <t>AJUSTE</t>
        </is>
      </c>
      <c r="U4" t="inlineStr" s="2">
        <is>
          <t>TOTAL RECIBIDO</t>
        </is>
      </c>
      <c r="V4" t="inlineStr" s="2">
        <is>
          <t>SALDO POR COBRAR</t>
        </is>
      </c>
      <c r="W4" t="inlineStr" s="2">
        <is>
          <t>RECURSOS PROPIOS</t>
        </is>
      </c>
      <c r="X4" t="inlineStr" s="2">
        <is>
          <t>CREDITO BANCARIO</t>
        </is>
      </c>
      <c r="Y4" t="inlineStr" s="2">
        <is>
          <t>CAJA HONOR</t>
        </is>
      </c>
      <c r="Z4" t="inlineStr" s="6">
        <is>
          <t>SUBSIDIOS MCY</t>
        </is>
      </c>
      <c r="AA4" t="inlineStr" s="6">
        <is>
          <t>SUBSIDIOS CAJA COMP</t>
        </is>
      </c>
      <c r="AB4" t="inlineStr" s="6">
        <is>
          <t>ENTIDAD</t>
        </is>
      </c>
      <c r="AC4" t="inlineStr" s="2">
        <is>
          <t>FECHA CONTRATO DE ADHESION</t>
        </is>
      </c>
      <c r="AD4" t="inlineStr" s="2">
        <is>
          <t>FECHA DE PROMESA</t>
        </is>
      </c>
      <c r="AE4" t="inlineStr" s="7">
        <is>
          <t>ENTREGA REAL</t>
        </is>
      </c>
      <c r="AF4" t="inlineStr" s="6">
        <is>
          <t>MATRIC</t>
        </is>
      </c>
      <c r="AG4" t="inlineStr" s="6">
        <is>
          <t>FECHA ESC</t>
        </is>
      </c>
      <c r="AH4" t="inlineStr" s="6">
        <is>
          <t>ESC</t>
        </is>
      </c>
      <c r="AI4" t="inlineStr" s="6">
        <is>
          <t>NOT</t>
        </is>
      </c>
      <c r="AJ4" t="inlineStr" s="6">
        <is>
          <t>FECHA C/TRADIC</t>
        </is>
      </c>
      <c r="AK4" t="inlineStr" s="6">
        <is>
          <t>FE</t>
        </is>
      </c>
      <c r="AL4" t="inlineStr" s="2">
        <is>
          <t>INTERESES</t>
        </is>
      </c>
      <c r="AM4" t="inlineStr" s="2">
        <is>
          <t>VALOR</t>
        </is>
      </c>
      <c r="AN4" t="inlineStr" s="2">
        <is>
          <t>TELEFONO</t>
        </is>
      </c>
      <c r="AO4" t="inlineStr" s="2">
        <is>
          <t>E-MAIL</t>
        </is>
      </c>
      <c r="AP4" t="inlineStr" s="2">
        <is>
          <t>CONTACTO</t>
        </is>
      </c>
      <c r="AQ4" t="inlineStr" s="2">
        <is>
          <t>OBSERVACIONES</t>
        </is>
      </c>
    </row>
    <row r="5" ht="12.75" customHeight="1">
      <c r="A5" s="8"/>
      <c r="B5" s="8"/>
      <c r="C5" t="inlineStr" s="8">
        <is>
          <t>101</t>
        </is>
      </c>
      <c r="D5" s="9">
        <v>55.20</v>
      </c>
      <c r="E5" s="8"/>
      <c r="F5" s="8"/>
      <c r="G5" s="8"/>
      <c r="H5" s="8"/>
      <c r="I5" s="9">
        <v>192172500.00</v>
      </c>
      <c r="J5" s="8"/>
      <c r="K5" s="8"/>
      <c r="L5" s="8"/>
      <c r="M5" s="9"/>
      <c r="N5" s="9"/>
      <c r="O5" s="8"/>
      <c r="P5" s="8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8"/>
      <c r="AC5" s="8"/>
      <c r="AD5" s="8"/>
      <c r="AE5" s="8"/>
      <c r="AF5" s="8"/>
      <c r="AG5" s="8"/>
      <c r="AH5" s="8"/>
      <c r="AI5" s="8"/>
      <c r="AJ5" s="8"/>
      <c r="AK5" s="8"/>
      <c r="AL5" s="9"/>
      <c r="AM5" s="9"/>
      <c r="AN5" s="8"/>
      <c r="AO5" s="8"/>
      <c r="AP5" s="8"/>
      <c r="AQ5" s="8"/>
    </row>
    <row r="6" ht="12.75" customHeight="1">
      <c r="A6" t="inlineStr" s="8">
        <is>
          <t>002010383530</t>
        </is>
      </c>
      <c r="B6" s="8"/>
      <c r="C6" t="inlineStr" s="8">
        <is>
          <t>804</t>
        </is>
      </c>
      <c r="D6" s="9"/>
      <c r="E6" t="inlineStr" s="8">
        <is>
          <t>804001</t>
        </is>
      </c>
      <c r="F6" t="inlineStr" s="8">
        <is>
          <t>CARDONA CAMILA</t>
        </is>
      </c>
      <c r="G6" s="8"/>
      <c r="H6" s="8"/>
      <c r="I6" s="9"/>
      <c r="J6" s="8"/>
      <c r="K6" s="8"/>
      <c r="L6" s="8"/>
      <c r="M6" s="9"/>
      <c r="N6" s="9"/>
      <c r="O6" s="8"/>
      <c r="P6" s="8"/>
      <c r="Q6" s="9"/>
      <c r="R6" s="9"/>
      <c r="S6" s="9"/>
      <c r="T6" s="9"/>
      <c r="U6" s="9">
        <f>SUM(M6,N6,Q6,R6,S6,T6)</f>
      </c>
      <c r="V6" s="9">
        <f>I6-U6</f>
      </c>
      <c r="W6" s="9">
        <f>V6-X6-Y6-Z6-AA6</f>
      </c>
      <c r="X6" s="9"/>
      <c r="Y6" s="9"/>
      <c r="Z6" s="9"/>
      <c r="AA6" s="9"/>
      <c r="AB6" s="8"/>
      <c r="AC6" s="8"/>
      <c r="AD6" s="8"/>
      <c r="AE6" s="8"/>
      <c r="AF6" s="8"/>
      <c r="AG6" s="8"/>
      <c r="AH6" s="8"/>
      <c r="AI6" s="8"/>
      <c r="AJ6" s="8"/>
      <c r="AK6" s="8"/>
      <c r="AL6" s="9"/>
      <c r="AM6" s="9"/>
      <c r="AN6" t="inlineStr" s="8">
        <is>
          <t>3008040001</t>
        </is>
      </c>
      <c r="AO6" s="8"/>
      <c r="AP6" s="8"/>
      <c r="AQ6" t="inlineStr" s="8">
        <is>
          <t>OBSERVACION DE TEST</t>
        </is>
      </c>
    </row>
    <row r="7" ht="13.15" customHeight="1">
      <c r="A7" s="8"/>
      <c r="B7" s="8"/>
      <c r="C7" s="8"/>
      <c r="D7" s="9">
        <f>SUM(D5:D6)</f>
      </c>
      <c r="E7" s="8"/>
      <c r="F7" t="inlineStr" s="8">
        <is>
          <t>TOTAL VENTAS</t>
        </is>
      </c>
      <c r="G7" s="8"/>
      <c r="H7" s="8"/>
      <c r="I7" s="9">
        <f>SUM(I5:I6)</f>
      </c>
      <c r="J7" s="8"/>
      <c r="K7" s="8"/>
      <c r="L7" s="8"/>
      <c r="M7" s="9"/>
      <c r="N7" s="9">
        <f>SUM(N5:N6)</f>
      </c>
      <c r="O7" s="8"/>
      <c r="P7" s="8"/>
      <c r="Q7" s="9">
        <f>SUM(Q5:Q6)</f>
      </c>
      <c r="R7" s="9">
        <f>SUM(R5:R6)</f>
      </c>
      <c r="S7" s="9">
        <f>SUM(S5:S6)</f>
      </c>
      <c r="T7" s="9">
        <f>SUM(T5:T6)</f>
      </c>
      <c r="U7" s="9">
        <f>SUM(U5:U6)</f>
      </c>
      <c r="V7" s="9">
        <f>SUM(V5:V6)</f>
      </c>
      <c r="W7" s="9">
        <f>SUM(W5:W6)</f>
      </c>
      <c r="X7" s="9">
        <f>SUM(X5:X6)</f>
      </c>
      <c r="Y7" s="9">
        <f>SUM(Y5:Y6)</f>
      </c>
      <c r="Z7" s="9">
        <f>SUM(Z5:Z6)</f>
      </c>
      <c r="AA7" s="9">
        <f>SUM(AA5:AA6)</f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9">
        <f>SUM(AL5:AL6)</f>
      </c>
      <c r="AM7" s="9">
        <f>SUM(AM5:AM6)</f>
      </c>
      <c r="AN7" s="8"/>
      <c r="AO7" s="8"/>
      <c r="AP7" s="8"/>
      <c r="AQ7" s="8"/>
    </row>
    <row r="8" ht="13.15" customHeight="1">
      <c r="A8" s="8"/>
      <c r="B8" s="8"/>
      <c r="C8" s="8"/>
      <c r="D8" s="9"/>
      <c r="E8" s="8"/>
      <c r="F8" t="inlineStr" s="8">
        <is>
          <t>POR VENDER</t>
        </is>
      </c>
      <c r="G8" s="8"/>
      <c r="H8" s="8"/>
      <c r="I8" s="9"/>
      <c r="J8" s="8"/>
      <c r="K8" s="8"/>
      <c r="L8" s="8"/>
      <c r="M8" s="9"/>
      <c r="N8" s="9"/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8"/>
      <c r="AC8" s="8"/>
      <c r="AD8" s="8"/>
      <c r="AE8" s="8"/>
      <c r="AF8" s="8"/>
      <c r="AG8" s="8"/>
      <c r="AH8" s="8"/>
      <c r="AI8" s="8"/>
      <c r="AJ8" s="8"/>
      <c r="AK8" s="8"/>
      <c r="AL8" s="9"/>
      <c r="AM8" s="9"/>
      <c r="AN8" s="8"/>
      <c r="AO8" s="8"/>
      <c r="AP8" s="8"/>
      <c r="AQ8" s="8"/>
    </row>
    <row r="9" ht="13.15" customHeight="1">
      <c r="A9" s="8"/>
      <c r="B9" s="8"/>
      <c r="C9" s="8"/>
      <c r="D9" s="9">
        <f>SUM(D5:D6)</f>
      </c>
      <c r="E9" s="8"/>
      <c r="F9" t="inlineStr" s="8">
        <is>
          <t>TOTAL</t>
        </is>
      </c>
      <c r="G9" s="8"/>
      <c r="H9" s="8"/>
      <c r="I9" s="9">
        <f>SUM(I5:I6)</f>
      </c>
      <c r="J9" s="8"/>
      <c r="K9" s="8"/>
      <c r="L9" s="8"/>
      <c r="M9" s="9"/>
      <c r="N9" s="9">
        <f>SUM(N5:N6)</f>
      </c>
      <c r="O9" s="8"/>
      <c r="P9" s="8"/>
      <c r="Q9" s="9">
        <f>SUM(Q5:Q6)</f>
      </c>
      <c r="R9" s="9">
        <f>SUM(R5:R6)</f>
      </c>
      <c r="S9" s="9">
        <f>SUM(S5:S6)</f>
      </c>
      <c r="T9" s="9"/>
      <c r="U9" s="9">
        <f>SUM(U5:U6)</f>
      </c>
      <c r="V9" s="9">
        <f>SUM(V5:V6)</f>
      </c>
      <c r="W9" s="9">
        <f>SUM(W5:W6)</f>
      </c>
      <c r="X9" s="9">
        <f>SUM(X5:X6)</f>
      </c>
      <c r="Y9" s="9">
        <f>SUM(Y5:Y6)</f>
      </c>
      <c r="Z9" s="9">
        <f>SUM(Z5:Z6)</f>
      </c>
      <c r="AA9" s="9">
        <f>SUM(AA5:AA6)</f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9">
        <f>SUM(AL5:AL6)</f>
      </c>
      <c r="AM9" s="9">
        <f>SUM(AM5:AM6)</f>
      </c>
      <c r="AN9" s="8"/>
      <c r="AO9" s="8"/>
      <c r="AP9" s="8"/>
      <c r="AQ9" s="8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ht="15.0" customHeight="1">
      <c r="A11" t="inlineStr" s="1">
        <is>
          <t>NOVEDADES / OBSERVACIONES</t>
        </is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ht="13.7" customHeight="1">
      <c r="A12" t="inlineStr" s="8">
        <is>
          <t>002010383530</t>
        </is>
      </c>
      <c r="B12" s="8"/>
      <c r="C12" t="inlineStr" s="8">
        <is>
          <t>804</t>
        </is>
      </c>
      <c r="D12" s="9"/>
      <c r="E12" t="inlineStr" s="8">
        <is>
          <t>804001</t>
        </is>
      </c>
      <c r="F12" t="inlineStr" s="8">
        <is>
          <t>CARDONA CAMILA</t>
        </is>
      </c>
      <c r="G12" t="inlineStr" s="8">
        <is>
          <t>TERMIN/MUTUO AC SIN $$ ENE/2026</t>
        </is>
      </c>
      <c r="H12" s="8"/>
      <c r="I12" s="9"/>
      <c r="J12" s="8"/>
      <c r="K12" s="8"/>
      <c r="L12" t="inlineStr" s="8">
        <is>
          <t>2026-01-15</t>
        </is>
      </c>
      <c r="M12" s="9"/>
      <c r="N12" s="9"/>
      <c r="O12" s="8"/>
      <c r="P12" s="8"/>
      <c r="Q12" s="9"/>
      <c r="R12" s="9"/>
      <c r="S12" s="9"/>
      <c r="T12" s="9"/>
      <c r="U12" s="9">
        <f>SUM(M12,N12,Q12,R12,S12,T12)</f>
      </c>
      <c r="V12" s="9">
        <f>I12-U12</f>
      </c>
      <c r="W12" s="9">
        <f>V12-X12-Y12-Z12-AA12</f>
      </c>
      <c r="X12" s="9"/>
      <c r="Y12" s="9"/>
      <c r="Z12" s="9"/>
      <c r="AA12" s="9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9"/>
      <c r="AM12" s="9"/>
      <c r="AN12" t="inlineStr" s="8">
        <is>
          <t>3008040001</t>
        </is>
      </c>
      <c r="AO12" s="8"/>
      <c r="AP12" s="8"/>
      <c r="AQ12" t="inlineStr" s="8">
        <is>
          <t>TERMINACION HISTORICA REAL 804</t>
        </is>
      </c>
    </row>
  </sheetData>
</worksheet>
</file>