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7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2.42578125" customWidth="1"/>
    <col min="18" max="18" width="15.5703125" customWidth="1"/>
    <col min="19" max="19" width="15.28515625" customWidth="1"/>
    <col min="20" max="20" width="14.140625" customWidth="1"/>
    <col min="21" max="21" width="15.28515625" customWidth="1"/>
    <col min="22" max="22" width="11.5703125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8.140625" customWidth="1"/>
    <col min="33" max="33" width="11.42578125" customWidth="1"/>
    <col min="34" max="34" width="11.42578125" customWidth="1"/>
    <col min="35" max="35" width="11.42578125" customWidth="1"/>
    <col min="36" max="36" width="11.42578125" customWidth="1"/>
    <col min="37" max="37" width="11.42578125" customWidth="1"/>
    <col min="38" max="38" width="11.42578125" customWidth="1"/>
    <col min="39" max="39" width="11.42578125" customWidth="1"/>
    <col min="40" max="40" width="13.0" customWidth="1"/>
    <col min="41" max="41" width="20.0" customWidth="1"/>
    <col min="42" max="42" width="24.0" customWidth="1"/>
    <col min="43" max="43" width="105.140625" customWidth="1"/>
  </cols>
  <sheetData>
    <row r="1">
      <c r="A1" t="inlineStr" s="1">
        <is>
          <t>CONJUNTO CERRADO KSMP E9 T7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4">
        <is>
          <t>ABONOS CR CONSTRUCTOR</t>
        </is>
      </c>
      <c r="R4" t="inlineStr" s="4">
        <is>
          <t>DESEMBOLSO SUBSIDIO CAJAS DE COMPENSACION</t>
        </is>
      </c>
      <c r="S4" t="inlineStr" s="4">
        <is>
          <t>DESEMBOLSO SUBSIDIOS GOBIERNO</t>
        </is>
      </c>
      <c r="T4" t="inlineStr" s="2">
        <is>
          <t>AJUSTE</t>
        </is>
      </c>
      <c r="U4" t="inlineStr" s="2">
        <is>
          <t>TOTAL RECIBIDO</t>
        </is>
      </c>
      <c r="V4" t="inlineStr" s="2">
        <is>
          <t>SALDO POR COBRAR</t>
        </is>
      </c>
      <c r="W4" t="inlineStr" s="2">
        <is>
          <t>RECURSOS PROPIOS</t>
        </is>
      </c>
      <c r="X4" t="inlineStr" s="2">
        <is>
          <t>CREDITO BANCARIO</t>
        </is>
      </c>
      <c r="Y4" t="inlineStr" s="2">
        <is>
          <t>CAJA HONOR</t>
        </is>
      </c>
      <c r="Z4" t="inlineStr" s="6">
        <is>
          <t>SUBSIDIOS MCY</t>
        </is>
      </c>
      <c r="AA4" t="inlineStr" s="6">
        <is>
          <t>SUBSIDIOS CAJA COMP</t>
        </is>
      </c>
      <c r="AB4" t="inlineStr" s="6">
        <is>
          <t>ENTIDAD</t>
        </is>
      </c>
      <c r="AC4" t="inlineStr" s="2">
        <is>
          <t>FECHA CONTRATO DE ADHESION</t>
        </is>
      </c>
      <c r="AD4" t="inlineStr" s="2">
        <is>
          <t>FECHA DE PROMESA</t>
        </is>
      </c>
      <c r="AE4" t="inlineStr" s="7">
        <is>
          <t>ENTREGA REAL</t>
        </is>
      </c>
      <c r="AF4" t="inlineStr" s="6">
        <is>
          <t>MATRIC</t>
        </is>
      </c>
      <c r="AG4" t="inlineStr" s="6">
        <is>
          <t>FECHA ESC</t>
        </is>
      </c>
      <c r="AH4" t="inlineStr" s="6">
        <is>
          <t>ESC</t>
        </is>
      </c>
      <c r="AI4" t="inlineStr" s="6">
        <is>
          <t>NOT</t>
        </is>
      </c>
      <c r="AJ4" t="inlineStr" s="6">
        <is>
          <t>FECHA C/TRADIC</t>
        </is>
      </c>
      <c r="AK4" t="inlineStr" s="6">
        <is>
          <t>FE</t>
        </is>
      </c>
      <c r="AL4" t="inlineStr" s="2">
        <is>
          <t>INTERESES</t>
        </is>
      </c>
      <c r="AM4" t="inlineStr" s="2">
        <is>
          <t>VALOR</t>
        </is>
      </c>
      <c r="AN4" t="inlineStr" s="2">
        <is>
          <t>TELEFONO</t>
        </is>
      </c>
      <c r="AO4" t="inlineStr" s="2">
        <is>
          <t>E-MAIL</t>
        </is>
      </c>
      <c r="AP4" t="inlineStr" s="2">
        <is>
          <t>CONTACTO</t>
        </is>
      </c>
      <c r="AQ4" t="inlineStr" s="2">
        <is>
          <t>OBSERVACIONES</t>
        </is>
      </c>
    </row>
    <row r="5" ht="12.75" customHeight="1">
      <c r="A5" t="inlineStr" s="8">
        <is>
          <t>EF-WATSON</t>
        </is>
      </c>
      <c r="B5" s="8"/>
      <c r="C5" t="inlineStr" s="8">
        <is>
          <t>303</t>
        </is>
      </c>
      <c r="D5" s="9"/>
      <c r="E5" t="inlineStr" s="8">
        <is>
          <t>75692028</t>
        </is>
      </c>
      <c r="F5" t="inlineStr" s="8">
        <is>
          <t>WATSON CLEVELAND</t>
        </is>
      </c>
      <c r="G5" s="8"/>
      <c r="H5" s="8"/>
      <c r="I5" s="9"/>
      <c r="J5" s="8"/>
      <c r="K5" s="8"/>
      <c r="L5" s="8"/>
      <c r="M5" s="9"/>
      <c r="N5" s="9"/>
      <c r="O5" s="8"/>
      <c r="P5" s="8"/>
      <c r="Q5" s="9"/>
      <c r="R5" s="9"/>
      <c r="S5" s="9"/>
      <c r="T5" s="9"/>
      <c r="U5" s="9">
        <f>SUM(M5,N5,Q5,R5,S5,T5)</f>
      </c>
      <c r="V5" s="9">
        <f>I5-U5</f>
      </c>
      <c r="W5" s="9">
        <f>V5-X5-Y5-Z5-AA5</f>
      </c>
      <c r="X5" s="9"/>
      <c r="Y5" s="9"/>
      <c r="Z5" s="9"/>
      <c r="AA5" s="9"/>
      <c r="AB5" s="8"/>
      <c r="AC5" s="8"/>
      <c r="AD5" s="8"/>
      <c r="AE5" s="8"/>
      <c r="AF5" s="8"/>
      <c r="AG5" s="8"/>
      <c r="AH5" s="8"/>
      <c r="AI5" s="8"/>
      <c r="AJ5" s="8"/>
      <c r="AK5" s="8"/>
      <c r="AL5" s="9"/>
      <c r="AM5" s="9"/>
      <c r="AN5" t="inlineStr" s="8">
        <is>
          <t>3000000003</t>
        </is>
      </c>
      <c r="AO5" s="8"/>
      <c r="AP5" s="8"/>
      <c r="AQ5" t="inlineStr" s="8">
        <is>
          <t>NC6383 MAR.4/23 CESION DE LUCAS TENTACLES A CLEVELAND WATSON *ANTIC $15.000.000 *ARRAS $4'640</t>
        </is>
      </c>
    </row>
    <row r="6" ht="13.15" customHeight="1">
      <c r="A6" s="8"/>
      <c r="B6" s="8"/>
      <c r="C6" s="8"/>
      <c r="D6" s="9">
        <f>SUM(D5:D5)</f>
      </c>
      <c r="E6" s="8"/>
      <c r="F6" t="inlineStr" s="8">
        <is>
          <t>TOTAL VENTAS</t>
        </is>
      </c>
      <c r="G6" s="8"/>
      <c r="H6" s="8"/>
      <c r="I6" s="9">
        <f>SUM(I5:I5)</f>
      </c>
      <c r="J6" s="8"/>
      <c r="K6" s="8"/>
      <c r="L6" s="8"/>
      <c r="M6" s="9"/>
      <c r="N6" s="9">
        <f>SUM(N5:N5)</f>
      </c>
      <c r="O6" s="8"/>
      <c r="P6" s="8"/>
      <c r="Q6" s="9">
        <f>SUM(Q5:Q5)</f>
      </c>
      <c r="R6" s="9">
        <f>SUM(R5:R5)</f>
      </c>
      <c r="S6" s="9">
        <f>SUM(S5:S5)</f>
      </c>
      <c r="T6" s="9">
        <f>SUM(T5:T5)</f>
      </c>
      <c r="U6" s="9">
        <f>SUM(U5:U5)</f>
      </c>
      <c r="V6" s="9">
        <f>SUM(V5:V5)</f>
      </c>
      <c r="W6" s="9">
        <f>SUM(W5:W5)</f>
      </c>
      <c r="X6" s="9">
        <f>SUM(X5:X5)</f>
      </c>
      <c r="Y6" s="9">
        <f>SUM(Y5:Y5)</f>
      </c>
      <c r="Z6" s="9">
        <f>SUM(Z5:Z5)</f>
      </c>
      <c r="AA6" s="9">
        <f>SUM(AA5:AA5)</f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9">
        <f>SUM(AL5:AL5)</f>
      </c>
      <c r="AM6" s="9">
        <f>SUM(AM5:AM5)</f>
      </c>
      <c r="AN6" s="8"/>
      <c r="AO6" s="8"/>
      <c r="AP6" s="8"/>
      <c r="AQ6" s="8"/>
    </row>
    <row r="7" ht="13.15" customHeight="1">
      <c r="A7" s="8"/>
      <c r="B7" s="8"/>
      <c r="C7" s="8"/>
      <c r="D7" s="9"/>
      <c r="E7" s="8"/>
      <c r="F7" t="inlineStr" s="8">
        <is>
          <t>POR VENDER</t>
        </is>
      </c>
      <c r="G7" s="8"/>
      <c r="H7" s="8"/>
      <c r="I7" s="9"/>
      <c r="J7" s="8"/>
      <c r="K7" s="8"/>
      <c r="L7" s="8"/>
      <c r="M7" s="9"/>
      <c r="N7" s="9"/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8"/>
      <c r="AC7" s="8"/>
      <c r="AD7" s="8"/>
      <c r="AE7" s="8"/>
      <c r="AF7" s="8"/>
      <c r="AG7" s="8"/>
      <c r="AH7" s="8"/>
      <c r="AI7" s="8"/>
      <c r="AJ7" s="8"/>
      <c r="AK7" s="8"/>
      <c r="AL7" s="9"/>
      <c r="AM7" s="9"/>
      <c r="AN7" s="8"/>
      <c r="AO7" s="8"/>
      <c r="AP7" s="8"/>
      <c r="AQ7" s="8"/>
    </row>
    <row r="8" ht="13.15" customHeight="1">
      <c r="A8" s="8"/>
      <c r="B8" s="8"/>
      <c r="C8" s="8"/>
      <c r="D8" s="9">
        <f>SUM(D5:D5)</f>
      </c>
      <c r="E8" s="8"/>
      <c r="F8" t="inlineStr" s="8">
        <is>
          <t>TOTAL</t>
        </is>
      </c>
      <c r="G8" s="8"/>
      <c r="H8" s="8"/>
      <c r="I8" s="9">
        <f>SUM(I5:I5)</f>
      </c>
      <c r="J8" s="8"/>
      <c r="K8" s="8"/>
      <c r="L8" s="8"/>
      <c r="M8" s="9"/>
      <c r="N8" s="9">
        <f>SUM(N5:N5)</f>
      </c>
      <c r="O8" s="8"/>
      <c r="P8" s="8"/>
      <c r="Q8" s="9">
        <f>SUM(Q5:Q5)</f>
      </c>
      <c r="R8" s="9">
        <f>SUM(R5:R5)</f>
      </c>
      <c r="S8" s="9">
        <f>SUM(S5:S5)</f>
      </c>
      <c r="T8" s="9"/>
      <c r="U8" s="9">
        <f>SUM(U5:U5)</f>
      </c>
      <c r="V8" s="9">
        <f>SUM(V5:V5)</f>
      </c>
      <c r="W8" s="9">
        <f>SUM(W5:W5)</f>
      </c>
      <c r="X8" s="9">
        <f>SUM(X5:X5)</f>
      </c>
      <c r="Y8" s="9">
        <f>SUM(Y5:Y5)</f>
      </c>
      <c r="Z8" s="9">
        <f>SUM(Z5:Z5)</f>
      </c>
      <c r="AA8" s="9">
        <f>SUM(AA5:AA5)</f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9">
        <f>SUM(AL5:AL5)</f>
      </c>
      <c r="AM8" s="9">
        <f>SUM(AM5:AM5)</f>
      </c>
      <c r="AN8" s="8"/>
      <c r="AO8" s="8"/>
      <c r="AP8" s="8"/>
      <c r="AQ8" s="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ht="15.0" customHeight="1">
      <c r="A10" t="inlineStr" s="1">
        <is>
          <t>NOVEDADES / OBSERVACIONES</t>
        </is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ht="13.7" customHeight="1">
      <c r="A11" t="inlineStr" s="8">
        <is>
          <t>EF-LEYTON</t>
        </is>
      </c>
      <c r="B11" t="inlineStr" s="8">
        <is>
          <t>EF-TENTACLES</t>
        </is>
      </c>
      <c r="C11" t="inlineStr" s="8">
        <is>
          <t>303</t>
        </is>
      </c>
      <c r="D11" s="9"/>
      <c r="E11" t="inlineStr" s="8">
        <is>
          <t>75686638</t>
        </is>
      </c>
      <c r="F11" t="inlineStr" s="8">
        <is>
          <t>LEYTON GOMEZ MARIA JOSE</t>
        </is>
      </c>
      <c r="G11" t="inlineStr" s="8">
        <is>
          <t>*CESION/ARRAS</t>
        </is>
      </c>
      <c r="H11" s="8"/>
      <c r="I11" s="9"/>
      <c r="J11" s="8"/>
      <c r="K11" s="8"/>
      <c r="L11" t="inlineStr" s="8">
        <is>
          <t>2022-03-04</t>
        </is>
      </c>
      <c r="M11" s="9"/>
      <c r="N11" s="9"/>
      <c r="O11" s="8"/>
      <c r="P11" s="8"/>
      <c r="Q11" s="9"/>
      <c r="R11" s="9"/>
      <c r="S11" s="9"/>
      <c r="T11" s="9"/>
      <c r="U11" s="9">
        <f>SUM(M11,N11,Q11,R11,S11,T11)</f>
      </c>
      <c r="V11" s="9">
        <f>I11-U11</f>
      </c>
      <c r="W11" s="9">
        <f>V11-X11-Y11-Z11-AA11</f>
      </c>
      <c r="X11" s="9"/>
      <c r="Y11" s="9"/>
      <c r="Z11" s="9"/>
      <c r="AA11" s="9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9"/>
      <c r="AM11" s="9"/>
      <c r="AN11" t="inlineStr" s="8">
        <is>
          <t>3000000001</t>
        </is>
      </c>
      <c r="AO11" s="8"/>
      <c r="AP11" s="8"/>
      <c r="AQ11" t="inlineStr" s="8">
        <is>
          <t>NC6383 MAR.4/22 CESION DE LEYTON MARIA A LUCAS TENTACLES *ANTIC $15.000.000 *ARRAS $4'640</t>
        </is>
      </c>
    </row>
    <row r="12" ht="13.7" customHeight="1">
      <c r="A12" t="inlineStr" s="8">
        <is>
          <t>EF-TENTACLES</t>
        </is>
      </c>
      <c r="B12" t="inlineStr" s="8">
        <is>
          <t>EF-WATSON</t>
        </is>
      </c>
      <c r="C12" t="inlineStr" s="8">
        <is>
          <t>303</t>
        </is>
      </c>
      <c r="D12" s="9"/>
      <c r="E12" t="inlineStr" s="8">
        <is>
          <t>75600000</t>
        </is>
      </c>
      <c r="F12" t="inlineStr" s="8">
        <is>
          <t>TENTACLES LUCAS</t>
        </is>
      </c>
      <c r="G12" t="inlineStr" s="8">
        <is>
          <t>*CESION/ARRAS - *CESION/ARRAS</t>
        </is>
      </c>
      <c r="H12" s="8"/>
      <c r="I12" s="9"/>
      <c r="J12" s="8"/>
      <c r="K12" s="8"/>
      <c r="L12" t="inlineStr" s="8">
        <is>
          <t>2022-03-04 - 2023-03-04</t>
        </is>
      </c>
      <c r="M12" s="9"/>
      <c r="N12" s="9"/>
      <c r="O12" s="8"/>
      <c r="P12" s="8"/>
      <c r="Q12" s="9"/>
      <c r="R12" s="9"/>
      <c r="S12" s="9"/>
      <c r="T12" s="9"/>
      <c r="U12" s="9">
        <f>SUM(M12,N12,Q12,R12,S12,T12)</f>
      </c>
      <c r="V12" s="9">
        <f>I12-U12</f>
      </c>
      <c r="W12" s="9">
        <f>V12-X12-Y12-Z12-AA12</f>
      </c>
      <c r="X12" s="9"/>
      <c r="Y12" s="9"/>
      <c r="Z12" s="9"/>
      <c r="AA12" s="9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9"/>
      <c r="AM12" s="9"/>
      <c r="AN12" t="inlineStr" s="8">
        <is>
          <t>3000000002</t>
        </is>
      </c>
      <c r="AO12" s="8"/>
      <c r="AP12" s="8"/>
      <c r="AQ12" t="inlineStr" s="8">
        <is>
          <t>NC6383 MAR.4/22 CESION DE LEYTON MARIA A LUCAS TENTACLES *ANTIC $15.000.000 *ARRAS $4'640 - NC6383 MAR.4/23 CESION DE LUCAS TENTACLES A CLEVELAND WATSON *ANTIC $15.000.000 *ARRAS $4'640</t>
        </is>
      </c>
    </row>
    <row r="13" ht="13.7" customHeight="1">
      <c r="A13" t="inlineStr" s="8">
        <is>
          <t>EF-WATSON</t>
        </is>
      </c>
      <c r="B13" s="8"/>
      <c r="C13" t="inlineStr" s="8">
        <is>
          <t>303</t>
        </is>
      </c>
      <c r="D13" s="9"/>
      <c r="E13" t="inlineStr" s="8">
        <is>
          <t>75692028</t>
        </is>
      </c>
      <c r="F13" t="inlineStr" s="8">
        <is>
          <t>WATSON CLEVELAND</t>
        </is>
      </c>
      <c r="G13" t="inlineStr" s="8">
        <is>
          <t>*CESION/ARRAS</t>
        </is>
      </c>
      <c r="H13" s="8"/>
      <c r="I13" s="9"/>
      <c r="J13" s="8"/>
      <c r="K13" s="8"/>
      <c r="L13" t="inlineStr" s="8">
        <is>
          <t>2023-03-04</t>
        </is>
      </c>
      <c r="M13" s="9"/>
      <c r="N13" s="9"/>
      <c r="O13" s="8"/>
      <c r="P13" s="8"/>
      <c r="Q13" s="9"/>
      <c r="R13" s="9"/>
      <c r="S13" s="9"/>
      <c r="T13" s="9"/>
      <c r="U13" s="9">
        <f>SUM(M13,N13,Q13,R13,S13,T13)</f>
      </c>
      <c r="V13" s="9">
        <f>I13-U13</f>
      </c>
      <c r="W13" s="9">
        <f>V13-X13-Y13-Z13-AA13</f>
      </c>
      <c r="X13" s="9"/>
      <c r="Y13" s="9"/>
      <c r="Z13" s="9"/>
      <c r="AA13" s="9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9"/>
      <c r="AM13" s="9"/>
      <c r="AN13" t="inlineStr" s="8">
        <is>
          <t>3000000003</t>
        </is>
      </c>
      <c r="AO13" s="8"/>
      <c r="AP13" s="8"/>
      <c r="AQ13" t="inlineStr" s="8">
        <is>
          <t>NC6383 MAR.4/23 CESION DE LUCAS TENTACLES A CLEVELAND WATSON *ANTIC $15.000.000 *ARRAS $4'640</t>
        </is>
      </c>
    </row>
  </sheetData>
</worksheet>
</file>