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1" sheetId="1" r:id="rId1"/>
    <sheet name="T2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3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3.0" customWidth="1"/>
    <col min="25" max="25" width="13.0" customWidth="1"/>
    <col min="26" max="26" width="13.0" customWidth="1"/>
    <col min="27" max="27" width="13.0" customWidth="1"/>
    <col min="28" max="28" width="13.0" customWidth="1"/>
    <col min="29" max="29" width="13.0" customWidth="1"/>
    <col min="30" max="30" width="13.0" customWidth="1"/>
    <col min="31" max="31" width="13.0" customWidth="1"/>
    <col min="32" max="32" width="13.0" customWidth="1"/>
    <col min="33" max="33" width="12.42578125" customWidth="1"/>
    <col min="34" max="34" width="15.5703125" customWidth="1"/>
    <col min="35" max="35" width="15.28515625" customWidth="1"/>
    <col min="36" max="36" width="14.140625" customWidth="1"/>
    <col min="37" max="37" width="15.28515625" customWidth="1"/>
    <col min="38" max="38" width="11.5703125" customWidth="1"/>
    <col min="39" max="39" width="13.0" customWidth="1"/>
    <col min="40" max="40" width="13.0" customWidth="1"/>
    <col min="41" max="41" width="13.0" customWidth="1"/>
    <col min="42" max="42" width="13.0" customWidth="1"/>
    <col min="43" max="43" width="13.0" customWidth="1"/>
    <col min="44" max="44" width="13.0" customWidth="1"/>
    <col min="45" max="45" width="13.0" customWidth="1"/>
    <col min="46" max="46" width="13.0" customWidth="1"/>
    <col min="47" max="47" width="13.0" customWidth="1"/>
    <col min="48" max="48" width="8.140625" customWidth="1"/>
    <col min="49" max="49" width="11.42578125" customWidth="1"/>
    <col min="50" max="50" width="11.42578125" customWidth="1"/>
    <col min="51" max="51" width="11.42578125" customWidth="1"/>
    <col min="52" max="52" width="11.42578125" customWidth="1"/>
    <col min="53" max="53" width="11.42578125" customWidth="1"/>
    <col min="54" max="54" width="11.42578125" customWidth="1"/>
    <col min="55" max="55" width="11.42578125" customWidth="1"/>
    <col min="56" max="56" width="13.0" customWidth="1"/>
    <col min="57" max="57" width="20.0" customWidth="1"/>
    <col min="58" max="58" width="24.0" customWidth="1"/>
    <col min="59" max="59" width="105.140625" customWidth="1"/>
  </cols>
  <sheetData>
    <row r="1">
      <c r="A1" t="inlineStr" s="1">
        <is>
          <t>CONJUNTO CERRADO Monte Cielo T1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JUN/2025</t>
        </is>
      </c>
      <c r="R4" t="inlineStr" s="5">
        <is>
          <t>RECIBO FIDUCIA JUL/2025</t>
        </is>
      </c>
      <c r="S4" t="inlineStr" s="5">
        <is>
          <t>RECIBO FIDUCIA AGO/2025</t>
        </is>
      </c>
      <c r="T4" t="inlineStr" s="5">
        <is>
          <t>RECIBO FIDUCIA SEP/2025</t>
        </is>
      </c>
      <c r="U4" t="inlineStr" s="5">
        <is>
          <t>RECIBO FIDUCIA OCT/2025</t>
        </is>
      </c>
      <c r="V4" t="inlineStr" s="5">
        <is>
          <t>RECIBO FIDUCIA NOV/2025</t>
        </is>
      </c>
      <c r="W4" t="inlineStr" s="5">
        <is>
          <t>RECIBO FIDUCIA DIC/2025</t>
        </is>
      </c>
      <c r="X4" t="inlineStr" s="5">
        <is>
          <t>RECIBO FIDUCIA ENE/2026</t>
        </is>
      </c>
      <c r="Y4" t="inlineStr" s="5">
        <is>
          <t>RECIBO FIDUCIA FEB/2026</t>
        </is>
      </c>
      <c r="Z4" t="inlineStr" s="5">
        <is>
          <t>RECIBO FIDUCIA MAR/2026</t>
        </is>
      </c>
      <c r="AA4" t="inlineStr" s="5">
        <is>
          <t>RECIBO FIDUCIA ABR/2026</t>
        </is>
      </c>
      <c r="AB4" t="inlineStr" s="5">
        <is>
          <t>RECIBO FIDUCIA MAY/2026</t>
        </is>
      </c>
      <c r="AC4" t="inlineStr" s="5">
        <is>
          <t>RECIBO FIDUCIA JUN/2026</t>
        </is>
      </c>
      <c r="AD4" t="inlineStr" s="5">
        <is>
          <t>RECIBO FIDUCIA JUL/2026</t>
        </is>
      </c>
      <c r="AE4" t="inlineStr" s="5">
        <is>
          <t>RECIBO FIDUCIA AGO/2026</t>
        </is>
      </c>
      <c r="AF4" t="inlineStr" s="5">
        <is>
          <t>RECIBO FIDUCIA SEP/2026</t>
        </is>
      </c>
      <c r="AG4" t="inlineStr" s="4">
        <is>
          <t>ABONOS CR CONSTRUCTOR</t>
        </is>
      </c>
      <c r="AH4" t="inlineStr" s="4">
        <is>
          <t>DESEMBOLSO SUBSIDIO CAJAS DE COMPENSACION</t>
        </is>
      </c>
      <c r="AI4" t="inlineStr" s="4">
        <is>
          <t>DESEMBOLSO SUBSIDIOS GOBIERNO</t>
        </is>
      </c>
      <c r="AJ4" t="inlineStr" s="2">
        <is>
          <t>AJUSTE</t>
        </is>
      </c>
      <c r="AK4" t="inlineStr" s="2">
        <is>
          <t>TOTAL RECIBIDO</t>
        </is>
      </c>
      <c r="AL4" t="inlineStr" s="2">
        <is>
          <t>SALDO POR COBRAR</t>
        </is>
      </c>
      <c r="AM4" t="inlineStr" s="2">
        <is>
          <t>RECURSOS PROPIOS</t>
        </is>
      </c>
      <c r="AN4" t="inlineStr" s="2">
        <is>
          <t>CREDITO BANCARIO</t>
        </is>
      </c>
      <c r="AO4" t="inlineStr" s="2">
        <is>
          <t>CAJA HONOR</t>
        </is>
      </c>
      <c r="AP4" t="inlineStr" s="6">
        <is>
          <t>SUBSIDIOS MCY</t>
        </is>
      </c>
      <c r="AQ4" t="inlineStr" s="6">
        <is>
          <t>SUBSIDIOS CAJA COMP</t>
        </is>
      </c>
      <c r="AR4" t="inlineStr" s="6">
        <is>
          <t>ENTIDAD</t>
        </is>
      </c>
      <c r="AS4" t="inlineStr" s="2">
        <is>
          <t>FECHA CONTRATO DE ADHESION</t>
        </is>
      </c>
      <c r="AT4" t="inlineStr" s="2">
        <is>
          <t>FECHA DE PROMESA</t>
        </is>
      </c>
      <c r="AU4" t="inlineStr" s="7">
        <is>
          <t>ENTREGA REAL</t>
        </is>
      </c>
      <c r="AV4" t="inlineStr" s="6">
        <is>
          <t>MATRIC</t>
        </is>
      </c>
      <c r="AW4" t="inlineStr" s="6">
        <is>
          <t>FECHA ESC</t>
        </is>
      </c>
      <c r="AX4" t="inlineStr" s="6">
        <is>
          <t>ESC</t>
        </is>
      </c>
      <c r="AY4" t="inlineStr" s="6">
        <is>
          <t>NOT</t>
        </is>
      </c>
      <c r="AZ4" t="inlineStr" s="6">
        <is>
          <t>FECHA C/TRADIC</t>
        </is>
      </c>
      <c r="BA4" t="inlineStr" s="6">
        <is>
          <t>FE</t>
        </is>
      </c>
      <c r="BB4" t="inlineStr" s="2">
        <is>
          <t>INTERESES</t>
        </is>
      </c>
      <c r="BC4" t="inlineStr" s="2">
        <is>
          <t>VALOR</t>
        </is>
      </c>
      <c r="BD4" t="inlineStr" s="2">
        <is>
          <t>TELEFONO</t>
        </is>
      </c>
      <c r="BE4" t="inlineStr" s="2">
        <is>
          <t>E-MAIL</t>
        </is>
      </c>
      <c r="BF4" t="inlineStr" s="2">
        <is>
          <t>CONTACTO</t>
        </is>
      </c>
      <c r="BG4" t="inlineStr" s="2">
        <is>
          <t>OBSERVACIONES</t>
        </is>
      </c>
    </row>
    <row r="5" ht="12.75" customHeight="1">
      <c r="A5" s="8"/>
      <c r="B5" s="8"/>
      <c r="C5" t="inlineStr" s="8">
        <is>
          <t>101</t>
        </is>
      </c>
      <c r="D5" s="9">
        <v>40.70</v>
      </c>
      <c r="E5" s="8"/>
      <c r="F5" s="8"/>
      <c r="G5" s="8"/>
      <c r="H5" s="8"/>
      <c r="I5" s="9">
        <v>173000000.00</v>
      </c>
      <c r="J5" s="8"/>
      <c r="K5" s="8"/>
      <c r="L5" s="8"/>
      <c r="M5" s="9"/>
      <c r="N5" s="9"/>
      <c r="O5" s="8"/>
      <c r="P5" s="8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8"/>
      <c r="AS5" s="8"/>
      <c r="AT5" s="8"/>
      <c r="AU5" s="8"/>
      <c r="AV5" s="8"/>
      <c r="AW5" s="8"/>
      <c r="AX5" s="8"/>
      <c r="AY5" s="8"/>
      <c r="AZ5" s="8"/>
      <c r="BA5" s="8"/>
      <c r="BB5" s="9"/>
      <c r="BC5" s="9"/>
      <c r="BD5" s="8"/>
      <c r="BE5" s="8"/>
      <c r="BF5" s="8"/>
      <c r="BG5" s="8"/>
    </row>
    <row r="6" ht="12.75" customHeight="1">
      <c r="A6" t="inlineStr" s="8">
        <is>
          <t>002010382951</t>
        </is>
      </c>
      <c r="B6" s="8"/>
      <c r="C6" t="inlineStr" s="8">
        <is>
          <t>102</t>
        </is>
      </c>
      <c r="D6" s="9">
        <v>40.70</v>
      </c>
      <c r="E6" t="inlineStr" s="8">
        <is>
          <t>41921220</t>
        </is>
      </c>
      <c r="F6" t="inlineStr" s="8">
        <is>
          <t>RIVERA ROJAS MIRYAM</t>
        </is>
      </c>
      <c r="G6" s="8"/>
      <c r="H6" s="8"/>
      <c r="I6" s="9">
        <v>173000000.00</v>
      </c>
      <c r="J6" s="8"/>
      <c r="K6" t="inlineStr" s="8">
        <is>
          <t>NCR174 - NCR250 - NCR311 - NCR379 - NCR450 - NCR523 - NCR614 - NCR691 - RC452 - RC460</t>
        </is>
      </c>
      <c r="L6" t="inlineStr" s="8">
        <is>
          <t>NOV.12/25F - ENE.2/26F - FEB.2/26F - FEB.27/26F - MAR.26/26F - ABR.29/26F - MAY.29/26F - JUN.30/26F - JUL.27/26F - AGO.28/26F</t>
        </is>
      </c>
      <c r="M6" s="9"/>
      <c r="N6" s="9"/>
      <c r="O6" s="8"/>
      <c r="P6" s="8"/>
      <c r="Q6" s="10"/>
      <c r="R6" s="10"/>
      <c r="S6" s="10"/>
      <c r="T6" s="10"/>
      <c r="U6" s="10"/>
      <c r="V6" s="10">
        <v>1000000</v>
      </c>
      <c r="W6" s="10"/>
      <c r="X6" s="10">
        <v>870000</v>
      </c>
      <c r="Y6" s="10">
        <f>870000+870000</f>
      </c>
      <c r="Z6" s="10">
        <v>870000</v>
      </c>
      <c r="AA6" s="10">
        <v>870000</v>
      </c>
      <c r="AB6" s="10">
        <v>870000</v>
      </c>
      <c r="AC6" s="10">
        <v>870000</v>
      </c>
      <c r="AD6" s="10">
        <v>870000</v>
      </c>
      <c r="AE6" s="10">
        <v>870000</v>
      </c>
      <c r="AF6" s="10"/>
      <c r="AG6" s="9"/>
      <c r="AH6" s="9"/>
      <c r="AI6" s="9"/>
      <c r="AJ6" s="9"/>
      <c r="AK6" s="9">
        <f>SUM(M6,N6,Q6,R6,S6,T6,U6,V6,W6,X6,Y6,Z6,AA6,AB6,AC6,AD6,AE6,AF6,AG6,AH6,AI6,AJ6)</f>
      </c>
      <c r="AL6" s="9">
        <f>I6-AK6</f>
      </c>
      <c r="AM6" s="9">
        <f>AL6-AN6-AO6-AP6-AQ6</f>
      </c>
      <c r="AN6" s="9"/>
      <c r="AO6" s="9"/>
      <c r="AP6" s="9"/>
      <c r="AQ6" s="9"/>
      <c r="AR6" s="8"/>
      <c r="AS6" s="8"/>
      <c r="AT6" s="8"/>
      <c r="AU6" s="8"/>
      <c r="AV6" s="8"/>
      <c r="AW6" s="8"/>
      <c r="AX6" s="8"/>
      <c r="AY6" s="8"/>
      <c r="AZ6" s="8"/>
      <c r="BA6" s="8"/>
      <c r="BB6" s="9"/>
      <c r="BC6" s="9"/>
      <c r="BD6" t="inlineStr" s="8">
        <is>
          <t>3148280472</t>
        </is>
      </c>
      <c r="BE6" t="inlineStr" s="8">
        <is>
          <t>riverarojasmiryam@gmail.com</t>
        </is>
      </c>
      <c r="BF6" s="8"/>
      <c r="BG6" s="8"/>
    </row>
    <row r="7" ht="12.75" customHeight="1">
      <c r="A7" t="inlineStr" s="8">
        <is>
          <t>002010382960</t>
        </is>
      </c>
      <c r="B7" s="8"/>
      <c r="C7" t="inlineStr" s="8">
        <is>
          <t>103</t>
        </is>
      </c>
      <c r="D7" s="9">
        <v>40.70</v>
      </c>
      <c r="E7" t="inlineStr" s="8">
        <is>
          <t>1193450150</t>
        </is>
      </c>
      <c r="F7" t="inlineStr" s="8">
        <is>
          <t>POVEDA GALVIS JORGE ANDRES</t>
        </is>
      </c>
      <c r="G7" s="8"/>
      <c r="H7" s="8"/>
      <c r="I7" s="9">
        <v>173000000.00</v>
      </c>
      <c r="J7" s="8"/>
      <c r="K7" t="inlineStr" s="8">
        <is>
          <t>NCR436 - NCR556 - NCR631 - RC185 - RC669 - RC046</t>
        </is>
      </c>
      <c r="L7" t="inlineStr" s="8">
        <is>
          <t>MAR.19/26F - MAY.4/26F - JUN.1/26F - JUL.2/26F - JUL.31/26F - SEP.1/26F</t>
        </is>
      </c>
      <c r="M7" s="9"/>
      <c r="N7" s="9"/>
      <c r="O7" s="8"/>
      <c r="P7" s="8"/>
      <c r="Q7" s="10"/>
      <c r="R7" s="10"/>
      <c r="S7" s="10"/>
      <c r="T7" s="10"/>
      <c r="U7" s="10"/>
      <c r="V7" s="10"/>
      <c r="W7" s="10"/>
      <c r="X7" s="10"/>
      <c r="Y7" s="10"/>
      <c r="Z7" s="10">
        <v>1000000</v>
      </c>
      <c r="AA7" s="10"/>
      <c r="AB7" s="10">
        <v>1050000</v>
      </c>
      <c r="AC7" s="10">
        <v>1050000</v>
      </c>
      <c r="AD7" s="10">
        <f>1050000+1050000</f>
      </c>
      <c r="AE7" s="10"/>
      <c r="AF7" s="10">
        <v>1050000</v>
      </c>
      <c r="AG7" s="9"/>
      <c r="AH7" s="9"/>
      <c r="AI7" s="9"/>
      <c r="AJ7" s="9"/>
      <c r="AK7" s="9">
        <f>SUM(M7,N7,Q7,R7,S7,T7,U7,V7,W7,X7,Y7,Z7,AA7,AB7,AC7,AD7,AE7,AF7,AG7,AH7,AI7,AJ7)</f>
      </c>
      <c r="AL7" s="9">
        <f>I7-AK7</f>
      </c>
      <c r="AM7" s="9">
        <f>AL7-AN7-AO7-AP7-AQ7</f>
      </c>
      <c r="AN7" s="9"/>
      <c r="AO7" s="9"/>
      <c r="AP7" s="9"/>
      <c r="AQ7" s="9"/>
      <c r="AR7" s="8"/>
      <c r="AS7" s="8"/>
      <c r="AT7" s="8"/>
      <c r="AU7" s="8"/>
      <c r="AV7" s="8"/>
      <c r="AW7" s="8"/>
      <c r="AX7" s="8"/>
      <c r="AY7" s="8"/>
      <c r="AZ7" s="8"/>
      <c r="BA7" s="8"/>
      <c r="BB7" s="9"/>
      <c r="BC7" s="9"/>
      <c r="BD7" t="inlineStr" s="8">
        <is>
          <t>3007182559</t>
        </is>
      </c>
      <c r="BE7" t="inlineStr" s="8">
        <is>
          <t>jorgeandrespovedagalvis@gmail.com</t>
        </is>
      </c>
      <c r="BF7" s="8"/>
      <c r="BG7" s="8"/>
    </row>
    <row r="8" ht="12.75" customHeight="1">
      <c r="A8" t="inlineStr" s="8">
        <is>
          <t>002010802169</t>
        </is>
      </c>
      <c r="B8" s="8"/>
      <c r="C8" t="inlineStr" s="8">
        <is>
          <t>104</t>
        </is>
      </c>
      <c r="D8" s="9">
        <v>40.70</v>
      </c>
      <c r="E8" t="inlineStr" s="8">
        <is>
          <t>1143428649</t>
        </is>
      </c>
      <c r="F8" t="inlineStr" s="8">
        <is>
          <t>CAICEDO ORTIZ STEFANY CHABELY</t>
        </is>
      </c>
      <c r="G8" s="8"/>
      <c r="H8" s="8"/>
      <c r="I8" s="9">
        <v>173000000.00</v>
      </c>
      <c r="J8" s="8"/>
      <c r="K8" t="inlineStr" s="8">
        <is>
          <t>NCR366 - NCR438 - NCR544 - NCR605 - NCR684 - RC661 - RC563</t>
        </is>
      </c>
      <c r="L8" t="inlineStr" s="8">
        <is>
          <t>FEB.25/26F - MAR.24/26F - ABR.30/26F - MAY.22/26F - JUN.23/26F - JUL.31/26F - AGO.31/26F</t>
        </is>
      </c>
      <c r="M8" s="9"/>
      <c r="N8" s="9"/>
      <c r="O8" s="8"/>
      <c r="P8" s="8"/>
      <c r="Q8" s="10"/>
      <c r="R8" s="10"/>
      <c r="S8" s="10"/>
      <c r="T8" s="10"/>
      <c r="U8" s="10"/>
      <c r="V8" s="10"/>
      <c r="W8" s="10"/>
      <c r="X8" s="10"/>
      <c r="Y8" s="10">
        <v>1000000</v>
      </c>
      <c r="Z8" s="10">
        <v>1542000</v>
      </c>
      <c r="AA8" s="10">
        <v>1542000</v>
      </c>
      <c r="AB8" s="10">
        <v>1542000</v>
      </c>
      <c r="AC8" s="10">
        <v>1542000</v>
      </c>
      <c r="AD8" s="10">
        <v>1545000</v>
      </c>
      <c r="AE8" s="10">
        <v>1545000</v>
      </c>
      <c r="AF8" s="10"/>
      <c r="AG8" s="9"/>
      <c r="AH8" s="9"/>
      <c r="AI8" s="9"/>
      <c r="AJ8" s="9"/>
      <c r="AK8" s="9">
        <f>SUM(M8,N8,Q8,R8,S8,T8,U8,V8,W8,X8,Y8,Z8,AA8,AB8,AC8,AD8,AE8,AF8,AG8,AH8,AI8,AJ8)</f>
      </c>
      <c r="AL8" s="9">
        <f>I8-AK8</f>
      </c>
      <c r="AM8" s="9">
        <f>AL8-AN8-AO8-AP8-AQ8</f>
      </c>
      <c r="AN8" s="9"/>
      <c r="AO8" s="9"/>
      <c r="AP8" s="9"/>
      <c r="AQ8" s="9"/>
      <c r="AR8" s="8"/>
      <c r="AS8" s="8"/>
      <c r="AT8" s="8"/>
      <c r="AU8" s="8"/>
      <c r="AV8" s="8"/>
      <c r="AW8" s="8"/>
      <c r="AX8" s="8"/>
      <c r="AY8" s="8"/>
      <c r="AZ8" s="8"/>
      <c r="BA8" s="8"/>
      <c r="BB8" s="9"/>
      <c r="BC8" s="9"/>
      <c r="BD8" t="inlineStr" s="8">
        <is>
          <t>3002096560</t>
        </is>
      </c>
      <c r="BE8" t="inlineStr" s="8">
        <is>
          <t>stefanycaicedo139@gmail.com</t>
        </is>
      </c>
      <c r="BF8" s="8"/>
      <c r="BG8" s="8"/>
    </row>
    <row r="9" ht="12.75" customHeight="1">
      <c r="A9" s="8"/>
      <c r="B9" s="8"/>
      <c r="C9" t="inlineStr" s="8">
        <is>
          <t>105</t>
        </is>
      </c>
      <c r="D9" s="9">
        <v>40.70</v>
      </c>
      <c r="E9" s="8"/>
      <c r="F9" s="8"/>
      <c r="G9" s="8"/>
      <c r="H9" s="8"/>
      <c r="I9" s="9">
        <v>173000000.00</v>
      </c>
      <c r="J9" s="8"/>
      <c r="K9" s="8"/>
      <c r="L9" s="8"/>
      <c r="M9" s="9"/>
      <c r="N9" s="9"/>
      <c r="O9" s="8"/>
      <c r="P9" s="8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8"/>
      <c r="AS9" s="8"/>
      <c r="AT9" s="8"/>
      <c r="AU9" s="8"/>
      <c r="AV9" s="8"/>
      <c r="AW9" s="8"/>
      <c r="AX9" s="8"/>
      <c r="AY9" s="8"/>
      <c r="AZ9" s="8"/>
      <c r="BA9" s="8"/>
      <c r="BB9" s="9"/>
      <c r="BC9" s="9"/>
      <c r="BD9" s="8"/>
      <c r="BE9" s="8"/>
      <c r="BF9" s="8"/>
      <c r="BG9" s="8"/>
    </row>
    <row r="10" ht="12.75" customHeight="1">
      <c r="A10" t="inlineStr" s="8">
        <is>
          <t>002010382997</t>
        </is>
      </c>
      <c r="B10" s="8"/>
      <c r="C10" t="inlineStr" s="8">
        <is>
          <t>106</t>
        </is>
      </c>
      <c r="D10" s="9">
        <v>40.70</v>
      </c>
      <c r="E10" t="inlineStr" s="8">
        <is>
          <t>1094927933</t>
        </is>
      </c>
      <c r="F10" t="inlineStr" s="8">
        <is>
          <t>CAMACHO VELEZ CESAR AUGUSTO</t>
        </is>
      </c>
      <c r="G10" s="8"/>
      <c r="H10" s="8"/>
      <c r="I10" s="9">
        <v>173000000.00</v>
      </c>
      <c r="J10" s="8"/>
      <c r="K10" t="inlineStr" s="8">
        <is>
          <t>RC188 - RC566</t>
        </is>
      </c>
      <c r="L10" t="inlineStr" s="8">
        <is>
          <t>AGO.6/26F - AGO.31/26F</t>
        </is>
      </c>
      <c r="M10" s="9"/>
      <c r="N10" s="9"/>
      <c r="O10" s="8"/>
      <c r="P10" s="8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>
        <f>1000000+1600000</f>
      </c>
      <c r="AF10" s="10"/>
      <c r="AG10" s="9"/>
      <c r="AH10" s="9"/>
      <c r="AI10" s="9"/>
      <c r="AJ10" s="9"/>
      <c r="AK10" s="9">
        <f>SUM(M10,N10,Q10,R10,S10,T10,U10,V10,W10,X10,Y10,Z10,AA10,AB10,AC10,AD10,AE10,AF10,AG10,AH10,AI10,AJ10)</f>
      </c>
      <c r="AL10" s="9">
        <f>I10-AK10</f>
      </c>
      <c r="AM10" s="9">
        <f>AL10-AN10-AO10-AP10-AQ10</f>
      </c>
      <c r="AN10" s="9"/>
      <c r="AO10" s="9"/>
      <c r="AP10" s="9"/>
      <c r="AQ10" s="9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9"/>
      <c r="BC10" s="9"/>
      <c r="BD10" t="inlineStr" s="8">
        <is>
          <t>34675210448</t>
        </is>
      </c>
      <c r="BE10" t="inlineStr" s="8">
        <is>
          <t>angsar73@hotmail.com</t>
        </is>
      </c>
      <c r="BF10" s="8"/>
      <c r="BG10" s="8"/>
    </row>
    <row r="11" ht="12.75" customHeight="1">
      <c r="A11" t="inlineStr" s="8">
        <is>
          <t>002010802150</t>
        </is>
      </c>
      <c r="B11" s="8"/>
      <c r="C11" t="inlineStr" s="8">
        <is>
          <t>107</t>
        </is>
      </c>
      <c r="D11" s="9">
        <v>40.70</v>
      </c>
      <c r="E11" t="inlineStr" s="8">
        <is>
          <t>1030695317</t>
        </is>
      </c>
      <c r="F11" t="inlineStr" s="8">
        <is>
          <t>BUSTAMANTE BOBADILLA LUZ ADRIANA</t>
        </is>
      </c>
      <c r="G11" s="8"/>
      <c r="H11" s="8"/>
      <c r="I11" s="9">
        <v>173000000.00</v>
      </c>
      <c r="J11" s="8"/>
      <c r="K11" t="inlineStr" s="8">
        <is>
          <t>NCR407 - NCR499 - NCR597 - NCR671 - RC340 - RC357</t>
        </is>
      </c>
      <c r="L11" t="inlineStr" s="8">
        <is>
          <t>MAR.4/26F - ABR.14/26F - MAY.20/26F - JUN.12/26F - JUL.15/26F - AGO.24/26F</t>
        </is>
      </c>
      <c r="M11" s="9"/>
      <c r="N11" s="9"/>
      <c r="O11" s="8"/>
      <c r="P11" s="8"/>
      <c r="Q11" s="10"/>
      <c r="R11" s="10"/>
      <c r="S11" s="10"/>
      <c r="T11" s="10"/>
      <c r="U11" s="10"/>
      <c r="V11" s="10"/>
      <c r="W11" s="10"/>
      <c r="X11" s="10"/>
      <c r="Y11" s="10"/>
      <c r="Z11" s="10">
        <v>1000000</v>
      </c>
      <c r="AA11" s="10">
        <v>500000</v>
      </c>
      <c r="AB11" s="10">
        <v>500000</v>
      </c>
      <c r="AC11" s="10">
        <v>500000</v>
      </c>
      <c r="AD11" s="10">
        <v>500000</v>
      </c>
      <c r="AE11" s="10">
        <v>500000</v>
      </c>
      <c r="AF11" s="10"/>
      <c r="AG11" s="9"/>
      <c r="AH11" s="9"/>
      <c r="AI11" s="9"/>
      <c r="AJ11" s="9"/>
      <c r="AK11" s="9">
        <f>SUM(M11,N11,Q11,R11,S11,T11,U11,V11,W11,X11,Y11,Z11,AA11,AB11,AC11,AD11,AE11,AF11,AG11,AH11,AI11,AJ11)</f>
      </c>
      <c r="AL11" s="9">
        <f>I11-AK11</f>
      </c>
      <c r="AM11" s="9">
        <f>AL11-AN11-AO11-AP11-AQ11</f>
      </c>
      <c r="AN11" s="9"/>
      <c r="AO11" s="9"/>
      <c r="AP11" s="9"/>
      <c r="AQ11" s="9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9"/>
      <c r="BC11" s="9"/>
      <c r="BD11" t="inlineStr" s="8">
        <is>
          <t>3103443433</t>
        </is>
      </c>
      <c r="BE11" t="inlineStr" s="8">
        <is>
          <t>adrianabustamantebobadilla@gmail.com</t>
        </is>
      </c>
      <c r="BF11" s="8"/>
      <c r="BG11" s="8"/>
    </row>
    <row r="12" ht="12.75" customHeight="1">
      <c r="A12" t="inlineStr" s="8">
        <is>
          <t>002010383013</t>
        </is>
      </c>
      <c r="B12" s="8"/>
      <c r="C12" t="inlineStr" s="8">
        <is>
          <t>108</t>
        </is>
      </c>
      <c r="D12" s="9">
        <v>40.70</v>
      </c>
      <c r="E12" t="inlineStr" s="8">
        <is>
          <t>1094925742</t>
        </is>
      </c>
      <c r="F12" t="inlineStr" s="8">
        <is>
          <t>GARZON BAÑOL JESSICA</t>
        </is>
      </c>
      <c r="G12" s="8"/>
      <c r="H12" s="8"/>
      <c r="I12" s="9">
        <v>173000000.00</v>
      </c>
      <c r="J12" s="8"/>
      <c r="K12" t="inlineStr" s="8">
        <is>
          <t>NCR352 - NCR465 - NCR546 - NCR646 - NCR694 - RC676 - RC561</t>
        </is>
      </c>
      <c r="L12" t="inlineStr" s="8">
        <is>
          <t>FEB.16/26F - MAR.31/26F - ABR.30/26F - JUN.1/26F - JUN.30/26F - JUL.31/26F - AGO.31/26F</t>
        </is>
      </c>
      <c r="M12" s="9"/>
      <c r="N12" s="9"/>
      <c r="O12" s="8"/>
      <c r="P12" s="8"/>
      <c r="Q12" s="10"/>
      <c r="R12" s="10"/>
      <c r="S12" s="10"/>
      <c r="T12" s="10"/>
      <c r="U12" s="10"/>
      <c r="V12" s="10"/>
      <c r="W12" s="10"/>
      <c r="X12" s="10"/>
      <c r="Y12" s="10">
        <v>1500000</v>
      </c>
      <c r="Z12" s="10">
        <v>707000</v>
      </c>
      <c r="AA12" s="10">
        <v>707000</v>
      </c>
      <c r="AB12" s="10"/>
      <c r="AC12" s="10">
        <f>707000+1707000</f>
      </c>
      <c r="AD12" s="10">
        <v>707000</v>
      </c>
      <c r="AE12" s="10">
        <v>707000</v>
      </c>
      <c r="AF12" s="10"/>
      <c r="AG12" s="9"/>
      <c r="AH12" s="9"/>
      <c r="AI12" s="9"/>
      <c r="AJ12" s="9"/>
      <c r="AK12" s="9">
        <f>SUM(M12,N12,Q12,R12,S12,T12,U12,V12,W12,X12,Y12,Z12,AA12,AB12,AC12,AD12,AE12,AF12,AG12,AH12,AI12,AJ12)</f>
      </c>
      <c r="AL12" s="9">
        <f>I12-AK12</f>
      </c>
      <c r="AM12" s="9">
        <f>AL12-AN12-AO12-AP12-AQ12</f>
      </c>
      <c r="AN12" s="9"/>
      <c r="AO12" s="9"/>
      <c r="AP12" s="9"/>
      <c r="AQ12" s="9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9"/>
      <c r="BC12" s="9"/>
      <c r="BD12" t="inlineStr" s="8">
        <is>
          <t>3102009895</t>
        </is>
      </c>
      <c r="BE12" t="inlineStr" s="8">
        <is>
          <t>yekagarzon1991@gmail.com</t>
        </is>
      </c>
      <c r="BF12" s="8"/>
      <c r="BG12" s="8"/>
    </row>
    <row r="13" ht="12.75" customHeight="1">
      <c r="A13" t="inlineStr" s="8">
        <is>
          <t>002010383022</t>
        </is>
      </c>
      <c r="B13" s="8"/>
      <c r="C13" t="inlineStr" s="8">
        <is>
          <t>201</t>
        </is>
      </c>
      <c r="D13" s="9">
        <v>40.70</v>
      </c>
      <c r="E13" t="inlineStr" s="8">
        <is>
          <t>41936192</t>
        </is>
      </c>
      <c r="F13" t="inlineStr" s="8">
        <is>
          <t>BRAVO RAMIREZ LUZ ADRIANA</t>
        </is>
      </c>
      <c r="G13" s="8"/>
      <c r="H13" s="8"/>
      <c r="I13" s="9">
        <v>173000000.00</v>
      </c>
      <c r="J13" s="8"/>
      <c r="K13" t="inlineStr" s="8">
        <is>
          <t>NCR275 - NCR301</t>
        </is>
      </c>
      <c r="L13" t="inlineStr" s="8">
        <is>
          <t>ENE.13/26F - ENE.28/26F</t>
        </is>
      </c>
      <c r="M13" s="9"/>
      <c r="N13" s="9"/>
      <c r="O13" s="8"/>
      <c r="P13" s="8"/>
      <c r="Q13" s="10"/>
      <c r="R13" s="10"/>
      <c r="S13" s="10"/>
      <c r="T13" s="10"/>
      <c r="U13" s="10"/>
      <c r="V13" s="10"/>
      <c r="W13" s="10"/>
      <c r="X13" s="10">
        <f>10000000+10000000</f>
      </c>
      <c r="Y13" s="10"/>
      <c r="Z13" s="10"/>
      <c r="AA13" s="10"/>
      <c r="AB13" s="10"/>
      <c r="AC13" s="10"/>
      <c r="AD13" s="10"/>
      <c r="AE13" s="10"/>
      <c r="AF13" s="10"/>
      <c r="AG13" s="9"/>
      <c r="AH13" s="9"/>
      <c r="AI13" s="9"/>
      <c r="AJ13" s="9"/>
      <c r="AK13" s="9">
        <f>SUM(M13,N13,Q13,R13,S13,T13,U13,V13,W13,X13,Y13,Z13,AA13,AB13,AC13,AD13,AE13,AF13,AG13,AH13,AI13,AJ13)</f>
      </c>
      <c r="AL13" s="9">
        <f>I13-AK13</f>
      </c>
      <c r="AM13" s="9">
        <f>AL13-AN13-AO13-AP13-AQ13</f>
      </c>
      <c r="AN13" s="9"/>
      <c r="AO13" s="9"/>
      <c r="AP13" s="9"/>
      <c r="AQ13" s="9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9"/>
      <c r="BC13" s="9"/>
      <c r="BD13" t="inlineStr" s="8">
        <is>
          <t>3103787805</t>
        </is>
      </c>
      <c r="BE13" t="inlineStr" s="8">
        <is>
          <t>ladriana40@hotmail.com</t>
        </is>
      </c>
      <c r="BF13" s="8"/>
      <c r="BG13" s="8"/>
    </row>
    <row r="14" ht="12.75" customHeight="1">
      <c r="A14" t="inlineStr" s="8">
        <is>
          <t>002010383031</t>
        </is>
      </c>
      <c r="B14" s="8"/>
      <c r="C14" t="inlineStr" s="8">
        <is>
          <t>202</t>
        </is>
      </c>
      <c r="D14" s="9">
        <v>40.70</v>
      </c>
      <c r="E14" t="inlineStr" s="8">
        <is>
          <t>71316168</t>
        </is>
      </c>
      <c r="F14" t="inlineStr" s="8">
        <is>
          <t>RODRIGUEZ OCAMPO JAMES DUVAN</t>
        </is>
      </c>
      <c r="G14" s="8"/>
      <c r="H14" s="8"/>
      <c r="I14" s="9">
        <v>173000000.00</v>
      </c>
      <c r="J14" s="8"/>
      <c r="K14" t="inlineStr" s="8">
        <is>
          <t>NCR263 - NCR424 - NCR517</t>
        </is>
      </c>
      <c r="L14" t="inlineStr" s="8">
        <is>
          <t>ENE.5/26F - MAR.11/26F - ABR.24/26F</t>
        </is>
      </c>
      <c r="M14" s="9"/>
      <c r="N14" s="9"/>
      <c r="O14" s="8"/>
      <c r="P14" s="8"/>
      <c r="Q14" s="10"/>
      <c r="R14" s="10"/>
      <c r="S14" s="10"/>
      <c r="T14" s="10"/>
      <c r="U14" s="10"/>
      <c r="V14" s="10"/>
      <c r="W14" s="10"/>
      <c r="X14" s="10">
        <v>1000000</v>
      </c>
      <c r="Y14" s="10"/>
      <c r="Z14" s="10">
        <v>1000000</v>
      </c>
      <c r="AA14" s="10">
        <v>1000000</v>
      </c>
      <c r="AB14" s="10"/>
      <c r="AC14" s="10"/>
      <c r="AD14" s="10"/>
      <c r="AE14" s="10"/>
      <c r="AF14" s="10"/>
      <c r="AG14" s="9"/>
      <c r="AH14" s="9"/>
      <c r="AI14" s="9"/>
      <c r="AJ14" s="9"/>
      <c r="AK14" s="9">
        <f>SUM(M14,N14,Q14,R14,S14,T14,U14,V14,W14,X14,Y14,Z14,AA14,AB14,AC14,AD14,AE14,AF14,AG14,AH14,AI14,AJ14)</f>
      </c>
      <c r="AL14" s="9">
        <f>I14-AK14</f>
      </c>
      <c r="AM14" s="9">
        <f>AL14-AN14-AO14-AP14-AQ14</f>
      </c>
      <c r="AN14" s="9"/>
      <c r="AO14" s="9"/>
      <c r="AP14" s="9"/>
      <c r="AQ14" s="9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9"/>
      <c r="BC14" s="9"/>
      <c r="BD14" t="inlineStr" s="8">
        <is>
          <t>3212306379</t>
        </is>
      </c>
      <c r="BE14" t="inlineStr" s="8">
        <is>
          <t>jerson0422@gmail.com</t>
        </is>
      </c>
      <c r="BF14" s="8"/>
      <c r="BG14" s="8"/>
    </row>
    <row r="15" ht="12.75" customHeight="1">
      <c r="A15" s="8"/>
      <c r="B15" s="8"/>
      <c r="C15" t="inlineStr" s="8">
        <is>
          <t>203</t>
        </is>
      </c>
      <c r="D15" s="9">
        <v>40.70</v>
      </c>
      <c r="E15" s="8"/>
      <c r="F15" s="8"/>
      <c r="G15" s="8"/>
      <c r="H15" s="8"/>
      <c r="I15" s="9">
        <v>173000000.00</v>
      </c>
      <c r="J15" s="8"/>
      <c r="K15" s="8"/>
      <c r="L15" s="8"/>
      <c r="M15" s="9"/>
      <c r="N15" s="9"/>
      <c r="O15" s="8"/>
      <c r="P15" s="8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9"/>
      <c r="BC15" s="9"/>
      <c r="BD15" s="8"/>
      <c r="BE15" s="8"/>
      <c r="BF15" s="8"/>
      <c r="BG15" s="8"/>
    </row>
    <row r="16" ht="12.75" customHeight="1">
      <c r="A16" t="inlineStr" s="8">
        <is>
          <t>002010383059</t>
        </is>
      </c>
      <c r="B16" s="8"/>
      <c r="C16" t="inlineStr" s="8">
        <is>
          <t>204</t>
        </is>
      </c>
      <c r="D16" s="9">
        <v>40.70</v>
      </c>
      <c r="E16" t="inlineStr" s="8">
        <is>
          <t>16552527</t>
        </is>
      </c>
      <c r="F16" t="inlineStr" s="8">
        <is>
          <t>PEREZ RONCANCIO WILLIAN ANDRES</t>
        </is>
      </c>
      <c r="G16" s="8"/>
      <c r="H16" s="8"/>
      <c r="I16" s="9">
        <v>173000000.00</v>
      </c>
      <c r="J16" s="8"/>
      <c r="K16" t="inlineStr" s="8">
        <is>
          <t>NCR218 - NCR219 - NCR519 - NCR666 - RC187 - RC662 - RC206 - RC052</t>
        </is>
      </c>
      <c r="L16" t="inlineStr" s="8">
        <is>
          <t>DIC.10/25F - DIC.10/25F - ABR.27/26F - JUN.9/26F - JUL.2/26F - JUL.31/26F - AGO.10/26F - SEP.1/26F</t>
        </is>
      </c>
      <c r="M16" s="9"/>
      <c r="N16" s="9"/>
      <c r="O16" s="8"/>
      <c r="P16" s="8"/>
      <c r="Q16" s="10"/>
      <c r="R16" s="10"/>
      <c r="S16" s="10"/>
      <c r="T16" s="10"/>
      <c r="U16" s="10"/>
      <c r="V16" s="10"/>
      <c r="W16" s="10">
        <f>833600+4166400</f>
      </c>
      <c r="X16" s="10"/>
      <c r="Y16" s="10"/>
      <c r="Z16" s="10"/>
      <c r="AA16" s="10">
        <v>10000000</v>
      </c>
      <c r="AB16" s="10"/>
      <c r="AC16" s="10">
        <v>550000</v>
      </c>
      <c r="AD16" s="10">
        <f>550000+250000</f>
      </c>
      <c r="AE16" s="10">
        <v>300000</v>
      </c>
      <c r="AF16" s="10">
        <v>550000</v>
      </c>
      <c r="AG16" s="9"/>
      <c r="AH16" s="9"/>
      <c r="AI16" s="9"/>
      <c r="AJ16" s="9"/>
      <c r="AK16" s="9">
        <f>SUM(M16,N16,Q16,R16,S16,T16,U16,V16,W16,X16,Y16,Z16,AA16,AB16,AC16,AD16,AE16,AF16,AG16,AH16,AI16,AJ16)</f>
      </c>
      <c r="AL16" s="9">
        <f>I16-AK16</f>
      </c>
      <c r="AM16" s="9">
        <f>AL16-AN16-AO16-AP16-AQ16</f>
      </c>
      <c r="AN16" s="9"/>
      <c r="AO16" s="9"/>
      <c r="AP16" s="9"/>
      <c r="AQ16" s="9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9"/>
      <c r="BC16" s="9"/>
      <c r="BD16" t="inlineStr" s="8">
        <is>
          <t>3218511310</t>
        </is>
      </c>
      <c r="BE16" t="inlineStr" s="8">
        <is>
          <t>linavegama@hotmail.com</t>
        </is>
      </c>
      <c r="BF16" s="8"/>
      <c r="BG16" s="8"/>
    </row>
    <row r="17" ht="12.75" customHeight="1">
      <c r="A17" t="inlineStr" s="8">
        <is>
          <t>002010383068</t>
        </is>
      </c>
      <c r="B17" s="8"/>
      <c r="C17" t="inlineStr" s="8">
        <is>
          <t>205</t>
        </is>
      </c>
      <c r="D17" s="9">
        <v>40.70</v>
      </c>
      <c r="E17" t="inlineStr" s="8">
        <is>
          <t>32351328</t>
        </is>
      </c>
      <c r="F17" t="inlineStr" s="8">
        <is>
          <t>AMAYA MORA YIRA MARCELA</t>
        </is>
      </c>
      <c r="G17" s="8"/>
      <c r="H17" s="8"/>
      <c r="I17" s="9">
        <v>173000000.00</v>
      </c>
      <c r="J17" s="8"/>
      <c r="K17" t="inlineStr" s="8">
        <is>
          <t>NCR290 - NCR291</t>
        </is>
      </c>
      <c r="L17" t="inlineStr" s="8">
        <is>
          <t>ENE.23/26F - ENE.23/26F</t>
        </is>
      </c>
      <c r="M17" s="9"/>
      <c r="N17" s="9"/>
      <c r="O17" s="8"/>
      <c r="P17" s="8"/>
      <c r="Q17" s="10"/>
      <c r="R17" s="10"/>
      <c r="S17" s="10"/>
      <c r="T17" s="10"/>
      <c r="U17" s="10"/>
      <c r="V17" s="10"/>
      <c r="W17" s="10"/>
      <c r="X17" s="10">
        <f>1740000+1000000</f>
      </c>
      <c r="Y17" s="10"/>
      <c r="Z17" s="10"/>
      <c r="AA17" s="10"/>
      <c r="AB17" s="10"/>
      <c r="AC17" s="10"/>
      <c r="AD17" s="10"/>
      <c r="AE17" s="10"/>
      <c r="AF17" s="10"/>
      <c r="AG17" s="9"/>
      <c r="AH17" s="9"/>
      <c r="AI17" s="9"/>
      <c r="AJ17" s="9"/>
      <c r="AK17" s="9">
        <f>SUM(M17,N17,Q17,R17,S17,T17,U17,V17,W17,X17,Y17,Z17,AA17,AB17,AC17,AD17,AE17,AF17,AG17,AH17,AI17,AJ17)</f>
      </c>
      <c r="AL17" s="9">
        <f>I17-AK17</f>
      </c>
      <c r="AM17" s="9">
        <f>AL17-AN17-AO17-AP17-AQ17</f>
      </c>
      <c r="AN17" s="9"/>
      <c r="AO17" s="9"/>
      <c r="AP17" s="9"/>
      <c r="AQ17" s="9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9"/>
      <c r="BC17" s="9"/>
      <c r="BD17" t="inlineStr" s="8">
        <is>
          <t>3245140808</t>
        </is>
      </c>
      <c r="BE17" t="inlineStr" s="8">
        <is>
          <t>jazmineq60@gmail.com</t>
        </is>
      </c>
      <c r="BF17" s="8"/>
      <c r="BG17" s="8"/>
    </row>
    <row r="18" ht="12.75" customHeight="1">
      <c r="A18" t="inlineStr" s="8">
        <is>
          <t>002010383077</t>
        </is>
      </c>
      <c r="B18" s="8"/>
      <c r="C18" t="inlineStr" s="8">
        <is>
          <t>206</t>
        </is>
      </c>
      <c r="D18" s="9">
        <v>40.70</v>
      </c>
      <c r="E18" t="inlineStr" s="8">
        <is>
          <t>1098308691</t>
        </is>
      </c>
      <c r="F18" t="inlineStr" s="8">
        <is>
          <t>CASTRO RESTREPO OSCAR FERNANDO</t>
        </is>
      </c>
      <c r="G18" s="8"/>
      <c r="H18" s="8"/>
      <c r="I18" s="9">
        <v>173000000.00</v>
      </c>
      <c r="J18" s="8"/>
      <c r="K18" t="inlineStr" s="8">
        <is>
          <t>NCR24 - NCR48 - NCR91 - NCR102 - NCR165 - NCR202 - NCR256 - NCR326</t>
        </is>
      </c>
      <c r="L18" t="inlineStr" s="8">
        <is>
          <t>JUL.15/25F - AGO.11/25F - SEP.19/25F - SEP.29/25F - NOV.5/25F - DIC.1/25F - ENE.5/26F - FEB.3/26F</t>
        </is>
      </c>
      <c r="M18" s="9"/>
      <c r="N18" s="9"/>
      <c r="O18" s="8"/>
      <c r="P18" s="8"/>
      <c r="Q18" s="10"/>
      <c r="R18" s="10">
        <v>350000</v>
      </c>
      <c r="S18" s="10">
        <v>350000</v>
      </c>
      <c r="T18" s="10">
        <f>2300000+350000</f>
      </c>
      <c r="U18" s="10"/>
      <c r="V18" s="10">
        <v>350000</v>
      </c>
      <c r="W18" s="10">
        <v>860000</v>
      </c>
      <c r="X18" s="10">
        <v>1512200</v>
      </c>
      <c r="Y18" s="10">
        <v>435000</v>
      </c>
      <c r="Z18" s="10"/>
      <c r="AA18" s="10"/>
      <c r="AB18" s="10"/>
      <c r="AC18" s="10"/>
      <c r="AD18" s="10"/>
      <c r="AE18" s="10"/>
      <c r="AF18" s="10"/>
      <c r="AG18" s="9"/>
      <c r="AH18" s="9"/>
      <c r="AI18" s="9"/>
      <c r="AJ18" s="9"/>
      <c r="AK18" s="9">
        <f>SUM(M18,N18,Q18,R18,S18,T18,U18,V18,W18,X18,Y18,Z18,AA18,AB18,AC18,AD18,AE18,AF18,AG18,AH18,AI18,AJ18)</f>
      </c>
      <c r="AL18" s="9">
        <f>I18-AK18</f>
      </c>
      <c r="AM18" s="9">
        <f>AL18-AN18-AO18-AP18-AQ18</f>
      </c>
      <c r="AN18" s="9"/>
      <c r="AO18" s="9"/>
      <c r="AP18" s="9"/>
      <c r="AQ18" s="9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9"/>
      <c r="BC18" s="9"/>
      <c r="BD18" t="inlineStr" s="8">
        <is>
          <t>3206248042</t>
        </is>
      </c>
      <c r="BE18" t="inlineStr" s="8">
        <is>
          <t>oscarcastro.22@hotmail.com</t>
        </is>
      </c>
      <c r="BF18" s="8"/>
      <c r="BG18" s="8"/>
    </row>
    <row r="19" ht="12.75" customHeight="1">
      <c r="A19" t="inlineStr" s="8">
        <is>
          <t>002010383086</t>
        </is>
      </c>
      <c r="B19" s="8"/>
      <c r="C19" t="inlineStr" s="8">
        <is>
          <t>207</t>
        </is>
      </c>
      <c r="D19" s="9">
        <v>40.70</v>
      </c>
      <c r="E19" t="inlineStr" s="8">
        <is>
          <t>1094938320</t>
        </is>
      </c>
      <c r="F19" t="inlineStr" s="8">
        <is>
          <t>CARRILLO ACUÑA JUAN DAVID</t>
        </is>
      </c>
      <c r="G19" s="8"/>
      <c r="H19" s="8"/>
      <c r="I19" s="9">
        <v>173000000.00</v>
      </c>
      <c r="J19" s="8"/>
      <c r="K19" t="inlineStr" s="8">
        <is>
          <t>NCR180 - NCR222 - NCR270 - NCR350 - NCR415 - NCR495 - NCR579 - NCR669 - RC262 - RC189</t>
        </is>
      </c>
      <c r="L19" t="inlineStr" s="8">
        <is>
          <t>NOV.20/25F - DIC.15/25F - ENE.6/26F - FEB.13/26F - MAR.9/26F - ABR.9/26F - MAY.6/26F - JUN.10/26F - JUL.9/26F - AGO.6/26F</t>
        </is>
      </c>
      <c r="M19" s="9"/>
      <c r="N19" s="9"/>
      <c r="O19" s="8"/>
      <c r="P19" s="8"/>
      <c r="Q19" s="10"/>
      <c r="R19" s="10"/>
      <c r="S19" s="10"/>
      <c r="T19" s="10"/>
      <c r="U19" s="10"/>
      <c r="V19" s="10">
        <v>1000000</v>
      </c>
      <c r="W19" s="10">
        <v>870000</v>
      </c>
      <c r="X19" s="10">
        <v>870000</v>
      </c>
      <c r="Y19" s="10">
        <v>870000</v>
      </c>
      <c r="Z19" s="10">
        <v>870000</v>
      </c>
      <c r="AA19" s="10">
        <v>870000</v>
      </c>
      <c r="AB19" s="10">
        <v>870000</v>
      </c>
      <c r="AC19" s="10">
        <v>870000</v>
      </c>
      <c r="AD19" s="10">
        <v>870000</v>
      </c>
      <c r="AE19" s="10">
        <v>870000</v>
      </c>
      <c r="AF19" s="10"/>
      <c r="AG19" s="9"/>
      <c r="AH19" s="9"/>
      <c r="AI19" s="9"/>
      <c r="AJ19" s="9"/>
      <c r="AK19" s="9">
        <f>SUM(M19,N19,Q19,R19,S19,T19,U19,V19,W19,X19,Y19,Z19,AA19,AB19,AC19,AD19,AE19,AF19,AG19,AH19,AI19,AJ19)</f>
      </c>
      <c r="AL19" s="9">
        <f>I19-AK19</f>
      </c>
      <c r="AM19" s="9">
        <f>AL19-AN19-AO19-AP19-AQ19</f>
      </c>
      <c r="AN19" s="9"/>
      <c r="AO19" s="9"/>
      <c r="AP19" s="9"/>
      <c r="AQ19" s="9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9"/>
      <c r="BC19" s="9"/>
      <c r="BD19" t="inlineStr" s="8">
        <is>
          <t>3058792169</t>
        </is>
      </c>
      <c r="BE19" t="inlineStr" s="8">
        <is>
          <t>ingeniero.mec.sebastian@gmail.com</t>
        </is>
      </c>
      <c r="BF19" s="8"/>
      <c r="BG19" s="8"/>
    </row>
    <row r="20" ht="12.75" customHeight="1">
      <c r="A20" t="inlineStr" s="8">
        <is>
          <t>002010383095</t>
        </is>
      </c>
      <c r="B20" s="8"/>
      <c r="C20" t="inlineStr" s="8">
        <is>
          <t>208</t>
        </is>
      </c>
      <c r="D20" s="9">
        <v>40.70</v>
      </c>
      <c r="E20" t="inlineStr" s="8">
        <is>
          <t>1094920038</t>
        </is>
      </c>
      <c r="F20" t="inlineStr" s="8">
        <is>
          <t>AGUIRRE MONTERROSA ESTEBAN JOSUE</t>
        </is>
      </c>
      <c r="G20" s="8"/>
      <c r="H20" s="8"/>
      <c r="I20" s="9">
        <v>173000000.00</v>
      </c>
      <c r="J20" s="8"/>
      <c r="K20" t="inlineStr" s="8">
        <is>
          <t>NCR417 - NCR463 - NCR552 - NCR645 - RC313 - RC210</t>
        </is>
      </c>
      <c r="L20" t="inlineStr" s="8">
        <is>
          <t>MAR.9/26F - MAR.30/26F - MAY.4/26F - JUN.1/26F - JUL.14/26F - AGO.11/26F</t>
        </is>
      </c>
      <c r="M20" s="9"/>
      <c r="N20" s="9"/>
      <c r="O20" s="8"/>
      <c r="P20" s="8"/>
      <c r="Q20" s="10"/>
      <c r="R20" s="10"/>
      <c r="S20" s="10"/>
      <c r="T20" s="10"/>
      <c r="U20" s="10"/>
      <c r="V20" s="10"/>
      <c r="W20" s="10"/>
      <c r="X20" s="10"/>
      <c r="Y20" s="10"/>
      <c r="Z20" s="10">
        <f>1000000+1018182</f>
      </c>
      <c r="AA20" s="10"/>
      <c r="AB20" s="10">
        <v>1018182</v>
      </c>
      <c r="AC20" s="10">
        <v>1018182</v>
      </c>
      <c r="AD20" s="10">
        <v>1018182</v>
      </c>
      <c r="AE20" s="10">
        <v>1018182</v>
      </c>
      <c r="AF20" s="10"/>
      <c r="AG20" s="9"/>
      <c r="AH20" s="9"/>
      <c r="AI20" s="9"/>
      <c r="AJ20" s="9"/>
      <c r="AK20" s="9">
        <f>SUM(M20,N20,Q20,R20,S20,T20,U20,V20,W20,X20,Y20,Z20,AA20,AB20,AC20,AD20,AE20,AF20,AG20,AH20,AI20,AJ20)</f>
      </c>
      <c r="AL20" s="9">
        <f>I20-AK20</f>
      </c>
      <c r="AM20" s="9">
        <f>AL20-AN20-AO20-AP20-AQ20</f>
      </c>
      <c r="AN20" s="9"/>
      <c r="AO20" s="9"/>
      <c r="AP20" s="9"/>
      <c r="AQ20" s="9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9"/>
      <c r="BC20" s="9"/>
      <c r="BD20" t="inlineStr" s="8">
        <is>
          <t>18133900281</t>
        </is>
      </c>
      <c r="BE20" t="inlineStr" s="8">
        <is>
          <t>estebanmonterroza1991@gmail.com</t>
        </is>
      </c>
      <c r="BF20" s="8"/>
      <c r="BG20" s="8"/>
    </row>
    <row r="21" ht="12.75" customHeight="1">
      <c r="A21" t="inlineStr" s="8">
        <is>
          <t>002010383102</t>
        </is>
      </c>
      <c r="B21" s="8"/>
      <c r="C21" t="inlineStr" s="8">
        <is>
          <t>301</t>
        </is>
      </c>
      <c r="D21" s="9">
        <v>40.70</v>
      </c>
      <c r="E21" t="inlineStr" s="8">
        <is>
          <t>1117351810</t>
        </is>
      </c>
      <c r="F21" t="inlineStr" s="8">
        <is>
          <t>MEJIA CORTES SARA</t>
        </is>
      </c>
      <c r="G21" s="8"/>
      <c r="H21" s="8"/>
      <c r="I21" s="9">
        <v>173000000.00</v>
      </c>
      <c r="J21" s="8"/>
      <c r="K21" t="inlineStr" s="8">
        <is>
          <t>NCR420 - NCR525 - NCR629 - NCR701 - RC451 - RC562</t>
        </is>
      </c>
      <c r="L21" t="inlineStr" s="8">
        <is>
          <t>MAR.10/26F - ABR.29/26F - JUN.1/26F - JUN.30/26F - JUL.27/26F - AGO.31/26F</t>
        </is>
      </c>
      <c r="M21" s="9"/>
      <c r="N21" s="9"/>
      <c r="O21" s="8"/>
      <c r="P21" s="8"/>
      <c r="Q21" s="10"/>
      <c r="R21" s="10"/>
      <c r="S21" s="10"/>
      <c r="T21" s="10"/>
      <c r="U21" s="10"/>
      <c r="V21" s="10"/>
      <c r="W21" s="10"/>
      <c r="X21" s="10"/>
      <c r="Y21" s="10"/>
      <c r="Z21" s="10">
        <v>1000000</v>
      </c>
      <c r="AA21" s="10">
        <v>1000000</v>
      </c>
      <c r="AB21" s="10"/>
      <c r="AC21" s="10">
        <f>1000000+1000000</f>
      </c>
      <c r="AD21" s="10">
        <v>1000000</v>
      </c>
      <c r="AE21" s="10">
        <v>1000000</v>
      </c>
      <c r="AF21" s="10"/>
      <c r="AG21" s="9"/>
      <c r="AH21" s="9"/>
      <c r="AI21" s="9"/>
      <c r="AJ21" s="9"/>
      <c r="AK21" s="9">
        <f>SUM(M21,N21,Q21,R21,S21,T21,U21,V21,W21,X21,Y21,Z21,AA21,AB21,AC21,AD21,AE21,AF21,AG21,AH21,AI21,AJ21)</f>
      </c>
      <c r="AL21" s="9">
        <f>I21-AK21</f>
      </c>
      <c r="AM21" s="9">
        <f>AL21-AN21-AO21-AP21-AQ21</f>
      </c>
      <c r="AN21" s="9"/>
      <c r="AO21" s="9"/>
      <c r="AP21" s="9"/>
      <c r="AQ21" s="9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9"/>
      <c r="BC21" s="9"/>
      <c r="BD21" t="inlineStr" s="8">
        <is>
          <t>3177927333</t>
        </is>
      </c>
      <c r="BE21" t="inlineStr" s="8">
        <is>
          <t>meji0423@icloud.com</t>
        </is>
      </c>
      <c r="BF21" s="8"/>
      <c r="BG21" s="8"/>
    </row>
    <row r="22" ht="12.75" customHeight="1">
      <c r="A22" t="inlineStr" s="8">
        <is>
          <t>002010383111</t>
        </is>
      </c>
      <c r="B22" s="8"/>
      <c r="C22" t="inlineStr" s="8">
        <is>
          <t>302</t>
        </is>
      </c>
      <c r="D22" s="9">
        <v>40.70</v>
      </c>
      <c r="E22" t="inlineStr" s="8">
        <is>
          <t>1094891690</t>
        </is>
      </c>
      <c r="F22" t="inlineStr" s="8">
        <is>
          <t>CORTES OVALLE DIANA CAROLINA</t>
        </is>
      </c>
      <c r="G22" s="8"/>
      <c r="H22" s="8"/>
      <c r="I22" s="9">
        <v>173000000.00</v>
      </c>
      <c r="J22" s="8"/>
      <c r="K22" t="inlineStr" s="8">
        <is>
          <t>NCR437 - NCR548 - NCR644 - RC175 - RC453</t>
        </is>
      </c>
      <c r="L22" t="inlineStr" s="8">
        <is>
          <t>MAR.19/26F - ABR.30/26F - JUN.1/26F - JUL.1/26F - JUL.27/26F</t>
        </is>
      </c>
      <c r="M22" s="9"/>
      <c r="N22" s="9"/>
      <c r="O22" s="8"/>
      <c r="P22" s="8"/>
      <c r="Q22" s="10"/>
      <c r="R22" s="10"/>
      <c r="S22" s="10"/>
      <c r="T22" s="10"/>
      <c r="U22" s="10"/>
      <c r="V22" s="10"/>
      <c r="W22" s="10"/>
      <c r="X22" s="10"/>
      <c r="Y22" s="10"/>
      <c r="Z22" s="10">
        <v>1000000</v>
      </c>
      <c r="AA22" s="10">
        <v>1000000</v>
      </c>
      <c r="AB22" s="10"/>
      <c r="AC22" s="10">
        <v>1000000</v>
      </c>
      <c r="AD22" s="10">
        <f>1000000+1000000</f>
      </c>
      <c r="AE22" s="10"/>
      <c r="AF22" s="10"/>
      <c r="AG22" s="9"/>
      <c r="AH22" s="9"/>
      <c r="AI22" s="9"/>
      <c r="AJ22" s="9"/>
      <c r="AK22" s="9">
        <f>SUM(M22,N22,Q22,R22,S22,T22,U22,V22,W22,X22,Y22,Z22,AA22,AB22,AC22,AD22,AE22,AF22,AG22,AH22,AI22,AJ22)</f>
      </c>
      <c r="AL22" s="9">
        <f>I22-AK22</f>
      </c>
      <c r="AM22" s="9">
        <f>AL22-AN22-AO22-AP22-AQ22</f>
      </c>
      <c r="AN22" s="9"/>
      <c r="AO22" s="9"/>
      <c r="AP22" s="9"/>
      <c r="AQ22" s="9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9"/>
      <c r="BC22" s="9"/>
      <c r="BD22" t="inlineStr" s="8">
        <is>
          <t>614755995</t>
        </is>
      </c>
      <c r="BE22" t="inlineStr" s="8">
        <is>
          <t>dcco@hotmail.es</t>
        </is>
      </c>
      <c r="BF22" s="8"/>
      <c r="BG22" s="8"/>
    </row>
    <row r="23" ht="12.75" customHeight="1">
      <c r="A23" t="inlineStr" s="8">
        <is>
          <t>002010383120</t>
        </is>
      </c>
      <c r="B23" s="8"/>
      <c r="C23" t="inlineStr" s="8">
        <is>
          <t>303</t>
        </is>
      </c>
      <c r="D23" s="9">
        <v>40.70</v>
      </c>
      <c r="E23" t="inlineStr" s="8">
        <is>
          <t>41900521</t>
        </is>
      </c>
      <c r="F23" t="inlineStr" s="8">
        <is>
          <t>DIAZ CARDENAS ANA CELIA</t>
        </is>
      </c>
      <c r="G23" s="8"/>
      <c r="H23" s="8"/>
      <c r="I23" s="9">
        <v>173000000.00</v>
      </c>
      <c r="J23" s="8"/>
      <c r="K23" t="inlineStr" s="8">
        <is>
          <t>NCR163 - NCR246 - NCR293 - NCR380 - NCR553 - NCR634 - RC189 - RC665 - RC411</t>
        </is>
      </c>
      <c r="L23" t="inlineStr" s="8">
        <is>
          <t>NOV.4/25F - DIC.30/25F - ENE.26/26F - FEB.27/26F - MAY.4/26F - JUN.1/26F - JUL.1/26F - JUL.31/26F - AGO.27/26F</t>
        </is>
      </c>
      <c r="M23" s="9"/>
      <c r="N23" s="9"/>
      <c r="O23" s="8"/>
      <c r="P23" s="8"/>
      <c r="Q23" s="10"/>
      <c r="R23" s="10"/>
      <c r="S23" s="10"/>
      <c r="T23" s="10"/>
      <c r="U23" s="10"/>
      <c r="V23" s="10">
        <v>2000000</v>
      </c>
      <c r="W23" s="10">
        <v>850000</v>
      </c>
      <c r="X23" s="10">
        <v>850000</v>
      </c>
      <c r="Y23" s="10">
        <v>850000</v>
      </c>
      <c r="Z23" s="10"/>
      <c r="AA23" s="10"/>
      <c r="AB23" s="10">
        <v>850000</v>
      </c>
      <c r="AC23" s="10">
        <v>850000</v>
      </c>
      <c r="AD23" s="10">
        <f>850000+850000</f>
      </c>
      <c r="AE23" s="10">
        <v>850000</v>
      </c>
      <c r="AF23" s="10"/>
      <c r="AG23" s="9"/>
      <c r="AH23" s="9"/>
      <c r="AI23" s="9"/>
      <c r="AJ23" s="9"/>
      <c r="AK23" s="9">
        <f>SUM(M23,N23,Q23,R23,S23,T23,U23,V23,W23,X23,Y23,Z23,AA23,AB23,AC23,AD23,AE23,AF23,AG23,AH23,AI23,AJ23)</f>
      </c>
      <c r="AL23" s="9">
        <f>I23-AK23</f>
      </c>
      <c r="AM23" s="9">
        <f>AL23-AN23-AO23-AP23-AQ23</f>
      </c>
      <c r="AN23" s="9"/>
      <c r="AO23" s="9"/>
      <c r="AP23" s="9"/>
      <c r="AQ23" s="9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9"/>
      <c r="BC23" s="9"/>
      <c r="BD23" t="inlineStr" s="8">
        <is>
          <t>3054152667</t>
        </is>
      </c>
      <c r="BE23" t="inlineStr" s="8">
        <is>
          <t>diazcardenasanacelia24@gmail.com</t>
        </is>
      </c>
      <c r="BF23" s="8"/>
      <c r="BG23" s="8"/>
    </row>
    <row r="24" ht="12.75" customHeight="1">
      <c r="A24" t="inlineStr" s="8">
        <is>
          <t>002010383139</t>
        </is>
      </c>
      <c r="B24" s="8"/>
      <c r="C24" t="inlineStr" s="8">
        <is>
          <t>304</t>
        </is>
      </c>
      <c r="D24" s="9">
        <v>40.70</v>
      </c>
      <c r="E24" t="inlineStr" s="8">
        <is>
          <t>1004917683</t>
        </is>
      </c>
      <c r="F24" t="inlineStr" s="8">
        <is>
          <t>MICOLTA MEDINA LAURA MELISSA</t>
        </is>
      </c>
      <c r="G24" s="8"/>
      <c r="H24" s="8"/>
      <c r="I24" s="9">
        <v>173000000.00</v>
      </c>
      <c r="J24" s="8"/>
      <c r="K24" t="inlineStr" s="8">
        <is>
          <t>NCR3 - NCR35 - NCR74 - NCR124 - NCR134 - NCR213 - NCR241 - NCR318 - NCR371 - NCR502 - NCR575 - NCR652 - NCR689 - RC444 - RC554</t>
        </is>
      </c>
      <c r="L24" t="inlineStr" s="8">
        <is>
          <t>JUN.26/25F - JUL.31/25F - SEP.2/25F - OCT.16/25F - OCT.27/25F - DIC.4/25F - DIC.29/25F - FEB.2/26F - FEB.25/26F - ABR.15/26F - MAY.5/26F - JUN.2/26F - JUN.26/26F - JUL.24/26F - AGO.31/26F</t>
        </is>
      </c>
      <c r="M24" s="9"/>
      <c r="N24" s="9"/>
      <c r="O24" s="8"/>
      <c r="P24" s="8"/>
      <c r="Q24" s="10">
        <v>1000000</v>
      </c>
      <c r="R24" s="10">
        <v>1020690</v>
      </c>
      <c r="S24" s="10"/>
      <c r="T24" s="10">
        <v>1020000</v>
      </c>
      <c r="U24" s="10">
        <f>1021380+1021389</f>
      </c>
      <c r="V24" s="10"/>
      <c r="W24" s="10">
        <f>1020000+1020000</f>
      </c>
      <c r="X24" s="10"/>
      <c r="Y24" s="10">
        <f>1020000+1020000</f>
      </c>
      <c r="Z24" s="10"/>
      <c r="AA24" s="10">
        <v>1020000</v>
      </c>
      <c r="AB24" s="10">
        <v>1020000</v>
      </c>
      <c r="AC24" s="10">
        <f>1020000+1022000</f>
      </c>
      <c r="AD24" s="10">
        <v>1020000</v>
      </c>
      <c r="AE24" s="10">
        <v>1020000</v>
      </c>
      <c r="AF24" s="10"/>
      <c r="AG24" s="9"/>
      <c r="AH24" s="9"/>
      <c r="AI24" s="9"/>
      <c r="AJ24" s="9"/>
      <c r="AK24" s="9">
        <f>SUM(M24,N24,Q24,R24,S24,T24,U24,V24,W24,X24,Y24,Z24,AA24,AB24,AC24,AD24,AE24,AF24,AG24,AH24,AI24,AJ24)</f>
      </c>
      <c r="AL24" s="9">
        <f>I24-AK24</f>
      </c>
      <c r="AM24" s="9">
        <f>AL24-AN24-AO24-AP24-AQ24</f>
      </c>
      <c r="AN24" s="9"/>
      <c r="AO24" s="9"/>
      <c r="AP24" s="9"/>
      <c r="AQ24" s="9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9"/>
      <c r="BC24" s="9"/>
      <c r="BD24" t="inlineStr" s="8">
        <is>
          <t>3016124020</t>
        </is>
      </c>
      <c r="BE24" t="inlineStr" s="8">
        <is>
          <t>melissamicolta79@gmail.com</t>
        </is>
      </c>
      <c r="BF24" s="8"/>
      <c r="BG24" s="8"/>
    </row>
    <row r="25" ht="12.75" customHeight="1">
      <c r="A25" t="inlineStr" s="8">
        <is>
          <t>002010383148</t>
        </is>
      </c>
      <c r="B25" s="8"/>
      <c r="C25" t="inlineStr" s="8">
        <is>
          <t>305</t>
        </is>
      </c>
      <c r="D25" s="9">
        <v>40.70</v>
      </c>
      <c r="E25" t="inlineStr" s="8">
        <is>
          <t>41954795</t>
        </is>
      </c>
      <c r="F25" t="inlineStr" s="8">
        <is>
          <t>BERGANO BENITEZ LAURA XIMENA</t>
        </is>
      </c>
      <c r="G25" s="8"/>
      <c r="H25" s="8"/>
      <c r="I25" s="9">
        <v>173000000.00</v>
      </c>
      <c r="J25" s="8"/>
      <c r="K25" t="inlineStr" s="8">
        <is>
          <t>NCR2 - NCR11 - NCR40 - NCR78 - NCR121 - NCR161 - NCR211 - NCR255 - NCR334 - NCR409 - NCR483 - NCR554 - NCR555 - NCR659 - RC190 - RC120 - RC140</t>
        </is>
      </c>
      <c r="L25" t="inlineStr" s="8">
        <is>
          <t>JUN.25/25F - JUL.1/25F - AGO.1/25F - SEP.4/25F - OCT.6/25F - NOV.4/25F - DIC.3/25F - ENE.2/26F - FEB.6/26F - MAR.5/26F - ABR.6/26F - MAY.4/26F - MAY.4/26F - JUN.5/26F - JUL.2/26F - AGO.4/26F - SEP.4/26F</t>
        </is>
      </c>
      <c r="M25" s="9"/>
      <c r="N25" s="9"/>
      <c r="O25" s="8"/>
      <c r="P25" s="8"/>
      <c r="Q25" s="10">
        <v>1000000</v>
      </c>
      <c r="R25" s="10">
        <v>1000000</v>
      </c>
      <c r="S25" s="10">
        <v>1000000</v>
      </c>
      <c r="T25" s="10">
        <v>1000000</v>
      </c>
      <c r="U25" s="10">
        <v>1000000</v>
      </c>
      <c r="V25" s="10">
        <v>1000000</v>
      </c>
      <c r="W25" s="10">
        <v>1000000</v>
      </c>
      <c r="X25" s="10">
        <v>1000000</v>
      </c>
      <c r="Y25" s="10">
        <v>1000000</v>
      </c>
      <c r="Z25" s="10">
        <v>1000000</v>
      </c>
      <c r="AA25" s="10">
        <v>1000000</v>
      </c>
      <c r="AB25" s="10">
        <f>100+1000000</f>
      </c>
      <c r="AC25" s="10">
        <v>1000000</v>
      </c>
      <c r="AD25" s="10">
        <v>1000000</v>
      </c>
      <c r="AE25" s="10">
        <v>1000000</v>
      </c>
      <c r="AF25" s="10">
        <v>1000000</v>
      </c>
      <c r="AG25" s="9"/>
      <c r="AH25" s="9"/>
      <c r="AI25" s="9"/>
      <c r="AJ25" s="9"/>
      <c r="AK25" s="9">
        <f>SUM(M25,N25,Q25,R25,S25,T25,U25,V25,W25,X25,Y25,Z25,AA25,AB25,AC25,AD25,AE25,AF25,AG25,AH25,AI25,AJ25)</f>
      </c>
      <c r="AL25" s="9">
        <f>I25-AK25</f>
      </c>
      <c r="AM25" s="9">
        <f>AL25-AN25-AO25-AP25-AQ25</f>
      </c>
      <c r="AN25" s="9"/>
      <c r="AO25" s="9"/>
      <c r="AP25" s="9"/>
      <c r="AQ25" s="9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9"/>
      <c r="BC25" s="9"/>
      <c r="BD25" t="inlineStr" s="8">
        <is>
          <t>3155594923</t>
        </is>
      </c>
      <c r="BE25" t="inlineStr" s="8">
        <is>
          <t>lxbb2509@hotmail.com</t>
        </is>
      </c>
      <c r="BF25" s="8"/>
      <c r="BG25" s="8"/>
    </row>
    <row r="26" ht="12.75" customHeight="1">
      <c r="A26" t="inlineStr" s="8">
        <is>
          <t>002010383157</t>
        </is>
      </c>
      <c r="B26" s="8"/>
      <c r="C26" t="inlineStr" s="8">
        <is>
          <t>306</t>
        </is>
      </c>
      <c r="D26" s="9">
        <v>40.70</v>
      </c>
      <c r="E26" t="inlineStr" s="8">
        <is>
          <t>1094917444</t>
        </is>
      </c>
      <c r="F26" t="inlineStr" s="8">
        <is>
          <t>LAVAO ROJAS LIRDE YOHANNA</t>
        </is>
      </c>
      <c r="G26" s="8"/>
      <c r="H26" s="8"/>
      <c r="I26" s="9">
        <v>173000000.00</v>
      </c>
      <c r="J26" s="8"/>
      <c r="K26" t="inlineStr" s="8">
        <is>
          <t>NCR54 - NCR80 - NCR114 - NCR169 - NCR205 - NCR261 - NCR324 - NCR396 - NCR306 - NCR578 - NCR643 - RC177 - RC069 - RC141</t>
        </is>
      </c>
      <c r="L26" t="inlineStr" s="8">
        <is>
          <t>AGO.22/25F - SEP.5/25F - OCT.1/25F - NOV.5/25F - DIC.1/25F - ENE.5/26F - FEB.3/26F - MAR.3/26F - ABR.1/26F - MAY.6/26F - JUN.1/26F - JUL.1/26F - AGO.3/26F - SEP.4/26F</t>
        </is>
      </c>
      <c r="M26" s="9"/>
      <c r="N26" s="9"/>
      <c r="O26" s="8"/>
      <c r="P26" s="8"/>
      <c r="Q26" s="10"/>
      <c r="R26" s="10"/>
      <c r="S26" s="10">
        <v>1000000</v>
      </c>
      <c r="T26" s="10">
        <v>925000</v>
      </c>
      <c r="U26" s="10">
        <v>925000</v>
      </c>
      <c r="V26" s="10">
        <v>925000</v>
      </c>
      <c r="W26" s="10">
        <v>925000</v>
      </c>
      <c r="X26" s="10">
        <v>925000</v>
      </c>
      <c r="Y26" s="10">
        <v>925000</v>
      </c>
      <c r="Z26" s="10">
        <v>925000</v>
      </c>
      <c r="AA26" s="10">
        <v>925000</v>
      </c>
      <c r="AB26" s="10">
        <v>925000</v>
      </c>
      <c r="AC26" s="10">
        <v>925000</v>
      </c>
      <c r="AD26" s="10">
        <v>925000</v>
      </c>
      <c r="AE26" s="10">
        <v>925000</v>
      </c>
      <c r="AF26" s="10">
        <v>925000</v>
      </c>
      <c r="AG26" s="9"/>
      <c r="AH26" s="9"/>
      <c r="AI26" s="9"/>
      <c r="AJ26" s="9"/>
      <c r="AK26" s="9">
        <f>SUM(M26,N26,Q26,R26,S26,T26,U26,V26,W26,X26,Y26,Z26,AA26,AB26,AC26,AD26,AE26,AF26,AG26,AH26,AI26,AJ26)</f>
      </c>
      <c r="AL26" s="9">
        <f>I26-AK26</f>
      </c>
      <c r="AM26" s="9">
        <f>AL26-AN26-AO26-AP26-AQ26</f>
      </c>
      <c r="AN26" s="9"/>
      <c r="AO26" s="9"/>
      <c r="AP26" s="9"/>
      <c r="AQ26" s="9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9"/>
      <c r="BC26" s="9"/>
      <c r="BD26" t="inlineStr" s="8">
        <is>
          <t>3002245937</t>
        </is>
      </c>
      <c r="BE26" t="inlineStr" s="8">
        <is>
          <t>yohannalavaorojas19@gmail.com</t>
        </is>
      </c>
      <c r="BF26" s="8"/>
      <c r="BG26" s="8"/>
    </row>
    <row r="27" ht="12.75" customHeight="1">
      <c r="A27" t="inlineStr" s="8">
        <is>
          <t>002010383166</t>
        </is>
      </c>
      <c r="B27" s="8"/>
      <c r="C27" t="inlineStr" s="8">
        <is>
          <t>307</t>
        </is>
      </c>
      <c r="D27" s="9">
        <v>40.70</v>
      </c>
      <c r="E27" t="inlineStr" s="8">
        <is>
          <t>29106429</t>
        </is>
      </c>
      <c r="F27" t="inlineStr" s="8">
        <is>
          <t>CEBALLOS URBANO GLORIA NANCY</t>
        </is>
      </c>
      <c r="G27" t="inlineStr" s="8">
        <is>
          <t>VEGA MARTINEZ JHONN JAIRO</t>
        </is>
      </c>
      <c r="H27" s="8"/>
      <c r="I27" s="9">
        <v>173000000.00</v>
      </c>
      <c r="J27" s="8"/>
      <c r="K27" t="inlineStr" s="8">
        <is>
          <t>NCR473 - NCR545 - NCR641 - RC314 - RC075 - RC087</t>
        </is>
      </c>
      <c r="L27" t="inlineStr" s="8">
        <is>
          <t>ABR.1/26F - ABR.30/26F - JUN.1/26F - JUL.14/26F - AGO.3/26F - SEP.2/26F</t>
        </is>
      </c>
      <c r="M27" s="9"/>
      <c r="N27" s="9"/>
      <c r="O27" s="8"/>
      <c r="P27" s="8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>
        <f>1000000+1500000</f>
      </c>
      <c r="AB27" s="10"/>
      <c r="AC27" s="10">
        <v>1500000</v>
      </c>
      <c r="AD27" s="10">
        <v>1500000</v>
      </c>
      <c r="AE27" s="10">
        <v>1500000</v>
      </c>
      <c r="AF27" s="10">
        <v>1500000</v>
      </c>
      <c r="AG27" s="9"/>
      <c r="AH27" s="9"/>
      <c r="AI27" s="9"/>
      <c r="AJ27" s="9"/>
      <c r="AK27" s="9">
        <f>SUM(M27,N27,Q27,R27,S27,T27,U27,V27,W27,X27,Y27,Z27,AA27,AB27,AC27,AD27,AE27,AF27,AG27,AH27,AI27,AJ27)</f>
      </c>
      <c r="AL27" s="9">
        <f>I27-AK27</f>
      </c>
      <c r="AM27" s="9">
        <f>AL27-AN27-AO27-AP27-AQ27</f>
      </c>
      <c r="AN27" s="9"/>
      <c r="AO27" s="9"/>
      <c r="AP27" s="9"/>
      <c r="AQ27" s="9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9"/>
      <c r="BC27" s="9"/>
      <c r="BD27" t="inlineStr" s="8">
        <is>
          <t>34603928054</t>
        </is>
      </c>
      <c r="BE27" t="inlineStr" s="8">
        <is>
          <t>nancyceballos122@gmail.com</t>
        </is>
      </c>
      <c r="BF27" s="8"/>
      <c r="BG27" s="8"/>
    </row>
    <row r="28" ht="12.75" customHeight="1">
      <c r="A28" t="inlineStr" s="8">
        <is>
          <t>002010383175</t>
        </is>
      </c>
      <c r="B28" s="8"/>
      <c r="C28" t="inlineStr" s="8">
        <is>
          <t>308</t>
        </is>
      </c>
      <c r="D28" s="9">
        <v>40.70</v>
      </c>
      <c r="E28" t="inlineStr" s="8">
        <is>
          <t>53166926</t>
        </is>
      </c>
      <c r="F28" t="inlineStr" s="8">
        <is>
          <t>LARA PINZON ANGELA ROCIO</t>
        </is>
      </c>
      <c r="G28" t="inlineStr" s="8">
        <is>
          <t>PINZON MARIA INES</t>
        </is>
      </c>
      <c r="H28" s="8"/>
      <c r="I28" s="9">
        <v>173000000.00</v>
      </c>
      <c r="J28" s="8"/>
      <c r="K28" t="inlineStr" s="8">
        <is>
          <t>NCR515 - NCR536 - NCR655 - RC191 - RC546 - RC565</t>
        </is>
      </c>
      <c r="L28" t="inlineStr" s="8">
        <is>
          <t>ABR.23/26F - ABR.30/26F - JUN.3/26F - JUL.1/26F - JUL.29/26F - AGO.31/26F</t>
        </is>
      </c>
      <c r="M28" s="9"/>
      <c r="N28" s="9"/>
      <c r="O28" s="8"/>
      <c r="P28" s="8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>
        <f>1000000+2000000</f>
      </c>
      <c r="AB28" s="10"/>
      <c r="AC28" s="10">
        <v>1000000</v>
      </c>
      <c r="AD28" s="10">
        <f>1000000+1000000</f>
      </c>
      <c r="AE28" s="10">
        <v>1000000</v>
      </c>
      <c r="AF28" s="10"/>
      <c r="AG28" s="9"/>
      <c r="AH28" s="9"/>
      <c r="AI28" s="9"/>
      <c r="AJ28" s="9"/>
      <c r="AK28" s="9">
        <f>SUM(M28,N28,Q28,R28,S28,T28,U28,V28,W28,X28,Y28,Z28,AA28,AB28,AC28,AD28,AE28,AF28,AG28,AH28,AI28,AJ28)</f>
      </c>
      <c r="AL28" s="9">
        <f>I28-AK28</f>
      </c>
      <c r="AM28" s="9">
        <f>AL28-AN28-AO28-AP28-AQ28</f>
      </c>
      <c r="AN28" s="9"/>
      <c r="AO28" s="9"/>
      <c r="AP28" s="9"/>
      <c r="AQ28" s="9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9"/>
      <c r="BC28" s="9"/>
      <c r="BD28" t="inlineStr" s="8">
        <is>
          <t>13214375992</t>
        </is>
      </c>
      <c r="BE28" t="inlineStr" s="8">
        <is>
          <t>anyellarapinzon07@gmail.com</t>
        </is>
      </c>
      <c r="BF28" s="8"/>
      <c r="BG28" s="8"/>
    </row>
    <row r="29" ht="12.75" customHeight="1">
      <c r="A29" t="inlineStr" s="8">
        <is>
          <t>002010383184</t>
        </is>
      </c>
      <c r="B29" s="8"/>
      <c r="C29" t="inlineStr" s="8">
        <is>
          <t>401</t>
        </is>
      </c>
      <c r="D29" s="9">
        <v>40.70</v>
      </c>
      <c r="E29" t="inlineStr" s="8">
        <is>
          <t>52017134</t>
        </is>
      </c>
      <c r="F29" t="inlineStr" s="8">
        <is>
          <t>TORO AGUIRRE GENNY</t>
        </is>
      </c>
      <c r="G29" s="8"/>
      <c r="H29" s="8"/>
      <c r="I29" s="9">
        <v>173000000.00</v>
      </c>
      <c r="J29" s="8"/>
      <c r="K29" t="inlineStr" s="8">
        <is>
          <t>NCR230 - NCR331 - NCR358 - NCR403 - NCR490 - NCR580</t>
        </is>
      </c>
      <c r="L29" t="inlineStr" s="8">
        <is>
          <t>DIC.22/25F - FEB.6/26F - FEB.19/26F - MAR.4/26F - ABR.7/26F - MAY.7/26F</t>
        </is>
      </c>
      <c r="M29" s="9"/>
      <c r="N29" s="9"/>
      <c r="O29" s="8"/>
      <c r="P29" s="8"/>
      <c r="Q29" s="10"/>
      <c r="R29" s="10"/>
      <c r="S29" s="10"/>
      <c r="T29" s="10"/>
      <c r="U29" s="10"/>
      <c r="V29" s="10"/>
      <c r="W29" s="10">
        <v>1000000</v>
      </c>
      <c r="X29" s="10"/>
      <c r="Y29" s="10">
        <f>874285+23000</f>
      </c>
      <c r="Z29" s="10">
        <v>896970</v>
      </c>
      <c r="AA29" s="10">
        <v>896970</v>
      </c>
      <c r="AB29" s="10">
        <v>896970</v>
      </c>
      <c r="AC29" s="10"/>
      <c r="AD29" s="10"/>
      <c r="AE29" s="10"/>
      <c r="AF29" s="10"/>
      <c r="AG29" s="9"/>
      <c r="AH29" s="9"/>
      <c r="AI29" s="9"/>
      <c r="AJ29" s="9"/>
      <c r="AK29" s="9">
        <f>SUM(M29,N29,Q29,R29,S29,T29,U29,V29,W29,X29,Y29,Z29,AA29,AB29,AC29,AD29,AE29,AF29,AG29,AH29,AI29,AJ29)</f>
      </c>
      <c r="AL29" s="9">
        <f>I29-AK29</f>
      </c>
      <c r="AM29" s="9">
        <f>AL29-AN29-AO29-AP29-AQ29</f>
      </c>
      <c r="AN29" s="9"/>
      <c r="AO29" s="9"/>
      <c r="AP29" s="9"/>
      <c r="AQ29" s="9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9"/>
      <c r="BC29" s="9"/>
      <c r="BD29" t="inlineStr" s="8">
        <is>
          <t>3134413786</t>
        </is>
      </c>
      <c r="BE29" t="inlineStr" s="8">
        <is>
          <t>jennyscorpy9@hotmail.com</t>
        </is>
      </c>
      <c r="BF29" s="8"/>
      <c r="BG29" s="8"/>
    </row>
    <row r="30" ht="12.75" customHeight="1">
      <c r="A30" t="inlineStr" s="8">
        <is>
          <t>002010383193</t>
        </is>
      </c>
      <c r="B30" s="8"/>
      <c r="C30" t="inlineStr" s="8">
        <is>
          <t>402</t>
        </is>
      </c>
      <c r="D30" s="9">
        <v>40.70</v>
      </c>
      <c r="E30" t="inlineStr" s="8">
        <is>
          <t>1006341570</t>
        </is>
      </c>
      <c r="F30" t="inlineStr" s="8">
        <is>
          <t>MENDEZ CAMARGO KAREN DAYANA</t>
        </is>
      </c>
      <c r="G30" s="8"/>
      <c r="H30" s="8"/>
      <c r="I30" s="9">
        <v>173000000.00</v>
      </c>
      <c r="J30" s="8"/>
      <c r="K30" t="inlineStr" s="8">
        <is>
          <t>NCR342 - NCR392 - NCR543 - NCR609 - NCR704 - RC612 - RC459</t>
        </is>
      </c>
      <c r="L30" t="inlineStr" s="8">
        <is>
          <t>FEB.9/26F - MAR.2/26F - ABR.30/26F - MAY.27/26F - JUN.30/26F - JUL.30/26F - AGO.28/26F</t>
        </is>
      </c>
      <c r="M30" s="9"/>
      <c r="N30" s="9"/>
      <c r="O30" s="8"/>
      <c r="P30" s="8"/>
      <c r="Q30" s="10"/>
      <c r="R30" s="10"/>
      <c r="S30" s="10"/>
      <c r="T30" s="10"/>
      <c r="U30" s="10"/>
      <c r="V30" s="10"/>
      <c r="W30" s="10"/>
      <c r="X30" s="10"/>
      <c r="Y30" s="10">
        <v>1000000</v>
      </c>
      <c r="Z30" s="10">
        <v>1000000</v>
      </c>
      <c r="AA30" s="10">
        <v>1000000</v>
      </c>
      <c r="AB30" s="10">
        <v>1000000</v>
      </c>
      <c r="AC30" s="10">
        <v>1000000</v>
      </c>
      <c r="AD30" s="10">
        <v>1000000</v>
      </c>
      <c r="AE30" s="10">
        <v>1000000</v>
      </c>
      <c r="AF30" s="10"/>
      <c r="AG30" s="9"/>
      <c r="AH30" s="9"/>
      <c r="AI30" s="9"/>
      <c r="AJ30" s="9"/>
      <c r="AK30" s="9">
        <f>SUM(M30,N30,Q30,R30,S30,T30,U30,V30,W30,X30,Y30,Z30,AA30,AB30,AC30,AD30,AE30,AF30,AG30,AH30,AI30,AJ30)</f>
      </c>
      <c r="AL30" s="9">
        <f>I30-AK30</f>
      </c>
      <c r="AM30" s="9">
        <f>AL30-AN30-AO30-AP30-AQ30</f>
      </c>
      <c r="AN30" s="9"/>
      <c r="AO30" s="9"/>
      <c r="AP30" s="9"/>
      <c r="AQ30" s="9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9"/>
      <c r="BC30" s="9"/>
      <c r="BD30" t="inlineStr" s="8">
        <is>
          <t>16316877444</t>
        </is>
      </c>
      <c r="BE30" t="inlineStr" s="8">
        <is>
          <t>km2104329@gmail.com</t>
        </is>
      </c>
      <c r="BF30" s="8"/>
      <c r="BG30" s="8"/>
    </row>
    <row r="31" ht="12.75" customHeight="1">
      <c r="A31" t="inlineStr" s="8">
        <is>
          <t>002010383200</t>
        </is>
      </c>
      <c r="B31" s="8"/>
      <c r="C31" t="inlineStr" s="8">
        <is>
          <t>403</t>
        </is>
      </c>
      <c r="D31" s="9">
        <v>40.70</v>
      </c>
      <c r="E31" t="inlineStr" s="8">
        <is>
          <t>51919229</t>
        </is>
      </c>
      <c r="F31" t="inlineStr" s="8">
        <is>
          <t>DAZA CACERES MERY</t>
        </is>
      </c>
      <c r="G31" s="8"/>
      <c r="H31" s="8"/>
      <c r="I31" s="9">
        <v>173000000.00</v>
      </c>
      <c r="J31" s="8"/>
      <c r="K31" t="inlineStr" s="8">
        <is>
          <t>NCR135 - NCR194 - NCR274 - NCR337 - NCR494</t>
        </is>
      </c>
      <c r="L31" t="inlineStr" s="8">
        <is>
          <t>OCT.27/25F - DIC.1/25F - ENE.13/26F - FEB.9/26F - ABR.8/26F</t>
        </is>
      </c>
      <c r="M31" s="9"/>
      <c r="N31" s="9"/>
      <c r="O31" s="8"/>
      <c r="P31" s="8"/>
      <c r="Q31" s="10"/>
      <c r="R31" s="10"/>
      <c r="S31" s="10"/>
      <c r="T31" s="10"/>
      <c r="U31" s="10">
        <v>1000000</v>
      </c>
      <c r="V31" s="10"/>
      <c r="W31" s="10">
        <v>875000</v>
      </c>
      <c r="X31" s="10">
        <v>800000</v>
      </c>
      <c r="Y31" s="10">
        <v>1000000</v>
      </c>
      <c r="Z31" s="10"/>
      <c r="AA31" s="10">
        <v>1550000</v>
      </c>
      <c r="AB31" s="10"/>
      <c r="AC31" s="10"/>
      <c r="AD31" s="10"/>
      <c r="AE31" s="10"/>
      <c r="AF31" s="10"/>
      <c r="AG31" s="9"/>
      <c r="AH31" s="9"/>
      <c r="AI31" s="9"/>
      <c r="AJ31" s="9"/>
      <c r="AK31" s="9">
        <f>SUM(M31,N31,Q31,R31,S31,T31,U31,V31,W31,X31,Y31,Z31,AA31,AB31,AC31,AD31,AE31,AF31,AG31,AH31,AI31,AJ31)</f>
      </c>
      <c r="AL31" s="9">
        <f>I31-AK31</f>
      </c>
      <c r="AM31" s="9">
        <f>AL31-AN31-AO31-AP31-AQ31</f>
      </c>
      <c r="AN31" s="9"/>
      <c r="AO31" s="9"/>
      <c r="AP31" s="9"/>
      <c r="AQ31" s="9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9"/>
      <c r="BC31" s="9"/>
      <c r="BD31" t="inlineStr" s="8">
        <is>
          <t>3114803174</t>
        </is>
      </c>
      <c r="BE31" t="inlineStr" s="8">
        <is>
          <t>exgomezmen@hotmail.com</t>
        </is>
      </c>
      <c r="BF31" s="8"/>
      <c r="BG31" s="8"/>
    </row>
    <row r="32" ht="12.75" customHeight="1">
      <c r="A32" t="inlineStr" s="8">
        <is>
          <t>002010383219</t>
        </is>
      </c>
      <c r="B32" s="8"/>
      <c r="C32" t="inlineStr" s="8">
        <is>
          <t>404</t>
        </is>
      </c>
      <c r="D32" s="9">
        <v>40.70</v>
      </c>
      <c r="E32" t="inlineStr" s="8">
        <is>
          <t>43875940</t>
        </is>
      </c>
      <c r="F32" t="inlineStr" s="8">
        <is>
          <t>QUIROZ QUINTERO LYDA EUGENIA</t>
        </is>
      </c>
      <c r="G32" s="8"/>
      <c r="H32" s="8"/>
      <c r="I32" s="9">
        <v>173000000.00</v>
      </c>
      <c r="J32" s="8"/>
      <c r="K32" t="inlineStr" s="8">
        <is>
          <t>NCR177 - NCR423</t>
        </is>
      </c>
      <c r="L32" t="inlineStr" s="8">
        <is>
          <t>NOV.18/25F - MAR.11/26F</t>
        </is>
      </c>
      <c r="M32" s="9"/>
      <c r="N32" s="9"/>
      <c r="O32" s="8"/>
      <c r="P32" s="8"/>
      <c r="Q32" s="10"/>
      <c r="R32" s="10"/>
      <c r="S32" s="10"/>
      <c r="T32" s="10"/>
      <c r="U32" s="10"/>
      <c r="V32" s="10">
        <v>1000000</v>
      </c>
      <c r="W32" s="10"/>
      <c r="X32" s="10"/>
      <c r="Y32" s="10"/>
      <c r="Z32" s="10">
        <v>1000000</v>
      </c>
      <c r="AA32" s="10"/>
      <c r="AB32" s="10"/>
      <c r="AC32" s="10"/>
      <c r="AD32" s="10"/>
      <c r="AE32" s="10"/>
      <c r="AF32" s="10"/>
      <c r="AG32" s="9"/>
      <c r="AH32" s="9"/>
      <c r="AI32" s="9"/>
      <c r="AJ32" s="9"/>
      <c r="AK32" s="9">
        <f>SUM(M32,N32,Q32,R32,S32,T32,U32,V32,W32,X32,Y32,Z32,AA32,AB32,AC32,AD32,AE32,AF32,AG32,AH32,AI32,AJ32)</f>
      </c>
      <c r="AL32" s="9">
        <f>I32-AK32</f>
      </c>
      <c r="AM32" s="9">
        <f>AL32-AN32-AO32-AP32-AQ32</f>
      </c>
      <c r="AN32" s="9"/>
      <c r="AO32" s="9"/>
      <c r="AP32" s="9"/>
      <c r="AQ32" s="9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9"/>
      <c r="BC32" s="9"/>
      <c r="BD32" t="inlineStr" s="8">
        <is>
          <t>3017828914</t>
        </is>
      </c>
      <c r="BE32" t="inlineStr" s="8">
        <is>
          <t>lyda.eugenia.quiros@gmail.com</t>
        </is>
      </c>
      <c r="BF32" s="8"/>
      <c r="BG32" s="8"/>
    </row>
    <row r="33" ht="12.75" customHeight="1">
      <c r="A33" t="inlineStr" s="8">
        <is>
          <t>002010383228</t>
        </is>
      </c>
      <c r="B33" s="8"/>
      <c r="C33" t="inlineStr" s="8">
        <is>
          <t>405</t>
        </is>
      </c>
      <c r="D33" s="9">
        <v>40.70</v>
      </c>
      <c r="E33" t="inlineStr" s="8">
        <is>
          <t>89009284</t>
        </is>
      </c>
      <c r="F33" t="inlineStr" s="8">
        <is>
          <t>DIAZ CARDENAS JOHN FREDY</t>
        </is>
      </c>
      <c r="G33" s="8"/>
      <c r="H33" s="8"/>
      <c r="I33" s="9">
        <v>173000000.00</v>
      </c>
      <c r="J33" s="8"/>
      <c r="K33" t="inlineStr" s="8">
        <is>
          <t>NCR159 - NCR224 - NCR298 - NCR383 - NCR441 - NCR534 - NCR635 - NCR685 - RC613 - RC244 - RC457</t>
        </is>
      </c>
      <c r="L33" t="inlineStr" s="8">
        <is>
          <t>NOV.4/25F - DIC.16/25F - ENE.26/26F - FEB.27/26F - MAR.24/26F - ABR.30/26F - JUN.1/26F - JUN.23/26F - JUL.30/26F - AGO.13/26F - AGO.28/26F</t>
        </is>
      </c>
      <c r="M33" s="9"/>
      <c r="N33" s="9"/>
      <c r="O33" s="8"/>
      <c r="P33" s="8"/>
      <c r="Q33" s="10"/>
      <c r="R33" s="10"/>
      <c r="S33" s="10"/>
      <c r="T33" s="10"/>
      <c r="U33" s="10"/>
      <c r="V33" s="10">
        <v>1000000</v>
      </c>
      <c r="W33" s="10">
        <v>850000</v>
      </c>
      <c r="X33" s="10">
        <v>850000</v>
      </c>
      <c r="Y33" s="10">
        <v>850000</v>
      </c>
      <c r="Z33" s="10">
        <v>850000</v>
      </c>
      <c r="AA33" s="10">
        <v>850000</v>
      </c>
      <c r="AB33" s="10"/>
      <c r="AC33" s="10">
        <f>850000+850000</f>
      </c>
      <c r="AD33" s="10">
        <v>850000</v>
      </c>
      <c r="AE33" s="10">
        <f>850000+850000</f>
      </c>
      <c r="AF33" s="10"/>
      <c r="AG33" s="9"/>
      <c r="AH33" s="9"/>
      <c r="AI33" s="9"/>
      <c r="AJ33" s="9"/>
      <c r="AK33" s="9">
        <f>SUM(M33,N33,Q33,R33,S33,T33,U33,V33,W33,X33,Y33,Z33,AA33,AB33,AC33,AD33,AE33,AF33,AG33,AH33,AI33,AJ33)</f>
      </c>
      <c r="AL33" s="9">
        <f>I33-AK33</f>
      </c>
      <c r="AM33" s="9">
        <f>AL33-AN33-AO33-AP33-AQ33</f>
      </c>
      <c r="AN33" s="9"/>
      <c r="AO33" s="9"/>
      <c r="AP33" s="9"/>
      <c r="AQ33" s="9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9"/>
      <c r="BC33" s="9"/>
      <c r="BD33" t="inlineStr" s="8">
        <is>
          <t>3204482382</t>
        </is>
      </c>
      <c r="BE33" t="inlineStr" s="8">
        <is>
          <t>jfredycardenas1@gmail.com</t>
        </is>
      </c>
      <c r="BF33" s="8"/>
      <c r="BG33" s="8"/>
    </row>
    <row r="34" ht="12.75" customHeight="1">
      <c r="A34" s="8"/>
      <c r="B34" s="8"/>
      <c r="C34" t="inlineStr" s="8">
        <is>
          <t>406</t>
        </is>
      </c>
      <c r="D34" s="9">
        <v>40.70</v>
      </c>
      <c r="E34" s="8"/>
      <c r="F34" s="8"/>
      <c r="G34" s="8"/>
      <c r="H34" s="8"/>
      <c r="I34" s="9">
        <v>173000000.00</v>
      </c>
      <c r="J34" s="8"/>
      <c r="K34" s="8"/>
      <c r="L34" s="8"/>
      <c r="M34" s="9"/>
      <c r="N34" s="9"/>
      <c r="O34" s="8"/>
      <c r="P34" s="8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9"/>
      <c r="BC34" s="9"/>
      <c r="BD34" s="8"/>
      <c r="BE34" s="8"/>
      <c r="BF34" s="8"/>
      <c r="BG34" s="8"/>
    </row>
    <row r="35" ht="12.75" customHeight="1">
      <c r="A35" t="inlineStr" s="8">
        <is>
          <t>002010383246</t>
        </is>
      </c>
      <c r="B35" s="8"/>
      <c r="C35" t="inlineStr" s="8">
        <is>
          <t>407</t>
        </is>
      </c>
      <c r="D35" s="9">
        <v>40.70</v>
      </c>
      <c r="E35" t="inlineStr" s="8">
        <is>
          <t>1004827159</t>
        </is>
      </c>
      <c r="F35" t="inlineStr" s="8">
        <is>
          <t>CASTRILLON ARIAS KAREN TATIANA</t>
        </is>
      </c>
      <c r="G35" s="8"/>
      <c r="H35" s="8"/>
      <c r="I35" s="9">
        <v>173000000.00</v>
      </c>
      <c r="J35" s="8"/>
      <c r="K35" t="inlineStr" s="8">
        <is>
          <t>NCR355 - NCR472 - NCR559 - NCR585 - NCR674 - RC245</t>
        </is>
      </c>
      <c r="L35" t="inlineStr" s="8">
        <is>
          <t>FEB.17/26F - ABR.1/26F - MAY.4/26F - MAY.12/26F - JUN.17/26F - AGO.13/26F</t>
        </is>
      </c>
      <c r="M35" s="9"/>
      <c r="N35" s="9"/>
      <c r="O35" s="8"/>
      <c r="P35" s="8"/>
      <c r="Q35" s="10"/>
      <c r="R35" s="10"/>
      <c r="S35" s="10"/>
      <c r="T35" s="10"/>
      <c r="U35" s="10"/>
      <c r="V35" s="10"/>
      <c r="W35" s="10"/>
      <c r="X35" s="10"/>
      <c r="Y35" s="10">
        <v>1000000</v>
      </c>
      <c r="Z35" s="10"/>
      <c r="AA35" s="10">
        <v>700000</v>
      </c>
      <c r="AB35" s="10">
        <f>700000+700000</f>
      </c>
      <c r="AC35" s="10">
        <v>1800000</v>
      </c>
      <c r="AD35" s="10"/>
      <c r="AE35" s="10">
        <v>3100000</v>
      </c>
      <c r="AF35" s="10"/>
      <c r="AG35" s="9"/>
      <c r="AH35" s="9"/>
      <c r="AI35" s="9"/>
      <c r="AJ35" s="9"/>
      <c r="AK35" s="9">
        <f>SUM(M35,N35,Q35,R35,S35,T35,U35,V35,W35,X35,Y35,Z35,AA35,AB35,AC35,AD35,AE35,AF35,AG35,AH35,AI35,AJ35)</f>
      </c>
      <c r="AL35" s="9">
        <f>I35-AK35</f>
      </c>
      <c r="AM35" s="9">
        <f>AL35-AN35-AO35-AP35-AQ35</f>
      </c>
      <c r="AN35" s="9"/>
      <c r="AO35" s="9"/>
      <c r="AP35" s="9"/>
      <c r="AQ35" s="9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9"/>
      <c r="BC35" s="9"/>
      <c r="BD35" t="inlineStr" s="8">
        <is>
          <t>3024673857</t>
        </is>
      </c>
      <c r="BE35" t="inlineStr" s="8">
        <is>
          <t>katacaar@gmail.com</t>
        </is>
      </c>
      <c r="BF35" s="8"/>
      <c r="BG35" s="8"/>
    </row>
    <row r="36" ht="12.75" customHeight="1">
      <c r="A36" t="inlineStr" s="8">
        <is>
          <t>002010383255</t>
        </is>
      </c>
      <c r="B36" s="8"/>
      <c r="C36" t="inlineStr" s="8">
        <is>
          <t>408</t>
        </is>
      </c>
      <c r="D36" s="9">
        <v>40.70</v>
      </c>
      <c r="E36" t="inlineStr" s="8">
        <is>
          <t>1096007057</t>
        </is>
      </c>
      <c r="F36" t="inlineStr" s="8">
        <is>
          <t>RUBIANO MARTINEZ YURI TATIANA</t>
        </is>
      </c>
      <c r="G36" s="8"/>
      <c r="H36" s="8"/>
      <c r="I36" s="9">
        <v>173000000.00</v>
      </c>
      <c r="J36" s="8"/>
      <c r="K36" t="inlineStr" s="8">
        <is>
          <t>NCR99 - NCR122 - NCR176 - NCR223 - NCR276 - NCR341 - NCR434 - NCR500 - NCR588 - NCR675 - RC341 - RC250</t>
        </is>
      </c>
      <c r="L36" t="inlineStr" s="8">
        <is>
          <t>SEP.29/25F - OCT.14/25F - NOV.18/25F - DIC.15/25F - ENE.15/26F - FEB.9/26F - MAR.18/26F - ABR.14/26F - MAY.13/26F - JUN.17/26F - JUL.15/26F - AGO.14/26F</t>
        </is>
      </c>
      <c r="M36" s="9"/>
      <c r="N36" s="9"/>
      <c r="O36" s="8"/>
      <c r="P36" s="8"/>
      <c r="Q36" s="10"/>
      <c r="R36" s="10"/>
      <c r="S36" s="10"/>
      <c r="T36" s="10">
        <v>1500000</v>
      </c>
      <c r="U36" s="10">
        <v>1480000</v>
      </c>
      <c r="V36" s="10">
        <v>1480000</v>
      </c>
      <c r="W36" s="10">
        <v>1480000</v>
      </c>
      <c r="X36" s="10">
        <v>1480000</v>
      </c>
      <c r="Y36" s="10">
        <v>1480000</v>
      </c>
      <c r="Z36" s="10">
        <v>1480000</v>
      </c>
      <c r="AA36" s="10">
        <v>1480000</v>
      </c>
      <c r="AB36" s="10">
        <v>1480000</v>
      </c>
      <c r="AC36" s="10">
        <v>1480000</v>
      </c>
      <c r="AD36" s="10">
        <v>1480000</v>
      </c>
      <c r="AE36" s="10">
        <v>1480000</v>
      </c>
      <c r="AF36" s="10"/>
      <c r="AG36" s="9"/>
      <c r="AH36" s="9"/>
      <c r="AI36" s="9"/>
      <c r="AJ36" s="9"/>
      <c r="AK36" s="9">
        <f>SUM(M36,N36,Q36,R36,S36,T36,U36,V36,W36,X36,Y36,Z36,AA36,AB36,AC36,AD36,AE36,AF36,AG36,AH36,AI36,AJ36)</f>
      </c>
      <c r="AL36" s="9">
        <f>I36-AK36</f>
      </c>
      <c r="AM36" s="9">
        <f>AL36-AN36-AO36-AP36-AQ36</f>
      </c>
      <c r="AN36" s="9"/>
      <c r="AO36" s="9"/>
      <c r="AP36" s="9"/>
      <c r="AQ36" s="9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9"/>
      <c r="BC36" s="9"/>
      <c r="BD36" t="inlineStr" s="8">
        <is>
          <t>3127643265</t>
        </is>
      </c>
      <c r="BE36" t="inlineStr" s="8">
        <is>
          <t>rubianotatiana3@gmail.com</t>
        </is>
      </c>
      <c r="BF36" s="8"/>
      <c r="BG36" s="8"/>
    </row>
    <row r="37" ht="12.75" customHeight="1">
      <c r="A37" s="8"/>
      <c r="B37" s="8"/>
      <c r="C37" t="inlineStr" s="8">
        <is>
          <t>501</t>
        </is>
      </c>
      <c r="D37" s="9">
        <v>40.70</v>
      </c>
      <c r="E37" s="8"/>
      <c r="F37" s="8"/>
      <c r="G37" s="8"/>
      <c r="H37" s="8"/>
      <c r="I37" s="9">
        <v>173000000.00</v>
      </c>
      <c r="J37" s="8"/>
      <c r="K37" s="8"/>
      <c r="L37" s="8"/>
      <c r="M37" s="9"/>
      <c r="N37" s="9"/>
      <c r="O37" s="8"/>
      <c r="P37" s="8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9"/>
      <c r="BC37" s="9"/>
      <c r="BD37" s="8"/>
      <c r="BE37" s="8"/>
      <c r="BF37" s="8"/>
      <c r="BG37" s="8"/>
    </row>
    <row r="38" ht="12.75" customHeight="1">
      <c r="A38" t="inlineStr" s="8">
        <is>
          <t>002010383273</t>
        </is>
      </c>
      <c r="B38" s="8"/>
      <c r="C38" t="inlineStr" s="8">
        <is>
          <t>502</t>
        </is>
      </c>
      <c r="D38" s="9">
        <v>40.70</v>
      </c>
      <c r="E38" t="inlineStr" s="8">
        <is>
          <t>1094966941</t>
        </is>
      </c>
      <c r="F38" t="inlineStr" s="8">
        <is>
          <t>JARAMILLO MEJIA JUAN ESTEBAN</t>
        </is>
      </c>
      <c r="G38" s="8"/>
      <c r="H38" s="8"/>
      <c r="I38" s="9">
        <v>173000000.00</v>
      </c>
      <c r="J38" s="8"/>
      <c r="K38" t="inlineStr" s="8">
        <is>
          <t>NCR460 - NCR516 - NCR624 - NCR686 - RC503 - RC048</t>
        </is>
      </c>
      <c r="L38" t="inlineStr" s="8">
        <is>
          <t>MAR.30/26F - ABR.23/26F - MAY.29/26F - JUN.25/26F - JUL.28/26F - SEP.1/26F</t>
        </is>
      </c>
      <c r="M38" s="9"/>
      <c r="N38" s="9"/>
      <c r="O38" s="8"/>
      <c r="P38" s="8"/>
      <c r="Q38" s="10"/>
      <c r="R38" s="10"/>
      <c r="S38" s="10"/>
      <c r="T38" s="10"/>
      <c r="U38" s="10"/>
      <c r="V38" s="10"/>
      <c r="W38" s="10"/>
      <c r="X38" s="10"/>
      <c r="Y38" s="10"/>
      <c r="Z38" s="10">
        <v>3000000</v>
      </c>
      <c r="AA38" s="10">
        <v>1956000</v>
      </c>
      <c r="AB38" s="10">
        <v>1956000</v>
      </c>
      <c r="AC38" s="10">
        <v>1956009</v>
      </c>
      <c r="AD38" s="10">
        <v>1956000</v>
      </c>
      <c r="AE38" s="10"/>
      <c r="AF38" s="10">
        <v>1956000</v>
      </c>
      <c r="AG38" s="9"/>
      <c r="AH38" s="9"/>
      <c r="AI38" s="9"/>
      <c r="AJ38" s="9"/>
      <c r="AK38" s="9">
        <f>SUM(M38,N38,Q38,R38,S38,T38,U38,V38,W38,X38,Y38,Z38,AA38,AB38,AC38,AD38,AE38,AF38,AG38,AH38,AI38,AJ38)</f>
      </c>
      <c r="AL38" s="9">
        <f>I38-AK38</f>
      </c>
      <c r="AM38" s="9">
        <f>AL38-AN38-AO38-AP38-AQ38</f>
      </c>
      <c r="AN38" s="9"/>
      <c r="AO38" s="9"/>
      <c r="AP38" s="9"/>
      <c r="AQ38" s="9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9"/>
      <c r="BC38" s="9"/>
      <c r="BD38" t="inlineStr" s="8">
        <is>
          <t>16292379811</t>
        </is>
      </c>
      <c r="BE38" t="inlineStr" s="8">
        <is>
          <t>juan.jaramillo33@outlook.com</t>
        </is>
      </c>
      <c r="BF38" s="8"/>
      <c r="BG38" s="8"/>
    </row>
    <row r="39" ht="12.75" customHeight="1">
      <c r="A39" t="inlineStr" s="8">
        <is>
          <t>002010383282</t>
        </is>
      </c>
      <c r="B39" s="8"/>
      <c r="C39" t="inlineStr" s="8">
        <is>
          <t>503</t>
        </is>
      </c>
      <c r="D39" s="9">
        <v>40.70</v>
      </c>
      <c r="E39" t="inlineStr" s="8">
        <is>
          <t>1146637374</t>
        </is>
      </c>
      <c r="F39" t="inlineStr" s="8">
        <is>
          <t>ZAPATA SANCHEZ MAYRA ALEJANDRA</t>
        </is>
      </c>
      <c r="G39" s="8"/>
      <c r="H39" s="8"/>
      <c r="I39" s="9">
        <v>173000000.00</v>
      </c>
      <c r="J39" s="8"/>
      <c r="K39" t="inlineStr" s="8">
        <is>
          <t>NCR36 - NCR75 - NCR119 - NCR155 - NCR215 - NCR302 - NCR370 - NCR421 - NCR504 - NCR582 - RC289 - RC426 - RC368</t>
        </is>
      </c>
      <c r="L39" t="inlineStr" s="8">
        <is>
          <t>JUL.31/25F - SEP.2/25F - OCT.3/25F - NOV.4/25F - DIC.9/25F - ENE.29/26F - FEB.25/26F - MAR.10/26F - ABR.16/26F - MAY.11/26F - JUL.10/26F - JUL.22/26F - AGO.25/26F</t>
        </is>
      </c>
      <c r="M39" s="9"/>
      <c r="N39" s="9"/>
      <c r="O39" s="8"/>
      <c r="P39" s="8"/>
      <c r="Q39" s="10"/>
      <c r="R39" s="10">
        <v>1000000</v>
      </c>
      <c r="S39" s="10"/>
      <c r="T39" s="10">
        <v>1000000</v>
      </c>
      <c r="U39" s="10">
        <v>1000000</v>
      </c>
      <c r="V39" s="10">
        <v>1000000</v>
      </c>
      <c r="W39" s="10">
        <v>1000000</v>
      </c>
      <c r="X39" s="10">
        <v>1000000</v>
      </c>
      <c r="Y39" s="10">
        <v>1000000</v>
      </c>
      <c r="Z39" s="10">
        <v>1000000</v>
      </c>
      <c r="AA39" s="10">
        <v>1000000</v>
      </c>
      <c r="AB39" s="10">
        <v>1000000</v>
      </c>
      <c r="AC39" s="10"/>
      <c r="AD39" s="10">
        <f>1000000+1000000</f>
      </c>
      <c r="AE39" s="10">
        <v>1000000</v>
      </c>
      <c r="AF39" s="10"/>
      <c r="AG39" s="9"/>
      <c r="AH39" s="9"/>
      <c r="AI39" s="9"/>
      <c r="AJ39" s="9"/>
      <c r="AK39" s="9">
        <f>SUM(M39,N39,Q39,R39,S39,T39,U39,V39,W39,X39,Y39,Z39,AA39,AB39,AC39,AD39,AE39,AF39,AG39,AH39,AI39,AJ39)</f>
      </c>
      <c r="AL39" s="9">
        <f>I39-AK39</f>
      </c>
      <c r="AM39" s="9">
        <f>AL39-AN39-AO39-AP39-AQ39</f>
      </c>
      <c r="AN39" s="9"/>
      <c r="AO39" s="9"/>
      <c r="AP39" s="9"/>
      <c r="AQ39" s="9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9"/>
      <c r="BC39" s="9"/>
      <c r="BD39" t="inlineStr" s="8">
        <is>
          <t>3152253383</t>
        </is>
      </c>
      <c r="BE39" t="inlineStr" s="8">
        <is>
          <t>mairaalejandrazapatasanchez@gmail.com</t>
        </is>
      </c>
      <c r="BF39" s="8"/>
      <c r="BG39" s="8"/>
    </row>
    <row r="40" ht="12.75" customHeight="1">
      <c r="A40" t="inlineStr" s="8">
        <is>
          <t>002010383291</t>
        </is>
      </c>
      <c r="B40" s="8"/>
      <c r="C40" t="inlineStr" s="8">
        <is>
          <t>504</t>
        </is>
      </c>
      <c r="D40" s="9">
        <v>40.70</v>
      </c>
      <c r="E40" t="inlineStr" s="8">
        <is>
          <t>1123334716</t>
        </is>
      </c>
      <c r="F40" t="inlineStr" s="8">
        <is>
          <t>ALMEIDA ORDONEZ EDINSON SAMIRD</t>
        </is>
      </c>
      <c r="G40" s="8"/>
      <c r="H40" s="8"/>
      <c r="I40" s="9">
        <v>173000000.00</v>
      </c>
      <c r="J40" s="8"/>
      <c r="K40" t="inlineStr" s="8">
        <is>
          <t>NCR82 - NCR145 - NCR184 - NCR235 - NCR308 - NCR373 - NCR453 - NCR518 - NCR610 - NCR687 - RC598 - RC410</t>
        </is>
      </c>
      <c r="L40" t="inlineStr" s="8">
        <is>
          <t>SEP.5/25F - OCT.29/25F - NOV.26/25F - DIC.23/25F - ENE.30/26F - FEB.26/26F - MAR.30/26F - ABR.27/26F - MAY.28/26F - JUN.26/26F - JUL.30/26F - AGO.27/26F</t>
        </is>
      </c>
      <c r="M40" s="9"/>
      <c r="N40" s="9"/>
      <c r="O40" s="8"/>
      <c r="P40" s="8"/>
      <c r="Q40" s="10"/>
      <c r="R40" s="10"/>
      <c r="S40" s="10"/>
      <c r="T40" s="10">
        <v>1000000</v>
      </c>
      <c r="U40" s="10">
        <v>800000</v>
      </c>
      <c r="V40" s="10">
        <v>800000</v>
      </c>
      <c r="W40" s="10">
        <v>800000</v>
      </c>
      <c r="X40" s="10">
        <v>800000</v>
      </c>
      <c r="Y40" s="10">
        <v>800000</v>
      </c>
      <c r="Z40" s="10">
        <v>800000</v>
      </c>
      <c r="AA40" s="10">
        <v>800000</v>
      </c>
      <c r="AB40" s="10">
        <v>800000</v>
      </c>
      <c r="AC40" s="10">
        <v>800000</v>
      </c>
      <c r="AD40" s="10">
        <v>800000</v>
      </c>
      <c r="AE40" s="10">
        <v>800000</v>
      </c>
      <c r="AF40" s="10"/>
      <c r="AG40" s="9"/>
      <c r="AH40" s="9"/>
      <c r="AI40" s="9"/>
      <c r="AJ40" s="9"/>
      <c r="AK40" s="9">
        <f>SUM(M40,N40,Q40,R40,S40,T40,U40,V40,W40,X40,Y40,Z40,AA40,AB40,AC40,AD40,AE40,AF40,AG40,AH40,AI40,AJ40)</f>
      </c>
      <c r="AL40" s="9">
        <f>I40-AK40</f>
      </c>
      <c r="AM40" s="9">
        <f>AL40-AN40-AO40-AP40-AQ40</f>
      </c>
      <c r="AN40" s="9"/>
      <c r="AO40" s="9"/>
      <c r="AP40" s="9"/>
      <c r="AQ40" s="9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9"/>
      <c r="BC40" s="9"/>
      <c r="BD40" t="inlineStr" s="8">
        <is>
          <t>3008216159</t>
        </is>
      </c>
      <c r="BE40" t="inlineStr" s="8">
        <is>
          <t>edinsonalmeida06@gmail.com</t>
        </is>
      </c>
      <c r="BF40" s="8"/>
      <c r="BG40" s="8"/>
    </row>
    <row r="41" ht="12.75" customHeight="1">
      <c r="A41" t="inlineStr" s="8">
        <is>
          <t>002011062723</t>
        </is>
      </c>
      <c r="B41" s="8"/>
      <c r="C41" t="inlineStr" s="8">
        <is>
          <t>505</t>
        </is>
      </c>
      <c r="D41" s="9">
        <v>40.70</v>
      </c>
      <c r="E41" t="inlineStr" s="8">
        <is>
          <t>1094969298</t>
        </is>
      </c>
      <c r="F41" t="inlineStr" s="8">
        <is>
          <t>MONTAÑO VALENCIA JONATHAN</t>
        </is>
      </c>
      <c r="G41" s="8"/>
      <c r="H41" s="8"/>
      <c r="I41" s="9">
        <v>173000000.00</v>
      </c>
      <c r="J41" s="8"/>
      <c r="K41" t="inlineStr" s="8">
        <is>
          <t>RC610</t>
        </is>
      </c>
      <c r="L41" t="inlineStr" s="8">
        <is>
          <t>JUL.30/26F</t>
        </is>
      </c>
      <c r="M41" s="9"/>
      <c r="N41" s="9"/>
      <c r="O41" s="8"/>
      <c r="P41" s="8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>
        <v>1000000</v>
      </c>
      <c r="AE41" s="10"/>
      <c r="AF41" s="10"/>
      <c r="AG41" s="9"/>
      <c r="AH41" s="9"/>
      <c r="AI41" s="9"/>
      <c r="AJ41" s="9"/>
      <c r="AK41" s="9">
        <f>SUM(M41,N41,Q41,R41,S41,T41,U41,V41,W41,X41,Y41,Z41,AA41,AB41,AC41,AD41,AE41,AF41,AG41,AH41,AI41,AJ41)</f>
      </c>
      <c r="AL41" s="9">
        <f>I41-AK41</f>
      </c>
      <c r="AM41" s="9">
        <f>AL41-AN41-AO41-AP41-AQ41</f>
      </c>
      <c r="AN41" s="9"/>
      <c r="AO41" s="9"/>
      <c r="AP41" s="9"/>
      <c r="AQ41" s="9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9"/>
      <c r="BC41" s="9"/>
      <c r="BD41" t="inlineStr" s="8">
        <is>
          <t>3188721383</t>
        </is>
      </c>
      <c r="BE41" t="inlineStr" s="8">
        <is>
          <t>jonathanmontanovalencia0@gmail.com</t>
        </is>
      </c>
      <c r="BF41" s="8"/>
      <c r="BG41" s="8"/>
    </row>
    <row r="42" ht="12.75" customHeight="1">
      <c r="A42" t="inlineStr" s="8">
        <is>
          <t>002010383317</t>
        </is>
      </c>
      <c r="B42" s="8"/>
      <c r="C42" t="inlineStr" s="8">
        <is>
          <t>506</t>
        </is>
      </c>
      <c r="D42" s="9">
        <v>40.70</v>
      </c>
      <c r="E42" t="inlineStr" s="8">
        <is>
          <t>1094972427</t>
        </is>
      </c>
      <c r="F42" t="inlineStr" s="8">
        <is>
          <t>ZULUAGA HOME NICOLAS MAURICIO</t>
        </is>
      </c>
      <c r="G42" s="8"/>
      <c r="H42" s="8"/>
      <c r="I42" s="9">
        <v>173000000.00</v>
      </c>
      <c r="J42" s="8"/>
      <c r="K42" t="inlineStr" s="8">
        <is>
          <t>NCR81 - NCR109 - NCR153 - NCR191 - NCR257 - NCR323 - NCR428 - NCR640 - NCR682 - RC291</t>
        </is>
      </c>
      <c r="L42" t="inlineStr" s="8">
        <is>
          <t>SEP.5/25F - SEP.30/25F - OCT.31/25F - DIC.1/25F - ENE.5/26F - FEB.3/26F - MAR.16/26F - JUN.1/26F - JUN.22/26F - AGO.18/26F</t>
        </is>
      </c>
      <c r="M42" s="9"/>
      <c r="N42" s="9"/>
      <c r="O42" s="8"/>
      <c r="P42" s="8"/>
      <c r="Q42" s="10"/>
      <c r="R42" s="10"/>
      <c r="S42" s="10"/>
      <c r="T42" s="10">
        <f>1000000+954000</f>
      </c>
      <c r="U42" s="10">
        <v>954000</v>
      </c>
      <c r="V42" s="10"/>
      <c r="W42" s="10">
        <v>954000</v>
      </c>
      <c r="X42" s="10">
        <v>954000</v>
      </c>
      <c r="Y42" s="10">
        <v>954000</v>
      </c>
      <c r="Z42" s="10">
        <v>954000</v>
      </c>
      <c r="AA42" s="10"/>
      <c r="AB42" s="10"/>
      <c r="AC42" s="10">
        <f>1000000+1000000</f>
      </c>
      <c r="AD42" s="10"/>
      <c r="AE42" s="10">
        <v>990000</v>
      </c>
      <c r="AF42" s="10"/>
      <c r="AG42" s="9"/>
      <c r="AH42" s="9"/>
      <c r="AI42" s="9"/>
      <c r="AJ42" s="9"/>
      <c r="AK42" s="9">
        <f>SUM(M42,N42,Q42,R42,S42,T42,U42,V42,W42,X42,Y42,Z42,AA42,AB42,AC42,AD42,AE42,AF42,AG42,AH42,AI42,AJ42)</f>
      </c>
      <c r="AL42" s="9">
        <f>I42-AK42</f>
      </c>
      <c r="AM42" s="9">
        <f>AL42-AN42-AO42-AP42-AQ42</f>
      </c>
      <c r="AN42" s="9"/>
      <c r="AO42" s="9"/>
      <c r="AP42" s="9"/>
      <c r="AQ42" s="9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9"/>
      <c r="BC42" s="9"/>
      <c r="BD42" t="inlineStr" s="8">
        <is>
          <t>12065817073</t>
        </is>
      </c>
      <c r="BE42" t="inlineStr" s="8">
        <is>
          <t>nicozulu16@gmail.com</t>
        </is>
      </c>
      <c r="BF42" s="8"/>
      <c r="BG42" s="8"/>
    </row>
    <row r="43" ht="12.75" customHeight="1">
      <c r="A43" t="inlineStr" s="8">
        <is>
          <t>002010383326</t>
        </is>
      </c>
      <c r="B43" s="8"/>
      <c r="C43" t="inlineStr" s="8">
        <is>
          <t>507</t>
        </is>
      </c>
      <c r="D43" s="9">
        <v>40.70</v>
      </c>
      <c r="E43" t="inlineStr" s="8">
        <is>
          <t>1094916474</t>
        </is>
      </c>
      <c r="F43" t="inlineStr" s="8">
        <is>
          <t>VILLA BUSTAMANTE ALEJANDRA</t>
        </is>
      </c>
      <c r="G43" s="8"/>
      <c r="H43" s="8"/>
      <c r="I43" s="9">
        <v>173000000.00</v>
      </c>
      <c r="J43" s="8"/>
      <c r="K43" t="inlineStr" s="8">
        <is>
          <t>NCR281 - NCR344 - NCR426 - NCR487 - NCR572 - RC176</t>
        </is>
      </c>
      <c r="L43" t="inlineStr" s="8">
        <is>
          <t>ENE.16/26F - FEB.11/26F - MAR.12/26F - ABR.6/26F - MAY.5/26F - JUL.1/26F</t>
        </is>
      </c>
      <c r="M43" s="9"/>
      <c r="N43" s="9"/>
      <c r="O43" s="8"/>
      <c r="P43" s="8"/>
      <c r="Q43" s="10"/>
      <c r="R43" s="10"/>
      <c r="S43" s="10"/>
      <c r="T43" s="10"/>
      <c r="U43" s="10"/>
      <c r="V43" s="10"/>
      <c r="W43" s="10"/>
      <c r="X43" s="10">
        <v>10000000</v>
      </c>
      <c r="Y43" s="10">
        <v>1000000</v>
      </c>
      <c r="Z43" s="10">
        <v>2000000</v>
      </c>
      <c r="AA43" s="10">
        <v>1000000</v>
      </c>
      <c r="AB43" s="10">
        <v>1000000</v>
      </c>
      <c r="AC43" s="10"/>
      <c r="AD43" s="10">
        <v>5000000</v>
      </c>
      <c r="AE43" s="10"/>
      <c r="AF43" s="10"/>
      <c r="AG43" s="9"/>
      <c r="AH43" s="9"/>
      <c r="AI43" s="9"/>
      <c r="AJ43" s="9"/>
      <c r="AK43" s="9">
        <f>SUM(M43,N43,Q43,R43,S43,T43,U43,V43,W43,X43,Y43,Z43,AA43,AB43,AC43,AD43,AE43,AF43,AG43,AH43,AI43,AJ43)</f>
      </c>
      <c r="AL43" s="9">
        <f>I43-AK43</f>
      </c>
      <c r="AM43" s="9">
        <f>AL43-AN43-AO43-AP43-AQ43</f>
      </c>
      <c r="AN43" s="9"/>
      <c r="AO43" s="9"/>
      <c r="AP43" s="9"/>
      <c r="AQ43" s="9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9"/>
      <c r="BC43" s="9"/>
      <c r="BD43" t="inlineStr" s="8">
        <is>
          <t>3103957989</t>
        </is>
      </c>
      <c r="BE43" t="inlineStr" s="8">
        <is>
          <t>alejita8108@gmail.com</t>
        </is>
      </c>
      <c r="BF43" s="8"/>
      <c r="BG43" s="8"/>
    </row>
    <row r="44" ht="12.75" customHeight="1">
      <c r="A44" s="8"/>
      <c r="B44" s="8"/>
      <c r="C44" t="inlineStr" s="8">
        <is>
          <t>508</t>
        </is>
      </c>
      <c r="D44" s="9">
        <v>40.70</v>
      </c>
      <c r="E44" s="8"/>
      <c r="F44" s="8"/>
      <c r="G44" s="8"/>
      <c r="H44" s="8"/>
      <c r="I44" s="9">
        <v>173000000.00</v>
      </c>
      <c r="J44" s="8"/>
      <c r="K44" s="8"/>
      <c r="L44" s="8"/>
      <c r="M44" s="9"/>
      <c r="N44" s="9"/>
      <c r="O44" s="8"/>
      <c r="P44" s="8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9"/>
      <c r="BC44" s="9"/>
      <c r="BD44" s="8"/>
      <c r="BE44" s="8"/>
      <c r="BF44" s="8"/>
      <c r="BG44" s="8"/>
    </row>
    <row r="45" ht="12.75" customHeight="1">
      <c r="A45" s="8"/>
      <c r="B45" s="8"/>
      <c r="C45" t="inlineStr" s="8">
        <is>
          <t>601</t>
        </is>
      </c>
      <c r="D45" s="9">
        <v>40.70</v>
      </c>
      <c r="E45" s="8"/>
      <c r="F45" s="8"/>
      <c r="G45" s="8"/>
      <c r="H45" s="8"/>
      <c r="I45" s="9">
        <v>173000000.00</v>
      </c>
      <c r="J45" s="8"/>
      <c r="K45" s="8"/>
      <c r="L45" s="8"/>
      <c r="M45" s="9"/>
      <c r="N45" s="9"/>
      <c r="O45" s="8"/>
      <c r="P45" s="8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9"/>
      <c r="BC45" s="9"/>
      <c r="BD45" s="8"/>
      <c r="BE45" s="8"/>
      <c r="BF45" s="8"/>
      <c r="BG45" s="8"/>
    </row>
    <row r="46" ht="12.75" customHeight="1">
      <c r="A46" t="inlineStr" s="8">
        <is>
          <t>002010383353</t>
        </is>
      </c>
      <c r="B46" s="8"/>
      <c r="C46" t="inlineStr" s="8">
        <is>
          <t>602</t>
        </is>
      </c>
      <c r="D46" s="9">
        <v>40.70</v>
      </c>
      <c r="E46" t="inlineStr" s="8">
        <is>
          <t>94411398</t>
        </is>
      </c>
      <c r="F46" t="inlineStr" s="8">
        <is>
          <t>ROSAS BETANCOURT HAROLD ANDRES</t>
        </is>
      </c>
      <c r="G46" s="8"/>
      <c r="H46" s="8"/>
      <c r="I46" s="9">
        <v>173000000.00</v>
      </c>
      <c r="J46" s="8"/>
      <c r="K46" t="inlineStr" s="8">
        <is>
          <t>NCR435 - NCR491 - NCR569 - NCR658 - RC235 - RC204</t>
        </is>
      </c>
      <c r="L46" t="inlineStr" s="8">
        <is>
          <t>MAR.18/26F - ABR.7/26F - MAY.5/26F - JUN.5/26F - JUL.7/26F - AGO.10/26F</t>
        </is>
      </c>
      <c r="M46" s="9"/>
      <c r="N46" s="9"/>
      <c r="O46" s="8"/>
      <c r="P46" s="8"/>
      <c r="Q46" s="10"/>
      <c r="R46" s="10"/>
      <c r="S46" s="10"/>
      <c r="T46" s="10"/>
      <c r="U46" s="10"/>
      <c r="V46" s="10"/>
      <c r="W46" s="10"/>
      <c r="X46" s="10"/>
      <c r="Y46" s="10"/>
      <c r="Z46" s="10">
        <v>1000000</v>
      </c>
      <c r="AA46" s="10">
        <v>1100000</v>
      </c>
      <c r="AB46" s="10">
        <v>1100000</v>
      </c>
      <c r="AC46" s="10">
        <v>1100000</v>
      </c>
      <c r="AD46" s="10">
        <v>1100000</v>
      </c>
      <c r="AE46" s="10">
        <v>1100000</v>
      </c>
      <c r="AF46" s="10"/>
      <c r="AG46" s="9"/>
      <c r="AH46" s="9"/>
      <c r="AI46" s="9"/>
      <c r="AJ46" s="9"/>
      <c r="AK46" s="9">
        <f>SUM(M46,N46,Q46,R46,S46,T46,U46,V46,W46,X46,Y46,Z46,AA46,AB46,AC46,AD46,AE46,AF46,AG46,AH46,AI46,AJ46)</f>
      </c>
      <c r="AL46" s="9">
        <f>I46-AK46</f>
      </c>
      <c r="AM46" s="9">
        <f>AL46-AN46-AO46-AP46-AQ46</f>
      </c>
      <c r="AN46" s="9"/>
      <c r="AO46" s="9"/>
      <c r="AP46" s="9"/>
      <c r="AQ46" s="9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9"/>
      <c r="BC46" s="9"/>
      <c r="BD46" t="inlineStr" s="8">
        <is>
          <t>34617552466</t>
        </is>
      </c>
      <c r="BE46" t="inlineStr" s="8">
        <is>
          <t>harpau_23@yahoo.es</t>
        </is>
      </c>
      <c r="BF46" s="8"/>
      <c r="BG46" s="8"/>
    </row>
    <row r="47" ht="12.75" customHeight="1">
      <c r="A47" t="inlineStr" s="8">
        <is>
          <t>002010383362</t>
        </is>
      </c>
      <c r="B47" s="8"/>
      <c r="C47" t="inlineStr" s="8">
        <is>
          <t>603</t>
        </is>
      </c>
      <c r="D47" s="9">
        <v>40.70</v>
      </c>
      <c r="E47" t="inlineStr" s="8">
        <is>
          <t>1192792028</t>
        </is>
      </c>
      <c r="F47" t="inlineStr" s="8">
        <is>
          <t>ROMERO GOMEZ STEPHANY</t>
        </is>
      </c>
      <c r="G47" s="8"/>
      <c r="H47" s="8"/>
      <c r="I47" s="9">
        <v>173000000.00</v>
      </c>
      <c r="J47" s="8"/>
      <c r="K47" t="inlineStr" s="8">
        <is>
          <t>NCR43 - NCR66 - NCR112 - NCR164 - NCR207 - NCR253 - NCR325 - NCR411 - NCR474 - NCR557 - NCR648 - RC184 - RC074 - RC047</t>
        </is>
      </c>
      <c r="L47" t="inlineStr" s="8">
        <is>
          <t>AGO.4/25F - SEP.1/25F - OCT.1/25F - NOV.5/25F - DIC.2/25F - ENE.2/26F - FEB.3/26F - MAR.5/26F - ABR.1/26F - MAY.4/26F - JUN.2/26F - JUL.1/26F - AGO.3/26F - SEP.1/26F</t>
        </is>
      </c>
      <c r="M47" s="9"/>
      <c r="N47" s="9"/>
      <c r="O47" s="8"/>
      <c r="P47" s="8"/>
      <c r="Q47" s="10"/>
      <c r="R47" s="10"/>
      <c r="S47" s="10">
        <v>20000000</v>
      </c>
      <c r="T47" s="10">
        <v>331250</v>
      </c>
      <c r="U47" s="10">
        <v>331250</v>
      </c>
      <c r="V47" s="10">
        <v>331250</v>
      </c>
      <c r="W47" s="10">
        <v>331250</v>
      </c>
      <c r="X47" s="10">
        <v>331250</v>
      </c>
      <c r="Y47" s="10">
        <v>331250</v>
      </c>
      <c r="Z47" s="10">
        <v>331250</v>
      </c>
      <c r="AA47" s="10">
        <v>331250</v>
      </c>
      <c r="AB47" s="10">
        <v>331250</v>
      </c>
      <c r="AC47" s="10">
        <v>331250</v>
      </c>
      <c r="AD47" s="10">
        <v>331250</v>
      </c>
      <c r="AE47" s="10">
        <v>331250</v>
      </c>
      <c r="AF47" s="10">
        <v>331250</v>
      </c>
      <c r="AG47" s="9"/>
      <c r="AH47" s="9"/>
      <c r="AI47" s="9"/>
      <c r="AJ47" s="9"/>
      <c r="AK47" s="9">
        <f>SUM(M47,N47,Q47,R47,S47,T47,U47,V47,W47,X47,Y47,Z47,AA47,AB47,AC47,AD47,AE47,AF47,AG47,AH47,AI47,AJ47)</f>
      </c>
      <c r="AL47" s="9">
        <f>I47-AK47</f>
      </c>
      <c r="AM47" s="9">
        <f>AL47-AN47-AO47-AP47-AQ47</f>
      </c>
      <c r="AN47" s="9"/>
      <c r="AO47" s="9"/>
      <c r="AP47" s="9"/>
      <c r="AQ47" s="9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9"/>
      <c r="BC47" s="9"/>
      <c r="BD47" t="inlineStr" s="8">
        <is>
          <t>3104094394</t>
        </is>
      </c>
      <c r="BE47" t="inlineStr" s="8">
        <is>
          <t>stephanyrg01@gmail.com</t>
        </is>
      </c>
      <c r="BF47" s="8"/>
      <c r="BG47" s="8"/>
    </row>
    <row r="48" ht="12.75" customHeight="1">
      <c r="A48" t="inlineStr" s="8">
        <is>
          <t>002010383371</t>
        </is>
      </c>
      <c r="B48" s="8"/>
      <c r="C48" t="inlineStr" s="8">
        <is>
          <t>604</t>
        </is>
      </c>
      <c r="D48" s="9">
        <v>40.70</v>
      </c>
      <c r="E48" t="inlineStr" s="8">
        <is>
          <t>1094966069</t>
        </is>
      </c>
      <c r="F48" t="inlineStr" s="8">
        <is>
          <t>OSORIO MARULANDA VALENTINA</t>
        </is>
      </c>
      <c r="G48" s="8"/>
      <c r="H48" s="8"/>
      <c r="I48" s="9">
        <v>173000000.00</v>
      </c>
      <c r="J48" s="8"/>
      <c r="K48" t="inlineStr" s="8">
        <is>
          <t>NCR38 - NCR71 - NCR117 - NCR151 - NCR158 - NCR204 - NCR247 - NCR322 - NCR399 - NCR488 - NCR567 - NCR623 - NCR180 - RC072 - RC114</t>
        </is>
      </c>
      <c r="L48" t="inlineStr" s="8">
        <is>
          <t>JUL.31/25F - SEP.1/25F - OCT.2/25F - OCT.31/25F - NOV.4/25F - DIC.1/25F - ENE.2/26F - FEB.3/26F - MAR.3/26F - ABR.6/26F - MAY.4/26F - MAY.29/26F - JUL.1/26F - AGO.3/26F - SEP.3/26F</t>
        </is>
      </c>
      <c r="M48" s="9"/>
      <c r="N48" s="9"/>
      <c r="O48" s="8"/>
      <c r="P48" s="8"/>
      <c r="Q48" s="10"/>
      <c r="R48" s="10">
        <v>1000000</v>
      </c>
      <c r="S48" s="10"/>
      <c r="T48" s="10">
        <v>350000</v>
      </c>
      <c r="U48" s="10">
        <f>350000+350000</f>
      </c>
      <c r="V48" s="10">
        <v>702000</v>
      </c>
      <c r="W48" s="10">
        <v>350000</v>
      </c>
      <c r="X48" s="10">
        <v>2104000</v>
      </c>
      <c r="Y48" s="10">
        <v>1050000</v>
      </c>
      <c r="Z48" s="10">
        <v>3508000</v>
      </c>
      <c r="AA48" s="10">
        <v>350000</v>
      </c>
      <c r="AB48" s="10">
        <f>350000+350000</f>
      </c>
      <c r="AC48" s="10"/>
      <c r="AD48" s="10">
        <v>2454000</v>
      </c>
      <c r="AE48" s="10">
        <v>350000</v>
      </c>
      <c r="AF48" s="10">
        <v>350000</v>
      </c>
      <c r="AG48" s="9"/>
      <c r="AH48" s="9"/>
      <c r="AI48" s="9"/>
      <c r="AJ48" s="9"/>
      <c r="AK48" s="9">
        <f>SUM(M48,N48,Q48,R48,S48,T48,U48,V48,W48,X48,Y48,Z48,AA48,AB48,AC48,AD48,AE48,AF48,AG48,AH48,AI48,AJ48)</f>
      </c>
      <c r="AL48" s="9">
        <f>I48-AK48</f>
      </c>
      <c r="AM48" s="9">
        <f>AL48-AN48-AO48-AP48-AQ48</f>
      </c>
      <c r="AN48" s="9"/>
      <c r="AO48" s="9"/>
      <c r="AP48" s="9"/>
      <c r="AQ48" s="9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9"/>
      <c r="BC48" s="9"/>
      <c r="BD48" t="inlineStr" s="8">
        <is>
          <t>3136722271</t>
        </is>
      </c>
      <c r="BE48" t="inlineStr" s="8">
        <is>
          <t>valentinaosoriomarulanda@gmail.com</t>
        </is>
      </c>
      <c r="BF48" s="8"/>
      <c r="BG48" s="8"/>
    </row>
    <row r="49" ht="12.75" customHeight="1">
      <c r="A49" t="inlineStr" s="8">
        <is>
          <t>002010383380</t>
        </is>
      </c>
      <c r="B49" s="8"/>
      <c r="C49" t="inlineStr" s="8">
        <is>
          <t>605</t>
        </is>
      </c>
      <c r="D49" s="9">
        <v>40.70</v>
      </c>
      <c r="E49" t="inlineStr" s="8">
        <is>
          <t>41898076</t>
        </is>
      </c>
      <c r="F49" t="inlineStr" s="8">
        <is>
          <t>GRISALES MARTINEZ RUBIELA</t>
        </is>
      </c>
      <c r="G49" s="8"/>
      <c r="H49" s="8"/>
      <c r="I49" s="9">
        <v>173000000.00</v>
      </c>
      <c r="J49" s="8"/>
      <c r="K49" t="inlineStr" s="8">
        <is>
          <t>NCR132 - NCR187 - NCR238 - NCR367 - NCR444 - NCR577 - NCR665 - RC236 - RC187 - RC142</t>
        </is>
      </c>
      <c r="L49" t="inlineStr" s="8">
        <is>
          <t>OCT.23/25F - NOV.28/25F - DIC.26/25F - FEB.25/26F - MAR.25/26F - MAY.6/26F - JUN.9/26F - JUL.7/26F - AGO.6/26F - SEP.4/26F</t>
        </is>
      </c>
      <c r="M49" s="9"/>
      <c r="N49" s="9"/>
      <c r="O49" s="8"/>
      <c r="P49" s="8"/>
      <c r="Q49" s="10"/>
      <c r="R49" s="10"/>
      <c r="S49" s="10"/>
      <c r="T49" s="10"/>
      <c r="U49" s="10">
        <v>1000000</v>
      </c>
      <c r="V49" s="10">
        <v>3000000</v>
      </c>
      <c r="W49" s="10">
        <v>3000000</v>
      </c>
      <c r="X49" s="10"/>
      <c r="Y49" s="10">
        <v>6000000</v>
      </c>
      <c r="Z49" s="10">
        <v>20000000</v>
      </c>
      <c r="AA49" s="10"/>
      <c r="AB49" s="10">
        <v>2000000</v>
      </c>
      <c r="AC49" s="10">
        <v>2000000</v>
      </c>
      <c r="AD49" s="10">
        <v>2000000</v>
      </c>
      <c r="AE49" s="10">
        <v>1000000</v>
      </c>
      <c r="AF49" s="10">
        <v>800000</v>
      </c>
      <c r="AG49" s="9"/>
      <c r="AH49" s="9"/>
      <c r="AI49" s="9"/>
      <c r="AJ49" s="9"/>
      <c r="AK49" s="9">
        <f>SUM(M49,N49,Q49,R49,S49,T49,U49,V49,W49,X49,Y49,Z49,AA49,AB49,AC49,AD49,AE49,AF49,AG49,AH49,AI49,AJ49)</f>
      </c>
      <c r="AL49" s="9">
        <f>I49-AK49</f>
      </c>
      <c r="AM49" s="9">
        <f>AL49-AN49-AO49-AP49-AQ49</f>
      </c>
      <c r="AN49" s="9"/>
      <c r="AO49" s="9"/>
      <c r="AP49" s="9"/>
      <c r="AQ49" s="9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9"/>
      <c r="BC49" s="9"/>
      <c r="BD49" t="inlineStr" s="8">
        <is>
          <t>3167946130</t>
        </is>
      </c>
      <c r="BE49" t="inlineStr" s="8">
        <is>
          <t>cesaracriales0118@gmail.com</t>
        </is>
      </c>
      <c r="BF49" s="8"/>
      <c r="BG49" s="8"/>
    </row>
    <row r="50" ht="12.75" customHeight="1">
      <c r="A50" t="inlineStr" s="8">
        <is>
          <t>002010383399</t>
        </is>
      </c>
      <c r="B50" s="8"/>
      <c r="C50" t="inlineStr" s="8">
        <is>
          <t>606</t>
        </is>
      </c>
      <c r="D50" s="9">
        <v>40.70</v>
      </c>
      <c r="E50" t="inlineStr" s="8">
        <is>
          <t>1098313748</t>
        </is>
      </c>
      <c r="F50" t="inlineStr" s="8">
        <is>
          <t>AMEZQUITA PERDOMO SIMON ALEXANDER</t>
        </is>
      </c>
      <c r="G50" s="8"/>
      <c r="H50" s="8"/>
      <c r="I50" s="9">
        <v>173000000.00</v>
      </c>
      <c r="J50" s="8"/>
      <c r="K50" t="inlineStr" s="8">
        <is>
          <t>NCR110 - NCR147 - NCR163 - NCR271 - NCR329 - NCR378 - NCR493 - NCR581</t>
        </is>
      </c>
      <c r="L50" t="inlineStr" s="8">
        <is>
          <t>SEP.30/25F - OCT.30/25F - DIC.1/25F - ENE.7/26F - FEB.3/26F - FEB.27/26F - ABR.8/26F - MAY.5/26F</t>
        </is>
      </c>
      <c r="M50" s="9"/>
      <c r="N50" s="9"/>
      <c r="O50" s="8"/>
      <c r="P50" s="8"/>
      <c r="Q50" s="10"/>
      <c r="R50" s="10"/>
      <c r="S50" s="10"/>
      <c r="T50" s="10">
        <v>1000000</v>
      </c>
      <c r="U50" s="10">
        <v>800000</v>
      </c>
      <c r="V50" s="10"/>
      <c r="W50" s="10">
        <v>800000</v>
      </c>
      <c r="X50" s="10">
        <v>800000</v>
      </c>
      <c r="Y50" s="10">
        <f>800000+800000</f>
      </c>
      <c r="Z50" s="10"/>
      <c r="AA50" s="10">
        <v>800000</v>
      </c>
      <c r="AB50" s="10">
        <v>800000</v>
      </c>
      <c r="AC50" s="10"/>
      <c r="AD50" s="10"/>
      <c r="AE50" s="10"/>
      <c r="AF50" s="10"/>
      <c r="AG50" s="9"/>
      <c r="AH50" s="9"/>
      <c r="AI50" s="9"/>
      <c r="AJ50" s="9"/>
      <c r="AK50" s="9">
        <f>SUM(M50,N50,Q50,R50,S50,T50,U50,V50,W50,X50,Y50,Z50,AA50,AB50,AC50,AD50,AE50,AF50,AG50,AH50,AI50,AJ50)</f>
      </c>
      <c r="AL50" s="9">
        <f>I50-AK50</f>
      </c>
      <c r="AM50" s="9">
        <f>AL50-AN50-AO50-AP50-AQ50</f>
      </c>
      <c r="AN50" s="9"/>
      <c r="AO50" s="9"/>
      <c r="AP50" s="9"/>
      <c r="AQ50" s="9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9"/>
      <c r="BC50" s="9"/>
      <c r="BD50" t="inlineStr" s="8">
        <is>
          <t>34641679922</t>
        </is>
      </c>
      <c r="BE50" t="inlineStr" s="8">
        <is>
          <t>simonamezquita2918@gmail.com</t>
        </is>
      </c>
      <c r="BF50" s="8"/>
      <c r="BG50" s="8"/>
    </row>
    <row r="51" ht="12.75" customHeight="1">
      <c r="A51" t="inlineStr" s="8">
        <is>
          <t>002010383406</t>
        </is>
      </c>
      <c r="B51" s="8"/>
      <c r="C51" t="inlineStr" s="8">
        <is>
          <t>607</t>
        </is>
      </c>
      <c r="D51" s="9">
        <v>40.70</v>
      </c>
      <c r="E51" t="inlineStr" s="8">
        <is>
          <t>1094938529</t>
        </is>
      </c>
      <c r="F51" t="inlineStr" s="8">
        <is>
          <t>CARDONA GIRALDO JESSICA JOHANNA</t>
        </is>
      </c>
      <c r="G51" s="8"/>
      <c r="H51" s="8"/>
      <c r="I51" s="9">
        <v>173000000.00</v>
      </c>
      <c r="J51" s="8"/>
      <c r="K51" t="inlineStr" s="8">
        <is>
          <t>NCR412 - NCR461 - NCR565 - NCR627 - RC316 - RC211</t>
        </is>
      </c>
      <c r="L51" t="inlineStr" s="8">
        <is>
          <t>MAR.6/26F - MAR.30/26F - MAY.4/26F - JUN.1/26F - JUL.14/26F - AGO.11/26F</t>
        </is>
      </c>
      <c r="M51" s="9"/>
      <c r="N51" s="9"/>
      <c r="O51" s="8"/>
      <c r="P51" s="8"/>
      <c r="Q51" s="10"/>
      <c r="R51" s="10"/>
      <c r="S51" s="10"/>
      <c r="T51" s="10"/>
      <c r="U51" s="10"/>
      <c r="V51" s="10"/>
      <c r="W51" s="10"/>
      <c r="X51" s="10"/>
      <c r="Y51" s="10"/>
      <c r="Z51" s="10">
        <f>1000000+1018182</f>
      </c>
      <c r="AA51" s="10"/>
      <c r="AB51" s="10">
        <v>1018182</v>
      </c>
      <c r="AC51" s="10">
        <v>1018182</v>
      </c>
      <c r="AD51" s="10">
        <v>1018182</v>
      </c>
      <c r="AE51" s="10">
        <v>1018182</v>
      </c>
      <c r="AF51" s="10"/>
      <c r="AG51" s="9"/>
      <c r="AH51" s="9"/>
      <c r="AI51" s="9"/>
      <c r="AJ51" s="9"/>
      <c r="AK51" s="9">
        <f>SUM(M51,N51,Q51,R51,S51,T51,U51,V51,W51,X51,Y51,Z51,AA51,AB51,AC51,AD51,AE51,AF51,AG51,AH51,AI51,AJ51)</f>
      </c>
      <c r="AL51" s="9">
        <f>I51-AK51</f>
      </c>
      <c r="AM51" s="9">
        <f>AL51-AN51-AO51-AP51-AQ51</f>
      </c>
      <c r="AN51" s="9"/>
      <c r="AO51" s="9"/>
      <c r="AP51" s="9"/>
      <c r="AQ51" s="9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9"/>
      <c r="BC51" s="9"/>
      <c r="BD51" t="inlineStr" s="8">
        <is>
          <t>19087319476</t>
        </is>
      </c>
      <c r="BE51" t="inlineStr" s="8">
        <is>
          <t>jessicacardona091@gmail.com</t>
        </is>
      </c>
      <c r="BF51" s="8"/>
      <c r="BG51" s="8"/>
    </row>
    <row r="52" ht="12.75" customHeight="1">
      <c r="A52" s="8"/>
      <c r="B52" s="8"/>
      <c r="C52" t="inlineStr" s="8">
        <is>
          <t>608</t>
        </is>
      </c>
      <c r="D52" s="9">
        <v>40.70</v>
      </c>
      <c r="E52" s="8"/>
      <c r="F52" s="8"/>
      <c r="G52" s="8"/>
      <c r="H52" s="8"/>
      <c r="I52" s="9">
        <v>173000000.00</v>
      </c>
      <c r="J52" s="8"/>
      <c r="K52" s="8"/>
      <c r="L52" s="8"/>
      <c r="M52" s="9"/>
      <c r="N52" s="9"/>
      <c r="O52" s="8"/>
      <c r="P52" s="8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9"/>
      <c r="BC52" s="9"/>
      <c r="BD52" s="8"/>
      <c r="BE52" s="8"/>
      <c r="BF52" s="8"/>
      <c r="BG52" s="8"/>
    </row>
    <row r="53" ht="12.75" customHeight="1">
      <c r="A53" t="inlineStr" s="8">
        <is>
          <t>002010383424</t>
        </is>
      </c>
      <c r="B53" s="8"/>
      <c r="C53" t="inlineStr" s="8">
        <is>
          <t>701</t>
        </is>
      </c>
      <c r="D53" s="9">
        <v>40.70</v>
      </c>
      <c r="E53" t="inlineStr" s="8">
        <is>
          <t>1094884994</t>
        </is>
      </c>
      <c r="F53" t="inlineStr" s="8">
        <is>
          <t>MENDEZ VILLEGAS MELISSA</t>
        </is>
      </c>
      <c r="G53" s="8"/>
      <c r="H53" s="8"/>
      <c r="I53" s="9">
        <v>173000000.00</v>
      </c>
      <c r="J53" s="8"/>
      <c r="K53" t="inlineStr" s="8">
        <is>
          <t>NCR359 - NCR469 - NCR564</t>
        </is>
      </c>
      <c r="L53" t="inlineStr" s="8">
        <is>
          <t>FEB.19/26F - MAR.31/26F - MAY.4/26F</t>
        </is>
      </c>
      <c r="M53" s="9"/>
      <c r="N53" s="9"/>
      <c r="O53" s="8"/>
      <c r="P53" s="8"/>
      <c r="Q53" s="10"/>
      <c r="R53" s="10"/>
      <c r="S53" s="10"/>
      <c r="T53" s="10"/>
      <c r="U53" s="10"/>
      <c r="V53" s="10"/>
      <c r="W53" s="10"/>
      <c r="X53" s="10"/>
      <c r="Y53" s="10">
        <v>1000000</v>
      </c>
      <c r="Z53" s="10">
        <v>1018000</v>
      </c>
      <c r="AA53" s="10"/>
      <c r="AB53" s="10">
        <v>1018000</v>
      </c>
      <c r="AC53" s="10"/>
      <c r="AD53" s="10"/>
      <c r="AE53" s="10"/>
      <c r="AF53" s="10"/>
      <c r="AG53" s="9"/>
      <c r="AH53" s="9"/>
      <c r="AI53" s="9"/>
      <c r="AJ53" s="9"/>
      <c r="AK53" s="9">
        <f>SUM(M53,N53,Q53,R53,S53,T53,U53,V53,W53,X53,Y53,Z53,AA53,AB53,AC53,AD53,AE53,AF53,AG53,AH53,AI53,AJ53)</f>
      </c>
      <c r="AL53" s="9">
        <f>I53-AK53</f>
      </c>
      <c r="AM53" s="9">
        <f>AL53-AN53-AO53-AP53-AQ53</f>
      </c>
      <c r="AN53" s="9"/>
      <c r="AO53" s="9"/>
      <c r="AP53" s="9"/>
      <c r="AQ53" s="9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9"/>
      <c r="BC53" s="9"/>
      <c r="BD53" t="inlineStr" s="8">
        <is>
          <t>3172647614</t>
        </is>
      </c>
      <c r="BE53" t="inlineStr" s="8">
        <is>
          <t>melimendez2020@gmail.com</t>
        </is>
      </c>
      <c r="BF53" s="8"/>
      <c r="BG53" s="8"/>
    </row>
    <row r="54" ht="12.75" customHeight="1">
      <c r="A54" t="inlineStr" s="8">
        <is>
          <t>002010383433</t>
        </is>
      </c>
      <c r="B54" s="8"/>
      <c r="C54" t="inlineStr" s="8">
        <is>
          <t>702</t>
        </is>
      </c>
      <c r="D54" s="9">
        <v>40.70</v>
      </c>
      <c r="E54" t="inlineStr" s="8">
        <is>
          <t>20475845</t>
        </is>
      </c>
      <c r="F54" t="inlineStr" s="8">
        <is>
          <t>BARBOSA GARCIA DABEIVA ORIANA</t>
        </is>
      </c>
      <c r="G54" s="8"/>
      <c r="H54" s="8"/>
      <c r="I54" s="9">
        <v>173000000.00</v>
      </c>
      <c r="J54" s="8"/>
      <c r="K54" t="inlineStr" s="8">
        <is>
          <t>NCR327 - NCR410</t>
        </is>
      </c>
      <c r="L54" t="inlineStr" s="8">
        <is>
          <t>FEB.4/26F - MAR.5/26F</t>
        </is>
      </c>
      <c r="M54" s="9"/>
      <c r="N54" s="9"/>
      <c r="O54" s="8"/>
      <c r="P54" s="8"/>
      <c r="Q54" s="10"/>
      <c r="R54" s="10"/>
      <c r="S54" s="10"/>
      <c r="T54" s="10"/>
      <c r="U54" s="10"/>
      <c r="V54" s="10"/>
      <c r="W54" s="10"/>
      <c r="X54" s="10"/>
      <c r="Y54" s="10">
        <v>1000000</v>
      </c>
      <c r="Z54" s="10">
        <v>1000000</v>
      </c>
      <c r="AA54" s="10"/>
      <c r="AB54" s="10"/>
      <c r="AC54" s="10"/>
      <c r="AD54" s="10"/>
      <c r="AE54" s="10"/>
      <c r="AF54" s="10"/>
      <c r="AG54" s="9"/>
      <c r="AH54" s="9"/>
      <c r="AI54" s="9"/>
      <c r="AJ54" s="9"/>
      <c r="AK54" s="9">
        <f>SUM(M54,N54,Q54,R54,S54,T54,U54,V54,W54,X54,Y54,Z54,AA54,AB54,AC54,AD54,AE54,AF54,AG54,AH54,AI54,AJ54)</f>
      </c>
      <c r="AL54" s="9">
        <f>I54-AK54</f>
      </c>
      <c r="AM54" s="9">
        <f>AL54-AN54-AO54-AP54-AQ54</f>
      </c>
      <c r="AN54" s="9"/>
      <c r="AO54" s="9"/>
      <c r="AP54" s="9"/>
      <c r="AQ54" s="9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9"/>
      <c r="BC54" s="9"/>
      <c r="BD54" t="inlineStr" s="8">
        <is>
          <t>3138209145</t>
        </is>
      </c>
      <c r="BE54" t="inlineStr" s="8">
        <is>
          <t>orianabarbosa20@gmail.com</t>
        </is>
      </c>
      <c r="BF54" s="8"/>
      <c r="BG54" s="8"/>
    </row>
    <row r="55" ht="12.75" customHeight="1">
      <c r="A55" t="inlineStr" s="8">
        <is>
          <t>002010802141</t>
        </is>
      </c>
      <c r="B55" s="8"/>
      <c r="C55" t="inlineStr" s="8">
        <is>
          <t>703</t>
        </is>
      </c>
      <c r="D55" s="9">
        <v>40.70</v>
      </c>
      <c r="E55" t="inlineStr" s="8">
        <is>
          <t>1094940198</t>
        </is>
      </c>
      <c r="F55" t="inlineStr" s="8">
        <is>
          <t>CANO GARCIA JOHN JAIRO</t>
        </is>
      </c>
      <c r="G55" s="8"/>
      <c r="H55" s="8"/>
      <c r="I55" s="9">
        <v>173000000.00</v>
      </c>
      <c r="J55" s="8"/>
      <c r="K55" t="inlineStr" s="8">
        <is>
          <t>NCR349 - NCR510 - NCR677</t>
        </is>
      </c>
      <c r="L55" t="inlineStr" s="8">
        <is>
          <t>FEB.13/26F - ABR.20/26F - JUN.18/26F</t>
        </is>
      </c>
      <c r="M55" s="9"/>
      <c r="N55" s="9"/>
      <c r="O55" s="8"/>
      <c r="P55" s="8"/>
      <c r="Q55" s="10"/>
      <c r="R55" s="10"/>
      <c r="S55" s="10"/>
      <c r="T55" s="10"/>
      <c r="U55" s="10"/>
      <c r="V55" s="10"/>
      <c r="W55" s="10"/>
      <c r="X55" s="10"/>
      <c r="Y55" s="10">
        <v>2000000</v>
      </c>
      <c r="Z55" s="10"/>
      <c r="AA55" s="10">
        <v>1240000</v>
      </c>
      <c r="AB55" s="10"/>
      <c r="AC55" s="10">
        <v>2000000</v>
      </c>
      <c r="AD55" s="10"/>
      <c r="AE55" s="10"/>
      <c r="AF55" s="10"/>
      <c r="AG55" s="9"/>
      <c r="AH55" s="9"/>
      <c r="AI55" s="9"/>
      <c r="AJ55" s="9"/>
      <c r="AK55" s="9">
        <f>SUM(M55,N55,Q55,R55,S55,T55,U55,V55,W55,X55,Y55,Z55,AA55,AB55,AC55,AD55,AE55,AF55,AG55,AH55,AI55,AJ55)</f>
      </c>
      <c r="AL55" s="9">
        <f>I55-AK55</f>
      </c>
      <c r="AM55" s="9">
        <f>AL55-AN55-AO55-AP55-AQ55</f>
      </c>
      <c r="AN55" s="9"/>
      <c r="AO55" s="9"/>
      <c r="AP55" s="9"/>
      <c r="AQ55" s="9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9"/>
      <c r="BC55" s="9"/>
      <c r="BD55" t="inlineStr" s="8">
        <is>
          <t>642679557</t>
        </is>
      </c>
      <c r="BE55" t="inlineStr" s="8">
        <is>
          <t>canogarciajohnjairo@gmail.com</t>
        </is>
      </c>
      <c r="BF55" s="8"/>
      <c r="BG55" s="8"/>
    </row>
    <row r="56" ht="12.75" customHeight="1">
      <c r="A56" t="inlineStr" s="8">
        <is>
          <t>002010383451</t>
        </is>
      </c>
      <c r="B56" s="8"/>
      <c r="C56" t="inlineStr" s="8">
        <is>
          <t>704</t>
        </is>
      </c>
      <c r="D56" s="9">
        <v>40.70</v>
      </c>
      <c r="E56" t="inlineStr" s="8">
        <is>
          <t>1094965681</t>
        </is>
      </c>
      <c r="F56" t="inlineStr" s="8">
        <is>
          <t>GALLEGO SANCHEZ MARIA ALEJANDRA</t>
        </is>
      </c>
      <c r="G56" s="8"/>
      <c r="H56" s="8"/>
      <c r="I56" s="9">
        <v>173000000.00</v>
      </c>
      <c r="J56" s="8"/>
      <c r="K56" t="inlineStr" s="8">
        <is>
          <t>NCR19 - NCR62 - NCR101 - NCR111 - NCR140 - NCR186 - NCR260 - NCR338 - NCR389 - NCR492 - NCR571 - NCR654 - RC258 - RC071 - RC053</t>
        </is>
      </c>
      <c r="L56" t="inlineStr" s="8">
        <is>
          <t>JUL.8/25F - AGO.29/25F - SEP.29/25F - SEP.30/25F - OCT.29/25F - NOV.28/25F - ENE.5/26F - FEB.9/26F - MAR.2/26F - ABR.7/26F - MAY.5/26F - JUN.2/26F - JUL.8/26F - AGO.3/26F - SEP.1/26F</t>
        </is>
      </c>
      <c r="M56" s="9"/>
      <c r="N56" s="9"/>
      <c r="O56" s="8"/>
      <c r="P56" s="8"/>
      <c r="Q56" s="10"/>
      <c r="R56" s="10">
        <v>2020700</v>
      </c>
      <c r="S56" s="10">
        <v>1020000</v>
      </c>
      <c r="T56" s="10">
        <f>1.02+1020000</f>
      </c>
      <c r="U56" s="10">
        <v>1030000</v>
      </c>
      <c r="V56" s="10">
        <v>1030000</v>
      </c>
      <c r="W56" s="10"/>
      <c r="X56" s="10">
        <v>1030000</v>
      </c>
      <c r="Y56" s="10">
        <v>1030000</v>
      </c>
      <c r="Z56" s="10">
        <v>1030000</v>
      </c>
      <c r="AA56" s="10">
        <v>1030000</v>
      </c>
      <c r="AB56" s="10">
        <v>1030000</v>
      </c>
      <c r="AC56" s="10">
        <v>1030000</v>
      </c>
      <c r="AD56" s="10">
        <v>1030000</v>
      </c>
      <c r="AE56" s="10">
        <v>1030000</v>
      </c>
      <c r="AF56" s="10">
        <v>1030000</v>
      </c>
      <c r="AG56" s="9"/>
      <c r="AH56" s="9"/>
      <c r="AI56" s="9"/>
      <c r="AJ56" s="9"/>
      <c r="AK56" s="9">
        <f>SUM(M56,N56,Q56,R56,S56,T56,U56,V56,W56,X56,Y56,Z56,AA56,AB56,AC56,AD56,AE56,AF56,AG56,AH56,AI56,AJ56)</f>
      </c>
      <c r="AL56" s="9">
        <f>I56-AK56</f>
      </c>
      <c r="AM56" s="9">
        <f>AL56-AN56-AO56-AP56-AQ56</f>
      </c>
      <c r="AN56" s="9"/>
      <c r="AO56" s="9"/>
      <c r="AP56" s="9"/>
      <c r="AQ56" s="9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9"/>
      <c r="BC56" s="9"/>
      <c r="BD56" t="inlineStr" s="8">
        <is>
          <t>34671558511</t>
        </is>
      </c>
      <c r="BE56" t="inlineStr" s="8">
        <is>
          <t>malejagasa@gmail.com</t>
        </is>
      </c>
      <c r="BF56" s="8"/>
      <c r="BG56" s="8"/>
    </row>
    <row r="57" ht="12.75" customHeight="1">
      <c r="A57" t="inlineStr" s="8">
        <is>
          <t>002010383460</t>
        </is>
      </c>
      <c r="B57" s="8"/>
      <c r="C57" t="inlineStr" s="8">
        <is>
          <t>705</t>
        </is>
      </c>
      <c r="D57" s="9">
        <v>40.70</v>
      </c>
      <c r="E57" t="inlineStr" s="8">
        <is>
          <t>1022409333</t>
        </is>
      </c>
      <c r="F57" t="inlineStr" s="8">
        <is>
          <t>CARRANZA RAMOS JOHAN SEBASTIAN</t>
        </is>
      </c>
      <c r="G57" s="8"/>
      <c r="H57" s="8"/>
      <c r="I57" s="9">
        <v>173000000.00</v>
      </c>
      <c r="J57" s="8"/>
      <c r="K57" t="inlineStr" s="8">
        <is>
          <t>NCR46 - NCR85 - NCR131 - NCR182 - NCR203 - NCR249 - NCR319 - NCR427 - NCR482</t>
        </is>
      </c>
      <c r="L57" t="inlineStr" s="8">
        <is>
          <t>AGO.6/25F - SEP.9/25F - OCT.21/25F - NOV.21/25F - DIC.1/25F - ENE.2/26F - FEB.2/26F - MAR.13/26F - ABR.6/26F</t>
        </is>
      </c>
      <c r="M57" s="9"/>
      <c r="N57" s="9"/>
      <c r="O57" s="8"/>
      <c r="P57" s="8"/>
      <c r="Q57" s="10"/>
      <c r="R57" s="10"/>
      <c r="S57" s="10">
        <v>1000000</v>
      </c>
      <c r="T57" s="10">
        <v>925000</v>
      </c>
      <c r="U57" s="10">
        <v>925000</v>
      </c>
      <c r="V57" s="10">
        <v>768000</v>
      </c>
      <c r="W57" s="10">
        <v>1082000</v>
      </c>
      <c r="X57" s="10">
        <v>950000</v>
      </c>
      <c r="Y57" s="10">
        <v>925000</v>
      </c>
      <c r="Z57" s="10">
        <v>900000</v>
      </c>
      <c r="AA57" s="10">
        <v>925000</v>
      </c>
      <c r="AB57" s="10"/>
      <c r="AC57" s="10"/>
      <c r="AD57" s="10"/>
      <c r="AE57" s="10"/>
      <c r="AF57" s="10"/>
      <c r="AG57" s="9"/>
      <c r="AH57" s="9"/>
      <c r="AI57" s="9"/>
      <c r="AJ57" s="9"/>
      <c r="AK57" s="9">
        <f>SUM(M57,N57,Q57,R57,S57,T57,U57,V57,W57,X57,Y57,Z57,AA57,AB57,AC57,AD57,AE57,AF57,AG57,AH57,AI57,AJ57)</f>
      </c>
      <c r="AL57" s="9">
        <f>I57-AK57</f>
      </c>
      <c r="AM57" s="9">
        <f>AL57-AN57-AO57-AP57-AQ57</f>
      </c>
      <c r="AN57" s="9"/>
      <c r="AO57" s="9"/>
      <c r="AP57" s="9"/>
      <c r="AQ57" s="9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9"/>
      <c r="BC57" s="9"/>
      <c r="BD57" t="inlineStr" s="8">
        <is>
          <t>3058792169</t>
        </is>
      </c>
      <c r="BE57" t="inlineStr" s="8">
        <is>
          <t>ingeniero.mec.sebastian@gmail.com</t>
        </is>
      </c>
      <c r="BF57" s="8"/>
      <c r="BG57" s="8"/>
    </row>
    <row r="58" ht="12.75" customHeight="1">
      <c r="A58" t="inlineStr" s="8">
        <is>
          <t>002010383479</t>
        </is>
      </c>
      <c r="B58" s="8"/>
      <c r="C58" t="inlineStr" s="8">
        <is>
          <t>706</t>
        </is>
      </c>
      <c r="D58" s="9">
        <v>40.70</v>
      </c>
      <c r="E58" t="inlineStr" s="8">
        <is>
          <t>1053811157</t>
        </is>
      </c>
      <c r="F58" t="inlineStr" s="8">
        <is>
          <t>RIOS LONDONO CLAUDIA PATRICIA</t>
        </is>
      </c>
      <c r="G58" s="8"/>
      <c r="H58" s="8"/>
      <c r="I58" s="9">
        <v>173000000.00</v>
      </c>
      <c r="J58" s="8"/>
      <c r="K58" t="inlineStr" s="8">
        <is>
          <t>NCR20 - NCR36 - NCR63 - NCR96 - NCR146 - NCR200 - NCR259 - NCR320 - NCR369 - NCR481 - NCR541 - NCR637 - RC174 - RC066 - RC051</t>
        </is>
      </c>
      <c r="L58" t="inlineStr" s="8">
        <is>
          <t>JUL.11/25F - JUL.31/25F - AGO.29/25F - SEP.29/25F - OCT.30/25F - DIC.1/25F - ENE.5/26F - FEB.2/26F - FEB.25/26F - ABR.1/26F - ABR.30/26F - JUN.1/26F - JUL.2/26F - AGO.3/26F - SEP.1/26F</t>
        </is>
      </c>
      <c r="M58" s="9"/>
      <c r="N58" s="9"/>
      <c r="O58" s="8"/>
      <c r="P58" s="8"/>
      <c r="Q58" s="10"/>
      <c r="R58" s="10">
        <f>1000000+900000</f>
      </c>
      <c r="S58" s="10">
        <v>900000</v>
      </c>
      <c r="T58" s="10">
        <v>900000</v>
      </c>
      <c r="U58" s="10">
        <v>900000</v>
      </c>
      <c r="V58" s="10"/>
      <c r="W58" s="10">
        <v>900000</v>
      </c>
      <c r="X58" s="10">
        <v>900000</v>
      </c>
      <c r="Y58" s="10">
        <f>900000+900000</f>
      </c>
      <c r="Z58" s="10"/>
      <c r="AA58" s="10">
        <f>900000+900000</f>
      </c>
      <c r="AB58" s="10"/>
      <c r="AC58" s="10">
        <v>900000</v>
      </c>
      <c r="AD58" s="10">
        <v>900000</v>
      </c>
      <c r="AE58" s="10">
        <v>900000</v>
      </c>
      <c r="AF58" s="10">
        <v>900000</v>
      </c>
      <c r="AG58" s="9"/>
      <c r="AH58" s="9"/>
      <c r="AI58" s="9"/>
      <c r="AJ58" s="9"/>
      <c r="AK58" s="9">
        <f>SUM(M58,N58,Q58,R58,S58,T58,U58,V58,W58,X58,Y58,Z58,AA58,AB58,AC58,AD58,AE58,AF58,AG58,AH58,AI58,AJ58)</f>
      </c>
      <c r="AL58" s="9">
        <f>I58-AK58</f>
      </c>
      <c r="AM58" s="9">
        <f>AL58-AN58-AO58-AP58-AQ58</f>
      </c>
      <c r="AN58" s="9"/>
      <c r="AO58" s="9"/>
      <c r="AP58" s="9"/>
      <c r="AQ58" s="9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9"/>
      <c r="BC58" s="9"/>
      <c r="BD58" t="inlineStr" s="8">
        <is>
          <t>2685395593</t>
        </is>
      </c>
      <c r="BE58" t="inlineStr" s="8">
        <is>
          <t>pati3105r@gmail.com</t>
        </is>
      </c>
      <c r="BF58" s="8"/>
      <c r="BG58" s="8"/>
    </row>
    <row r="59" ht="12.75" customHeight="1">
      <c r="A59" t="inlineStr" s="8">
        <is>
          <t>002010383488</t>
        </is>
      </c>
      <c r="B59" s="8"/>
      <c r="C59" t="inlineStr" s="8">
        <is>
          <t>707</t>
        </is>
      </c>
      <c r="D59" s="9">
        <v>40.70</v>
      </c>
      <c r="E59" t="inlineStr" s="8">
        <is>
          <t>PVA302036</t>
        </is>
      </c>
      <c r="F59" t="inlineStr" s="8">
        <is>
          <t>CEDRES OSORIO DALMA SARAY</t>
        </is>
      </c>
      <c r="G59" t="inlineStr" s="8">
        <is>
          <t>OSORIO MONTOYA OLGA LUCIA</t>
        </is>
      </c>
      <c r="H59" s="8"/>
      <c r="I59" s="9">
        <v>173000000.00</v>
      </c>
      <c r="J59" s="8"/>
      <c r="K59" t="inlineStr" s="8">
        <is>
          <t>NCR321 - NCR496 - NCR498 - NCR590</t>
        </is>
      </c>
      <c r="L59" t="inlineStr" s="8">
        <is>
          <t>FEB.2/26F - ABR.14/26F - ABR.14/26F - MAY.15/26F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/>
      <c r="W59" s="10"/>
      <c r="X59" s="10"/>
      <c r="Y59" s="10">
        <v>1000000</v>
      </c>
      <c r="Z59" s="10"/>
      <c r="AA59" s="10">
        <f>870000+731380</f>
      </c>
      <c r="AB59" s="10">
        <v>2270000</v>
      </c>
      <c r="AC59" s="10"/>
      <c r="AD59" s="10"/>
      <c r="AE59" s="10"/>
      <c r="AF59" s="10"/>
      <c r="AG59" s="9"/>
      <c r="AH59" s="9"/>
      <c r="AI59" s="9"/>
      <c r="AJ59" s="9"/>
      <c r="AK59" s="9">
        <f>SUM(M59,N59,Q59,R59,S59,T59,U59,V59,W59,X59,Y59,Z59,AA59,AB59,AC59,AD59,AE59,AF59,AG59,AH59,AI59,AJ59)</f>
      </c>
      <c r="AL59" s="9">
        <f>I59-AK59</f>
      </c>
      <c r="AM59" s="9">
        <f>AL59-AN59-AO59-AP59-AQ59</f>
      </c>
      <c r="AN59" s="9"/>
      <c r="AO59" s="9"/>
      <c r="AP59" s="9"/>
      <c r="AQ59" s="9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9"/>
      <c r="BC59" s="9"/>
      <c r="BD59" t="inlineStr" s="8">
        <is>
          <t>695721874</t>
        </is>
      </c>
      <c r="BE59" t="inlineStr" s="8">
        <is>
          <t>luciaosoriomontoya@gmail.com</t>
        </is>
      </c>
      <c r="BF59" s="8"/>
      <c r="BG59" s="8"/>
    </row>
    <row r="60" ht="12.75" customHeight="1">
      <c r="A60" t="inlineStr" s="8">
        <is>
          <t>002010383497</t>
        </is>
      </c>
      <c r="B60" s="8"/>
      <c r="C60" t="inlineStr" s="8">
        <is>
          <t>708</t>
        </is>
      </c>
      <c r="D60" s="9">
        <v>40.70</v>
      </c>
      <c r="E60" t="inlineStr" s="8">
        <is>
          <t>1006185347</t>
        </is>
      </c>
      <c r="F60" t="inlineStr" s="8">
        <is>
          <t>TORO VIAFARA JHON SEBASTIAN</t>
        </is>
      </c>
      <c r="G60" s="8"/>
      <c r="H60" s="8"/>
      <c r="I60" s="9">
        <v>173000000.00</v>
      </c>
      <c r="J60" s="8"/>
      <c r="K60" t="inlineStr" s="8">
        <is>
          <t>NCR288 - NCR526 - NCR558 - NCR607 - NCR617</t>
        </is>
      </c>
      <c r="L60" t="inlineStr" s="8">
        <is>
          <t>ENE.22/26F - ABR.29/26F - MAY.4/26F - MAY.25/26F - MAY.29/26F</t>
        </is>
      </c>
      <c r="M60" s="9"/>
      <c r="N60" s="9"/>
      <c r="O60" s="8"/>
      <c r="P60" s="8"/>
      <c r="Q60" s="10"/>
      <c r="R60" s="10"/>
      <c r="S60" s="10"/>
      <c r="T60" s="10"/>
      <c r="U60" s="10"/>
      <c r="V60" s="10"/>
      <c r="W60" s="10"/>
      <c r="X60" s="10">
        <v>1000000</v>
      </c>
      <c r="Y60" s="10"/>
      <c r="Z60" s="10"/>
      <c r="AA60" s="10">
        <v>896</v>
      </c>
      <c r="AB60" s="10">
        <f>896000+896000+896000</f>
      </c>
      <c r="AC60" s="10"/>
      <c r="AD60" s="10"/>
      <c r="AE60" s="10"/>
      <c r="AF60" s="10"/>
      <c r="AG60" s="9"/>
      <c r="AH60" s="9"/>
      <c r="AI60" s="9"/>
      <c r="AJ60" s="9"/>
      <c r="AK60" s="9">
        <f>SUM(M60,N60,Q60,R60,S60,T60,U60,V60,W60,X60,Y60,Z60,AA60,AB60,AC60,AD60,AE60,AF60,AG60,AH60,AI60,AJ60)</f>
      </c>
      <c r="AL60" s="9">
        <f>I60-AK60</f>
      </c>
      <c r="AM60" s="9">
        <f>AL60-AN60-AO60-AP60-AQ60</f>
      </c>
      <c r="AN60" s="9"/>
      <c r="AO60" s="9"/>
      <c r="AP60" s="9"/>
      <c r="AQ60" s="9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9"/>
      <c r="BC60" s="9"/>
      <c r="BD60" t="inlineStr" s="8">
        <is>
          <t>641309095</t>
        </is>
      </c>
      <c r="BE60" t="inlineStr" s="8">
        <is>
          <t>sebastiantoroviafara@gmail.com</t>
        </is>
      </c>
      <c r="BF60" s="8"/>
      <c r="BG60" s="8"/>
    </row>
    <row r="61" ht="12.75" customHeight="1">
      <c r="A61" t="inlineStr" s="8">
        <is>
          <t>002010383503</t>
        </is>
      </c>
      <c r="B61" s="8"/>
      <c r="C61" t="inlineStr" s="8">
        <is>
          <t>801</t>
        </is>
      </c>
      <c r="D61" s="9">
        <v>40.70</v>
      </c>
      <c r="E61" t="inlineStr" s="8">
        <is>
          <t>1061759028</t>
        </is>
      </c>
      <c r="F61" t="inlineStr" s="8">
        <is>
          <t>GARZON FLOREZ DIANA MARCELA</t>
        </is>
      </c>
      <c r="G61" s="8"/>
      <c r="H61" s="8"/>
      <c r="I61" s="9">
        <v>173000000.00</v>
      </c>
      <c r="J61" s="8"/>
      <c r="K61" t="inlineStr" s="8">
        <is>
          <t>NCR413 - NCR480 - NCR650 - RC067 - RC050</t>
        </is>
      </c>
      <c r="L61" t="inlineStr" s="8">
        <is>
          <t>MAR.6/26F - ABR.1/26F - JUN.2/26F - AGO.3/26F - SEP.1/26F</t>
        </is>
      </c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10"/>
      <c r="Y61" s="10"/>
      <c r="Z61" s="10">
        <v>1000000</v>
      </c>
      <c r="AA61" s="10">
        <v>1000000</v>
      </c>
      <c r="AB61" s="10"/>
      <c r="AC61" s="10">
        <v>1000000</v>
      </c>
      <c r="AD61" s="10"/>
      <c r="AE61" s="10">
        <v>1000000</v>
      </c>
      <c r="AF61" s="10">
        <v>1000000</v>
      </c>
      <c r="AG61" s="9"/>
      <c r="AH61" s="9"/>
      <c r="AI61" s="9"/>
      <c r="AJ61" s="9"/>
      <c r="AK61" s="9">
        <f>SUM(M61,N61,Q61,R61,S61,T61,U61,V61,W61,X61,Y61,Z61,AA61,AB61,AC61,AD61,AE61,AF61,AG61,AH61,AI61,AJ61)</f>
      </c>
      <c r="AL61" s="9">
        <f>I61-AK61</f>
      </c>
      <c r="AM61" s="9">
        <f>AL61-AN61-AO61-AP61-AQ61</f>
      </c>
      <c r="AN61" s="9"/>
      <c r="AO61" s="9"/>
      <c r="AP61" s="9"/>
      <c r="AQ61" s="9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9"/>
      <c r="BC61" s="9"/>
      <c r="BD61" t="inlineStr" s="8">
        <is>
          <t>34641095466</t>
        </is>
      </c>
      <c r="BE61" t="inlineStr" s="8">
        <is>
          <t>dianamarcelagarzonflorez@gmail.com</t>
        </is>
      </c>
      <c r="BF61" s="8"/>
      <c r="BG61" s="8"/>
    </row>
    <row r="62" ht="12.75" customHeight="1">
      <c r="A62" t="inlineStr" s="8">
        <is>
          <t>002010383512</t>
        </is>
      </c>
      <c r="B62" s="8"/>
      <c r="C62" t="inlineStr" s="8">
        <is>
          <t>802</t>
        </is>
      </c>
      <c r="D62" s="9">
        <v>40.70</v>
      </c>
      <c r="E62" t="inlineStr" s="8">
        <is>
          <t>41905808</t>
        </is>
      </c>
      <c r="F62" t="inlineStr" s="8">
        <is>
          <t>MONCADA LONDONO LUZ MARINA</t>
        </is>
      </c>
      <c r="G62" s="8"/>
      <c r="H62" s="8"/>
      <c r="I62" s="9">
        <v>173000000.00</v>
      </c>
      <c r="J62" s="8"/>
      <c r="K62" t="inlineStr" s="8">
        <is>
          <t>NCR283 - NCR418 - NCR512 - NCR603 - NCR656 - RC403 - RC113</t>
        </is>
      </c>
      <c r="L62" t="inlineStr" s="8">
        <is>
          <t>ENE.19/26F - MAR.9/26F - ABR.22/26F - MAY.22/26F - JUN.4/26F - JUL.21/26F - SEP.3/26F</t>
        </is>
      </c>
      <c r="M62" s="9"/>
      <c r="N62" s="9"/>
      <c r="O62" s="8"/>
      <c r="P62" s="8"/>
      <c r="Q62" s="10"/>
      <c r="R62" s="10"/>
      <c r="S62" s="10"/>
      <c r="T62" s="10"/>
      <c r="U62" s="10"/>
      <c r="V62" s="10"/>
      <c r="W62" s="10"/>
      <c r="X62" s="10">
        <v>2000000</v>
      </c>
      <c r="Y62" s="10"/>
      <c r="Z62" s="10">
        <v>2000000</v>
      </c>
      <c r="AA62" s="10">
        <v>2000000</v>
      </c>
      <c r="AB62" s="10">
        <v>2000000</v>
      </c>
      <c r="AC62" s="10">
        <v>2000000</v>
      </c>
      <c r="AD62" s="10">
        <v>2000000</v>
      </c>
      <c r="AE62" s="10"/>
      <c r="AF62" s="10">
        <v>2000000</v>
      </c>
      <c r="AG62" s="9"/>
      <c r="AH62" s="9"/>
      <c r="AI62" s="9"/>
      <c r="AJ62" s="9"/>
      <c r="AK62" s="9">
        <f>SUM(M62,N62,Q62,R62,S62,T62,U62,V62,W62,X62,Y62,Z62,AA62,AB62,AC62,AD62,AE62,AF62,AG62,AH62,AI62,AJ62)</f>
      </c>
      <c r="AL62" s="9">
        <f>I62-AK62</f>
      </c>
      <c r="AM62" s="9">
        <f>AL62-AN62-AO62-AP62-AQ62</f>
      </c>
      <c r="AN62" s="9"/>
      <c r="AO62" s="9"/>
      <c r="AP62" s="9"/>
      <c r="AQ62" s="9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9"/>
      <c r="BC62" s="9"/>
      <c r="BD62" t="inlineStr" s="8">
        <is>
          <t>3225815023</t>
        </is>
      </c>
      <c r="BE62" t="inlineStr" s="8">
        <is>
          <t>moreno-moncada@hotmail.com</t>
        </is>
      </c>
      <c r="BF62" s="8"/>
      <c r="BG62" s="8"/>
    </row>
    <row r="63" ht="12.75" customHeight="1">
      <c r="A63" t="inlineStr" s="8">
        <is>
          <t>002010383521</t>
        </is>
      </c>
      <c r="B63" s="8"/>
      <c r="C63" t="inlineStr" s="8">
        <is>
          <t>803</t>
        </is>
      </c>
      <c r="D63" s="9">
        <v>40.70</v>
      </c>
      <c r="E63" t="inlineStr" s="8">
        <is>
          <t>1094912805</t>
        </is>
      </c>
      <c r="F63" t="inlineStr" s="8">
        <is>
          <t>ZAPATA SANCHEZ CRISTIAN FELIPE</t>
        </is>
      </c>
      <c r="G63" s="8"/>
      <c r="H63" s="8"/>
      <c r="I63" s="9">
        <v>173000000.00</v>
      </c>
      <c r="J63" s="8"/>
      <c r="K63" t="inlineStr" s="8">
        <is>
          <t>NCR16 - NCR57 - NCR118 - NCR168 - NCR209 - NCR272 - NCR332 - NCR356 - NCR361 - NCR364 - NCR489 - NCR514 - NCR683 - RC124 - RC293 - RC294</t>
        </is>
      </c>
      <c r="L63" t="inlineStr" s="8">
        <is>
          <t>JUL.4/25F - AGO.25/25F - OCT.2/25F - NOV.5/25F - DIC.3/25F - ENE.7/26F - FEB.6/26F - FEB.17/26F - FEB.20/26F - FEB.23/26F - ABR.6/26F - ABR.22/26F - JUN.22/26F - AGO.4/26F - AGO.18/26F - AGO.18/26F</t>
        </is>
      </c>
      <c r="M63" s="9"/>
      <c r="N63" s="9"/>
      <c r="O63" s="8"/>
      <c r="P63" s="8"/>
      <c r="Q63" s="10"/>
      <c r="R63" s="10">
        <v>1000000</v>
      </c>
      <c r="S63" s="10">
        <v>203000</v>
      </c>
      <c r="T63" s="10"/>
      <c r="U63" s="10">
        <v>203000</v>
      </c>
      <c r="V63" s="10">
        <v>203000</v>
      </c>
      <c r="W63" s="10">
        <v>203000</v>
      </c>
      <c r="X63" s="10">
        <v>700000</v>
      </c>
      <c r="Y63" s="10">
        <f>2503000+2000000+203000+2000000</f>
      </c>
      <c r="Z63" s="10"/>
      <c r="AA63" s="10">
        <f>203000+406000</f>
      </c>
      <c r="AB63" s="10"/>
      <c r="AC63" s="10">
        <v>406000</v>
      </c>
      <c r="AD63" s="10"/>
      <c r="AE63" s="10">
        <f>203000+203000+2000000</f>
      </c>
      <c r="AF63" s="10"/>
      <c r="AG63" s="9"/>
      <c r="AH63" s="9"/>
      <c r="AI63" s="9"/>
      <c r="AJ63" s="9"/>
      <c r="AK63" s="9">
        <f>SUM(M63,N63,Q63,R63,S63,T63,U63,V63,W63,X63,Y63,Z63,AA63,AB63,AC63,AD63,AE63,AF63,AG63,AH63,AI63,AJ63)</f>
      </c>
      <c r="AL63" s="9">
        <f>I63-AK63</f>
      </c>
      <c r="AM63" s="9">
        <f>AL63-AN63-AO63-AP63-AQ63</f>
      </c>
      <c r="AN63" s="9"/>
      <c r="AO63" s="9"/>
      <c r="AP63" s="9"/>
      <c r="AQ63" s="9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9"/>
      <c r="BC63" s="9"/>
      <c r="BD63" t="inlineStr" s="8">
        <is>
          <t>3216223102</t>
        </is>
      </c>
      <c r="BE63" t="inlineStr" s="8">
        <is>
          <t>cfz._17@hotmail.com</t>
        </is>
      </c>
      <c r="BF63" s="8"/>
      <c r="BG63" s="8"/>
    </row>
    <row r="64" ht="12.75" customHeight="1">
      <c r="A64" t="inlineStr" s="8">
        <is>
          <t>002011062714</t>
        </is>
      </c>
      <c r="B64" s="8"/>
      <c r="C64" t="inlineStr" s="8">
        <is>
          <t>804</t>
        </is>
      </c>
      <c r="D64" s="9">
        <v>40.70</v>
      </c>
      <c r="E64" t="inlineStr" s="8">
        <is>
          <t>1006321298</t>
        </is>
      </c>
      <c r="F64" t="inlineStr" s="8">
        <is>
          <t>MUÑOZ OROZCO YESICA TATIANA</t>
        </is>
      </c>
      <c r="G64" s="8"/>
      <c r="H64" s="8"/>
      <c r="I64" s="9">
        <v>173000000.00</v>
      </c>
      <c r="J64" s="8"/>
      <c r="K64" t="inlineStr" s="8">
        <is>
          <t>RC505 - RC567</t>
        </is>
      </c>
      <c r="L64" t="inlineStr" s="8">
        <is>
          <t>JUL.28/26F - AGO.31/26F</t>
        </is>
      </c>
      <c r="M64" s="9"/>
      <c r="N64" s="9"/>
      <c r="O64" s="8"/>
      <c r="P64" s="8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>
        <v>1000000</v>
      </c>
      <c r="AE64" s="10">
        <v>1250000</v>
      </c>
      <c r="AF64" s="10"/>
      <c r="AG64" s="9"/>
      <c r="AH64" s="9"/>
      <c r="AI64" s="9"/>
      <c r="AJ64" s="9"/>
      <c r="AK64" s="9">
        <f>SUM(M64,N64,Q64,R64,S64,T64,U64,V64,W64,X64,Y64,Z64,AA64,AB64,AC64,AD64,AE64,AF64,AG64,AH64,AI64,AJ64)</f>
      </c>
      <c r="AL64" s="9">
        <f>I64-AK64</f>
      </c>
      <c r="AM64" s="9">
        <f>AL64-AN64-AO64-AP64-AQ64</f>
      </c>
      <c r="AN64" s="9"/>
      <c r="AO64" s="9"/>
      <c r="AP64" s="9"/>
      <c r="AQ64" s="9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9"/>
      <c r="BC64" s="9"/>
      <c r="BD64" t="inlineStr" s="8">
        <is>
          <t>6465082609</t>
        </is>
      </c>
      <c r="BE64" t="inlineStr" s="8">
        <is>
          <t>tatiana300mu@gmail.com</t>
        </is>
      </c>
      <c r="BF64" s="8"/>
      <c r="BG64" t="inlineStr" s="8">
        <is>
          <t>ESTE ES EL DETALLE | OBSERVACIÓN DE TEST</t>
        </is>
      </c>
    </row>
    <row r="65" ht="12.75" customHeight="1">
      <c r="A65" t="inlineStr" s="8">
        <is>
          <t>002010802178</t>
        </is>
      </c>
      <c r="B65" s="8"/>
      <c r="C65" t="inlineStr" s="8">
        <is>
          <t>805</t>
        </is>
      </c>
      <c r="D65" s="9">
        <v>40.70</v>
      </c>
      <c r="E65" t="inlineStr" s="8">
        <is>
          <t>1094939678</t>
        </is>
      </c>
      <c r="F65" t="inlineStr" s="8">
        <is>
          <t>RIOS CARVAJAL CARLOS ALBERTO</t>
        </is>
      </c>
      <c r="G65" s="8"/>
      <c r="H65" s="8"/>
      <c r="I65" s="9">
        <v>173000000.00</v>
      </c>
      <c r="J65" s="8"/>
      <c r="K65" t="inlineStr" s="8">
        <is>
          <t>NCR422 - NCR547 - NCR649</t>
        </is>
      </c>
      <c r="L65" t="inlineStr" s="8">
        <is>
          <t>MAR.11/26F - ABR.30/26F - JUN.2/26F</t>
        </is>
      </c>
      <c r="M65" s="9"/>
      <c r="N65" s="9"/>
      <c r="O65" s="8"/>
      <c r="P65" s="8"/>
      <c r="Q65" s="10"/>
      <c r="R65" s="10"/>
      <c r="S65" s="10"/>
      <c r="T65" s="10"/>
      <c r="U65" s="10"/>
      <c r="V65" s="10"/>
      <c r="W65" s="10"/>
      <c r="X65" s="10"/>
      <c r="Y65" s="10"/>
      <c r="Z65" s="10">
        <v>1000000</v>
      </c>
      <c r="AA65" s="10">
        <v>750000</v>
      </c>
      <c r="AB65" s="10"/>
      <c r="AC65" s="10">
        <v>750000</v>
      </c>
      <c r="AD65" s="10"/>
      <c r="AE65" s="10"/>
      <c r="AF65" s="10"/>
      <c r="AG65" s="9"/>
      <c r="AH65" s="9"/>
      <c r="AI65" s="9"/>
      <c r="AJ65" s="9"/>
      <c r="AK65" s="9">
        <f>SUM(M65,N65,Q65,R65,S65,T65,U65,V65,W65,X65,Y65,Z65,AA65,AB65,AC65,AD65,AE65,AF65,AG65,AH65,AI65,AJ65)</f>
      </c>
      <c r="AL65" s="9">
        <f>I65-AK65</f>
      </c>
      <c r="AM65" s="9">
        <f>AL65-AN65-AO65-AP65-AQ65</f>
      </c>
      <c r="AN65" s="9"/>
      <c r="AO65" s="9"/>
      <c r="AP65" s="9"/>
      <c r="AQ65" s="9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9"/>
      <c r="BC65" s="9"/>
      <c r="BD65" t="inlineStr" s="8">
        <is>
          <t>3217768457</t>
        </is>
      </c>
      <c r="BE65" t="inlineStr" s="8">
        <is>
          <t>dominoado8@gmail.com</t>
        </is>
      </c>
      <c r="BF65" s="8"/>
      <c r="BG65" s="8"/>
    </row>
    <row r="66" ht="12.75" customHeight="1">
      <c r="A66" t="inlineStr" s="8">
        <is>
          <t>002010383558</t>
        </is>
      </c>
      <c r="B66" s="8"/>
      <c r="C66" t="inlineStr" s="8">
        <is>
          <t>806</t>
        </is>
      </c>
      <c r="D66" s="9">
        <v>40.70</v>
      </c>
      <c r="E66" t="inlineStr" s="8">
        <is>
          <t>1094889968</t>
        </is>
      </c>
      <c r="F66" t="inlineStr" s="8">
        <is>
          <t>ESCOBAR BEDOYA YESSICA JOHANNA</t>
        </is>
      </c>
      <c r="G66" s="8"/>
      <c r="H66" s="8"/>
      <c r="I66" s="9">
        <v>173000000.00</v>
      </c>
      <c r="J66" s="8"/>
      <c r="K66" t="inlineStr" s="8">
        <is>
          <t>NCR32 - NCR60 - NCR106 - NCR154 - NCR190 - NCR262 - NCR312 - NCR386 - NCR470 - NCR563 - NCR642 - NCR707 - RC068 - RC560</t>
        </is>
      </c>
      <c r="L66" t="inlineStr" s="8">
        <is>
          <t>JUL.29/25F - AGO.29/25F - SEP.30/25F - OCT.31/25F - DIC.1/25F - ENE.5/26F - FEB.2/26F - MAR.2/26F - MAR.31/26F - MAY.4/26F - JUN.1/26F - JUN.30/26F - AGO.3/26F - AGO.31/26F</t>
        </is>
      </c>
      <c r="M66" s="9"/>
      <c r="N66" s="9"/>
      <c r="O66" s="8"/>
      <c r="P66" s="8"/>
      <c r="Q66" s="10"/>
      <c r="R66" s="10">
        <v>3000000</v>
      </c>
      <c r="S66" s="10">
        <v>900000</v>
      </c>
      <c r="T66" s="10">
        <v>1100000</v>
      </c>
      <c r="U66" s="10">
        <v>1100000</v>
      </c>
      <c r="V66" s="10"/>
      <c r="W66" s="10">
        <v>1000000</v>
      </c>
      <c r="X66" s="10">
        <v>1000000</v>
      </c>
      <c r="Y66" s="10">
        <v>900000</v>
      </c>
      <c r="Z66" s="10">
        <f>900000+900000</f>
      </c>
      <c r="AA66" s="10"/>
      <c r="AB66" s="10">
        <v>900000</v>
      </c>
      <c r="AC66" s="10">
        <f>900000+870000</f>
      </c>
      <c r="AD66" s="10"/>
      <c r="AE66" s="10">
        <f>862500+1000000</f>
      </c>
      <c r="AF66" s="10"/>
      <c r="AG66" s="9"/>
      <c r="AH66" s="9"/>
      <c r="AI66" s="9"/>
      <c r="AJ66" s="9"/>
      <c r="AK66" s="9">
        <f>SUM(M66,N66,Q66,R66,S66,T66,U66,V66,W66,X66,Y66,Z66,AA66,AB66,AC66,AD66,AE66,AF66,AG66,AH66,AI66,AJ66)</f>
      </c>
      <c r="AL66" s="9">
        <f>I66-AK66</f>
      </c>
      <c r="AM66" s="9">
        <f>AL66-AN66-AO66-AP66-AQ66</f>
      </c>
      <c r="AN66" s="9"/>
      <c r="AO66" s="9"/>
      <c r="AP66" s="9"/>
      <c r="AQ66" s="9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9"/>
      <c r="BC66" s="9"/>
      <c r="BD66" t="inlineStr" s="8">
        <is>
          <t>34691591072</t>
        </is>
      </c>
      <c r="BE66" t="inlineStr" s="8">
        <is>
          <t>johanita20escobar@gmail.com</t>
        </is>
      </c>
      <c r="BF66" s="8"/>
      <c r="BG66" s="8"/>
    </row>
    <row r="67" ht="12.75" customHeight="1">
      <c r="A67" s="8"/>
      <c r="B67" s="8"/>
      <c r="C67" t="inlineStr" s="8">
        <is>
          <t>807</t>
        </is>
      </c>
      <c r="D67" s="9">
        <v>40.70</v>
      </c>
      <c r="E67" s="8"/>
      <c r="F67" s="8"/>
      <c r="G67" s="8"/>
      <c r="H67" s="8"/>
      <c r="I67" s="9">
        <v>173000000.00</v>
      </c>
      <c r="J67" s="8"/>
      <c r="K67" s="8"/>
      <c r="L67" s="8"/>
      <c r="M67" s="9"/>
      <c r="N67" s="9"/>
      <c r="O67" s="8"/>
      <c r="P67" s="8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9"/>
      <c r="BC67" s="9"/>
      <c r="BD67" s="8"/>
      <c r="BE67" s="8"/>
      <c r="BF67" s="8"/>
      <c r="BG67" s="8"/>
    </row>
    <row r="68" ht="12.75" customHeight="1">
      <c r="A68" t="inlineStr" s="8">
        <is>
          <t>002010383576</t>
        </is>
      </c>
      <c r="B68" s="8"/>
      <c r="C68" t="inlineStr" s="8">
        <is>
          <t>808</t>
        </is>
      </c>
      <c r="D68" s="9">
        <v>40.70</v>
      </c>
      <c r="E68" t="inlineStr" s="8">
        <is>
          <t>1099709337</t>
        </is>
      </c>
      <c r="F68" t="inlineStr" s="8">
        <is>
          <t>GOMEZ CASAS DANIELA</t>
        </is>
      </c>
      <c r="G68" s="8"/>
      <c r="H68" s="8"/>
      <c r="I68" s="9">
        <v>173000000.00</v>
      </c>
      <c r="J68" t="inlineStr" s="8">
        <is>
          <t>NC26300TRASLADO</t>
        </is>
      </c>
      <c r="K68" t="inlineStr" s="8">
        <is>
          <t>NCR251 - NCR303 - NCR394 - NCR468 - NCR561 - NCR651 - RC181 - RC073 - RC081</t>
        </is>
      </c>
      <c r="L68" t="inlineStr" s="8">
        <is>
          <t>(NOV.12/25TRASLADO) - ENE.2/26F - ENE.29/26F - MAR.2/26F - MAR.31/26F - MAY.4/26F - JUN.2/26F - JUL.6/26F - AGO.3/26F - SEP.2/26F</t>
        </is>
      </c>
      <c r="M68" s="9"/>
      <c r="N68" s="9">
        <v>23950000</v>
      </c>
      <c r="O68" s="8"/>
      <c r="P68" s="8"/>
      <c r="Q68" s="10"/>
      <c r="R68" s="10"/>
      <c r="S68" s="10"/>
      <c r="T68" s="10"/>
      <c r="U68" s="10"/>
      <c r="V68" s="10"/>
      <c r="W68" s="10"/>
      <c r="X68" s="10">
        <f>800000+800000</f>
      </c>
      <c r="Y68" s="10"/>
      <c r="Z68" s="10">
        <f>800000+800000</f>
      </c>
      <c r="AA68" s="10"/>
      <c r="AB68" s="10">
        <v>800000</v>
      </c>
      <c r="AC68" s="10">
        <v>800000</v>
      </c>
      <c r="AD68" s="10">
        <v>800000</v>
      </c>
      <c r="AE68" s="10">
        <v>800000</v>
      </c>
      <c r="AF68" s="10">
        <v>800000</v>
      </c>
      <c r="AG68" s="9"/>
      <c r="AH68" s="9"/>
      <c r="AI68" s="9"/>
      <c r="AJ68" s="9"/>
      <c r="AK68" s="9">
        <f>SUM(M68,N68,Q68,R68,S68,T68,U68,V68,W68,X68,Y68,Z68,AA68,AB68,AC68,AD68,AE68,AF68,AG68,AH68,AI68,AJ68)</f>
      </c>
      <c r="AL68" s="9">
        <f>I68-AK68</f>
      </c>
      <c r="AM68" s="9">
        <f>AL68-AN68-AO68-AP68-AQ68</f>
      </c>
      <c r="AN68" s="9"/>
      <c r="AO68" s="9"/>
      <c r="AP68" s="9"/>
      <c r="AQ68" s="9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9"/>
      <c r="BC68" s="9"/>
      <c r="BD68" t="inlineStr" s="8">
        <is>
          <t>3207250081</t>
        </is>
      </c>
      <c r="BE68" t="inlineStr" s="8">
        <is>
          <t>dajaca133005@gmail.com</t>
        </is>
      </c>
      <c r="BF68" s="8"/>
      <c r="BG68" t="inlineStr" s="8">
        <is>
          <t>NC26300 NOV.12/25 TERMIN DANIELA GOMEZ * ARRAS $2.850.000 * TRASL AP1407CAZT2 $23.950.000</t>
        </is>
      </c>
    </row>
    <row r="69" ht="12.75" customHeight="1">
      <c r="A69" t="inlineStr" s="8">
        <is>
          <t>002010383585</t>
        </is>
      </c>
      <c r="B69" s="8"/>
      <c r="C69" t="inlineStr" s="8">
        <is>
          <t>901</t>
        </is>
      </c>
      <c r="D69" s="9">
        <v>40.70</v>
      </c>
      <c r="E69" t="inlineStr" s="8">
        <is>
          <t>1022981150</t>
        </is>
      </c>
      <c r="F69" t="inlineStr" s="8">
        <is>
          <t>HOLGUIN SUAREZ DORIS CRISTINA</t>
        </is>
      </c>
      <c r="G69" s="8"/>
      <c r="H69" s="8"/>
      <c r="I69" s="9">
        <v>173000000.00</v>
      </c>
      <c r="J69" s="8"/>
      <c r="K69" t="inlineStr" s="8">
        <is>
          <t>NCR286 - NCR340 - NCR395 - NCR503 - NCR620 - NCR697 - RC660 - RC295 - RC083</t>
        </is>
      </c>
      <c r="L69" t="inlineStr" s="8">
        <is>
          <t>ENE.20/26F - FEB.9/26F - MAR.3/26F - ABR.16/26F - MAY.29/26F - JUN.30/26F - JUL.31/26F - AGO.18/26F - SEP.2/26F</t>
        </is>
      </c>
      <c r="M69" s="9"/>
      <c r="N69" s="9"/>
      <c r="O69" s="8"/>
      <c r="P69" s="8"/>
      <c r="Q69" s="10"/>
      <c r="R69" s="10"/>
      <c r="S69" s="10"/>
      <c r="T69" s="10"/>
      <c r="U69" s="10"/>
      <c r="V69" s="10"/>
      <c r="W69" s="10"/>
      <c r="X69" s="10">
        <v>1000000</v>
      </c>
      <c r="Y69" s="10">
        <v>1500000</v>
      </c>
      <c r="Z69" s="10">
        <v>1500000</v>
      </c>
      <c r="AA69" s="10">
        <v>1400000</v>
      </c>
      <c r="AB69" s="10">
        <v>1392000</v>
      </c>
      <c r="AC69" s="10">
        <v>1500000</v>
      </c>
      <c r="AD69" s="10">
        <v>1400000</v>
      </c>
      <c r="AE69" s="10">
        <v>1500000</v>
      </c>
      <c r="AF69" s="10">
        <v>1500000</v>
      </c>
      <c r="AG69" s="9"/>
      <c r="AH69" s="9"/>
      <c r="AI69" s="9"/>
      <c r="AJ69" s="9"/>
      <c r="AK69" s="9">
        <f>SUM(M69,N69,Q69,R69,S69,T69,U69,V69,W69,X69,Y69,Z69,AA69,AB69,AC69,AD69,AE69,AF69,AG69,AH69,AI69,AJ69)</f>
      </c>
      <c r="AL69" s="9">
        <f>I69-AK69</f>
      </c>
      <c r="AM69" s="9">
        <f>AL69-AN69-AO69-AP69-AQ69</f>
      </c>
      <c r="AN69" s="9"/>
      <c r="AO69" s="9"/>
      <c r="AP69" s="9"/>
      <c r="AQ69" s="9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9"/>
      <c r="BC69" s="9"/>
      <c r="BD69" t="inlineStr" s="8">
        <is>
          <t>614335821</t>
        </is>
      </c>
      <c r="BE69" t="inlineStr" s="8">
        <is>
          <t>cristinaholguin22@outlook.com</t>
        </is>
      </c>
      <c r="BF69" s="8"/>
      <c r="BG69" s="8"/>
    </row>
    <row r="70" ht="12.75" customHeight="1">
      <c r="A70" s="8"/>
      <c r="B70" s="8"/>
      <c r="C70" t="inlineStr" s="8">
        <is>
          <t>902</t>
        </is>
      </c>
      <c r="D70" s="9">
        <v>40.70</v>
      </c>
      <c r="E70" s="8"/>
      <c r="F70" s="8"/>
      <c r="G70" s="8"/>
      <c r="H70" s="8"/>
      <c r="I70" s="9">
        <v>173000000.00</v>
      </c>
      <c r="J70" s="8"/>
      <c r="K70" s="8"/>
      <c r="L70" s="8"/>
      <c r="M70" s="9"/>
      <c r="N70" s="9"/>
      <c r="O70" s="8"/>
      <c r="P70" s="8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9"/>
      <c r="BC70" s="9"/>
      <c r="BD70" s="8"/>
      <c r="BE70" s="8"/>
      <c r="BF70" s="8"/>
      <c r="BG70" s="8"/>
    </row>
    <row r="71" ht="12.75" customHeight="1">
      <c r="A71" t="inlineStr" s="8">
        <is>
          <t>002010383601</t>
        </is>
      </c>
      <c r="B71" s="8"/>
      <c r="C71" t="inlineStr" s="8">
        <is>
          <t>903</t>
        </is>
      </c>
      <c r="D71" s="9">
        <v>40.70</v>
      </c>
      <c r="E71" t="inlineStr" s="8">
        <is>
          <t>41906519</t>
        </is>
      </c>
      <c r="F71" t="inlineStr" s="8">
        <is>
          <t>BEDOYA FRANCO ELVIA JANETH</t>
        </is>
      </c>
      <c r="G71" s="8"/>
      <c r="H71" s="8"/>
      <c r="I71" s="9">
        <v>173000000.00</v>
      </c>
      <c r="J71" s="8"/>
      <c r="K71" t="inlineStr" s="8">
        <is>
          <t>NCR30 - NCR53 - NCR92 - NCR93 - NCR128 - NCR181 - NCR233 - NCR282 - NCR362 - NCR443 - NCR509 - NCR604 - NCR680 - RC404 - RC326</t>
        </is>
      </c>
      <c r="L71" t="inlineStr" s="8">
        <is>
          <t>JUL.22/25F - AGO.21/25F - SEP.22/25F - SEP.22/25F - OCT.20/25F - NOV.20/25F - DIC.22/25F - ENE.19/26F - FEB.20/26F - MAR.24/26F - ABR.20/26F - MAY.22/26F - JUN.22/26F - JUL.21/26F - AGO.20/26F</t>
        </is>
      </c>
      <c r="M71" s="9"/>
      <c r="N71" s="9"/>
      <c r="O71" s="8"/>
      <c r="P71" s="8"/>
      <c r="Q71" s="10"/>
      <c r="R71" s="10">
        <v>5000000</v>
      </c>
      <c r="S71" s="10">
        <v>1000000</v>
      </c>
      <c r="T71" s="10">
        <f>1+1000000</f>
      </c>
      <c r="U71" s="10">
        <v>1000000</v>
      </c>
      <c r="V71" s="10">
        <v>1000000</v>
      </c>
      <c r="W71" s="10">
        <v>1000000</v>
      </c>
      <c r="X71" s="10">
        <v>1000000</v>
      </c>
      <c r="Y71" s="10">
        <v>1000000</v>
      </c>
      <c r="Z71" s="10">
        <v>1000000</v>
      </c>
      <c r="AA71" s="10">
        <v>1000000</v>
      </c>
      <c r="AB71" s="10">
        <v>1000000</v>
      </c>
      <c r="AC71" s="10">
        <v>1000000</v>
      </c>
      <c r="AD71" s="10">
        <v>1000000</v>
      </c>
      <c r="AE71" s="10">
        <v>1000000</v>
      </c>
      <c r="AF71" s="10"/>
      <c r="AG71" s="9"/>
      <c r="AH71" s="9"/>
      <c r="AI71" s="9"/>
      <c r="AJ71" s="9"/>
      <c r="AK71" s="9">
        <f>SUM(M71,N71,Q71,R71,S71,T71,U71,V71,W71,X71,Y71,Z71,AA71,AB71,AC71,AD71,AE71,AF71,AG71,AH71,AI71,AJ71)</f>
      </c>
      <c r="AL71" s="9">
        <f>I71-AK71</f>
      </c>
      <c r="AM71" s="9">
        <f>AL71-AN71-AO71-AP71-AQ71</f>
      </c>
      <c r="AN71" s="9"/>
      <c r="AO71" s="9"/>
      <c r="AP71" s="9"/>
      <c r="AQ71" s="9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9"/>
      <c r="BC71" s="9"/>
      <c r="BD71" t="inlineStr" s="8">
        <is>
          <t>34674423640</t>
        </is>
      </c>
      <c r="BE71" t="inlineStr" s="8">
        <is>
          <t>elviajanethbedoya@hotmail.com</t>
        </is>
      </c>
      <c r="BF71" s="8"/>
      <c r="BG71" s="8"/>
    </row>
    <row r="72" ht="12.75" customHeight="1">
      <c r="A72" t="inlineStr" s="8">
        <is>
          <t>002010383610</t>
        </is>
      </c>
      <c r="B72" s="8"/>
      <c r="C72" t="inlineStr" s="8">
        <is>
          <t>904</t>
        </is>
      </c>
      <c r="D72" s="9">
        <v>40.70</v>
      </c>
      <c r="E72" t="inlineStr" s="8">
        <is>
          <t>1004961386</t>
        </is>
      </c>
      <c r="F72" t="inlineStr" s="8">
        <is>
          <t>CABRERA CAYCEDO JOSE SEBASTIAN</t>
        </is>
      </c>
      <c r="G72" s="8"/>
      <c r="H72" s="8"/>
      <c r="I72" s="9">
        <v>173000000.00</v>
      </c>
      <c r="J72" s="8"/>
      <c r="K72" t="inlineStr" s="8">
        <is>
          <t>NCR83 - NCR108 - NCR149 - NCR188 - NCR236 - NCR314 - NCR377 - NCR466 - NCR542 - NCR619 - NCR706 - RC611 - RC555</t>
        </is>
      </c>
      <c r="L72" t="inlineStr" s="8">
        <is>
          <t>SEP.5/25F - SEP.30/25F - OCT.31/25F - NOV.28/25F - DIC.24/25F - FEB.2/26F - FEB.27/26F - MAR.31/26F - ABR.30/26F - MAY.29/26F - JUN.30/26F - JUL.30/26F - AGO.31/26F</t>
        </is>
      </c>
      <c r="M72" s="9"/>
      <c r="N72" s="9"/>
      <c r="O72" s="8"/>
      <c r="P72" s="8"/>
      <c r="Q72" s="10"/>
      <c r="R72" s="10"/>
      <c r="S72" s="10"/>
      <c r="T72" s="10">
        <f>1000000+800000</f>
      </c>
      <c r="U72" s="10">
        <v>800000</v>
      </c>
      <c r="V72" s="10">
        <v>800000</v>
      </c>
      <c r="W72" s="10">
        <v>800000</v>
      </c>
      <c r="X72" s="10"/>
      <c r="Y72" s="10">
        <f>800000+800000</f>
      </c>
      <c r="Z72" s="10">
        <v>800000</v>
      </c>
      <c r="AA72" s="10">
        <v>800000</v>
      </c>
      <c r="AB72" s="10">
        <v>800000</v>
      </c>
      <c r="AC72" s="10">
        <v>800000</v>
      </c>
      <c r="AD72" s="10">
        <v>800000</v>
      </c>
      <c r="AE72" s="10">
        <v>800000</v>
      </c>
      <c r="AF72" s="10"/>
      <c r="AG72" s="9"/>
      <c r="AH72" s="9"/>
      <c r="AI72" s="9"/>
      <c r="AJ72" s="9"/>
      <c r="AK72" s="9">
        <f>SUM(M72,N72,Q72,R72,S72,T72,U72,V72,W72,X72,Y72,Z72,AA72,AB72,AC72,AD72,AE72,AF72,AG72,AH72,AI72,AJ72)</f>
      </c>
      <c r="AL72" s="9">
        <f>I72-AK72</f>
      </c>
      <c r="AM72" s="9">
        <f>AL72-AN72-AO72-AP72-AQ72</f>
      </c>
      <c r="AN72" s="9"/>
      <c r="AO72" s="9"/>
      <c r="AP72" s="9"/>
      <c r="AQ72" s="9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9"/>
      <c r="BC72" s="9"/>
      <c r="BD72" t="inlineStr" s="8">
        <is>
          <t>3225147574</t>
        </is>
      </c>
      <c r="BE72" t="inlineStr" s="8">
        <is>
          <t>sebasca1204@gmail.com</t>
        </is>
      </c>
      <c r="BF72" s="8"/>
      <c r="BG72" s="8"/>
    </row>
    <row r="73" ht="12.75" customHeight="1">
      <c r="A73" t="inlineStr" s="8">
        <is>
          <t>002010383629</t>
        </is>
      </c>
      <c r="B73" s="8"/>
      <c r="C73" t="inlineStr" s="8">
        <is>
          <t>905</t>
        </is>
      </c>
      <c r="D73" s="9">
        <v>40.70</v>
      </c>
      <c r="E73" t="inlineStr" s="8">
        <is>
          <t>1094882451</t>
        </is>
      </c>
      <c r="F73" t="inlineStr" s="8">
        <is>
          <t>ARIAS APONTE LUISA FERNANDA</t>
        </is>
      </c>
      <c r="G73" s="8"/>
      <c r="H73" s="8"/>
      <c r="I73" s="9">
        <v>173000000.00</v>
      </c>
      <c r="J73" s="8"/>
      <c r="K73" t="inlineStr" s="8">
        <is>
          <t>NCR10 - NCR12 - NCR13 - NCR41 - NCR73 - NCR115 - NCR167 - NCR201 - NCR229 - NCR234 - NCR252 - NCR316 - NCR351 - NCR688 - RC675 - RC559</t>
        </is>
      </c>
      <c r="L73" t="inlineStr" s="8">
        <is>
          <t>JUL.1/25F - JUL.2/25F - JUL.13/25F - AGO.1/25F - SEP.1/25F - OCT.1/25F - NOV.5/25F - DIC.1/25F - DIC.19/25F - DIC.23/25F - ENE.2/26F - FEB.2/26F - FEB.16/26F - JUN.26/26F - JUL.31/26F - AGO.31/26F</t>
        </is>
      </c>
      <c r="M73" s="9"/>
      <c r="N73" s="9"/>
      <c r="O73" s="8"/>
      <c r="P73" s="8"/>
      <c r="Q73" s="10"/>
      <c r="R73" s="10">
        <f>6000000+6000000+2200000</f>
      </c>
      <c r="S73" s="10">
        <v>200000</v>
      </c>
      <c r="T73" s="10">
        <v>200000</v>
      </c>
      <c r="U73" s="10">
        <v>200000</v>
      </c>
      <c r="V73" s="10">
        <v>200000</v>
      </c>
      <c r="W73" s="10">
        <f>200000+1000000+155000</f>
      </c>
      <c r="X73" s="10">
        <v>100000</v>
      </c>
      <c r="Y73" s="10">
        <f>200000+3000000</f>
      </c>
      <c r="Z73" s="10"/>
      <c r="AA73" s="10"/>
      <c r="AB73" s="10"/>
      <c r="AC73" s="10">
        <v>1160000</v>
      </c>
      <c r="AD73" s="10">
        <v>200000</v>
      </c>
      <c r="AE73" s="10">
        <v>200000</v>
      </c>
      <c r="AF73" s="10"/>
      <c r="AG73" s="9"/>
      <c r="AH73" s="9"/>
      <c r="AI73" s="9"/>
      <c r="AJ73" s="9"/>
      <c r="AK73" s="9">
        <f>SUM(M73,N73,Q73,R73,S73,T73,U73,V73,W73,X73,Y73,Z73,AA73,AB73,AC73,AD73,AE73,AF73,AG73,AH73,AI73,AJ73)</f>
      </c>
      <c r="AL73" s="9">
        <f>I73-AK73</f>
      </c>
      <c r="AM73" s="9">
        <f>AL73-AN73-AO73-AP73-AQ73</f>
      </c>
      <c r="AN73" s="9"/>
      <c r="AO73" s="9"/>
      <c r="AP73" s="9"/>
      <c r="AQ73" s="9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9"/>
      <c r="BC73" s="9"/>
      <c r="BD73" t="inlineStr" s="8">
        <is>
          <t>3104220278</t>
        </is>
      </c>
      <c r="BE73" t="inlineStr" s="8">
        <is>
          <t>anjalui2.la@gmail.com</t>
        </is>
      </c>
      <c r="BF73" s="8"/>
      <c r="BG73" s="8"/>
    </row>
    <row r="74" ht="12.75" customHeight="1">
      <c r="A74" t="inlineStr" s="8">
        <is>
          <t>002010383638</t>
        </is>
      </c>
      <c r="B74" s="8"/>
      <c r="C74" t="inlineStr" s="8">
        <is>
          <t>906</t>
        </is>
      </c>
      <c r="D74" s="9">
        <v>40.70</v>
      </c>
      <c r="E74" t="inlineStr" s="8">
        <is>
          <t>1094919283</t>
        </is>
      </c>
      <c r="F74" t="inlineStr" s="8">
        <is>
          <t>CUERVO BEDOYA LEIDY STELLA</t>
        </is>
      </c>
      <c r="G74" s="8"/>
      <c r="H74" s="8"/>
      <c r="I74" s="9">
        <v>173000000.00</v>
      </c>
      <c r="J74" s="8"/>
      <c r="K74" t="inlineStr" s="8">
        <is>
          <t>NCR23 - NCR64 - NCR104 - NCR137 - NCR195 - NCR242 - NCR315 - NCR388 - NCR462 - NCR568 - NCR621 - NCR696 - RC545 - RC085</t>
        </is>
      </c>
      <c r="L74" t="inlineStr" s="8">
        <is>
          <t>JUL.15/25F - AGO.29/25F - SEP.29/25F - OCT.28/25F - DIC.1/25F - DIC.29/25F - FEB.2/26F - MAR.2/26F - MAR.30/26F - MAY.4/26F - MAY.29/26F - JUN.30/26F - JUL.29/26F - SEP.2/26F</t>
        </is>
      </c>
      <c r="M74" s="9"/>
      <c r="N74" s="9"/>
      <c r="O74" s="8"/>
      <c r="P74" s="8"/>
      <c r="Q74" s="10"/>
      <c r="R74" s="10">
        <v>15000000</v>
      </c>
      <c r="S74" s="10">
        <v>1000000</v>
      </c>
      <c r="T74" s="10">
        <v>1000000</v>
      </c>
      <c r="U74" s="10">
        <v>1000000</v>
      </c>
      <c r="V74" s="10"/>
      <c r="W74" s="10">
        <f>1000000+1000000</f>
      </c>
      <c r="X74" s="10"/>
      <c r="Y74" s="10">
        <v>1000000</v>
      </c>
      <c r="Z74" s="10">
        <f>1000000+1000000</f>
      </c>
      <c r="AA74" s="10"/>
      <c r="AB74" s="10">
        <f>1000000+1000000</f>
      </c>
      <c r="AC74" s="10">
        <v>1000000</v>
      </c>
      <c r="AD74" s="10">
        <v>1000000</v>
      </c>
      <c r="AE74" s="10"/>
      <c r="AF74" s="10">
        <v>1000000</v>
      </c>
      <c r="AG74" s="9"/>
      <c r="AH74" s="9"/>
      <c r="AI74" s="9"/>
      <c r="AJ74" s="9"/>
      <c r="AK74" s="9">
        <f>SUM(M74,N74,Q74,R74,S74,T74,U74,V74,W74,X74,Y74,Z74,AA74,AB74,AC74,AD74,AE74,AF74,AG74,AH74,AI74,AJ74)</f>
      </c>
      <c r="AL74" s="9">
        <f>I74-AK74</f>
      </c>
      <c r="AM74" s="9">
        <f>AL74-AN74-AO74-AP74-AQ74</f>
      </c>
      <c r="AN74" s="9"/>
      <c r="AO74" s="9"/>
      <c r="AP74" s="9"/>
      <c r="AQ74" s="9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9"/>
      <c r="BC74" s="9"/>
      <c r="BD74" t="inlineStr" s="8">
        <is>
          <t>3128893806</t>
        </is>
      </c>
      <c r="BE74" t="inlineStr" s="8">
        <is>
          <t>leidycuervo.odontologia@gmail.com</t>
        </is>
      </c>
      <c r="BF74" s="8"/>
      <c r="BG74" s="8"/>
    </row>
    <row r="75" ht="12.75" customHeight="1">
      <c r="A75" t="inlineStr" s="8">
        <is>
          <t>002010383647</t>
        </is>
      </c>
      <c r="B75" s="8"/>
      <c r="C75" t="inlineStr" s="8">
        <is>
          <t>907</t>
        </is>
      </c>
      <c r="D75" s="9">
        <v>40.70</v>
      </c>
      <c r="E75" t="inlineStr" s="8">
        <is>
          <t>1006035740</t>
        </is>
      </c>
      <c r="F75" t="inlineStr" s="8">
        <is>
          <t>ARBOLEDA MORALES ERIC SCHNEIDER</t>
        </is>
      </c>
      <c r="G75" s="8"/>
      <c r="H75" s="8"/>
      <c r="I75" s="9">
        <v>173000000.00</v>
      </c>
      <c r="J75" s="8"/>
      <c r="K75" t="inlineStr" s="8">
        <is>
          <t>NCR309 - NCR374 - NCR457 - NCR520 - NCR618 - NCR693 - RC504 - RC557</t>
        </is>
      </c>
      <c r="L75" t="inlineStr" s="8">
        <is>
          <t>ENE.30/26F - FEB.26/26F - MAR.30/26F - ABR.28/26F - MAY.29/26F - JUN.30/26F - JUL.28/26F - AGO.31/26F</t>
        </is>
      </c>
      <c r="M75" s="9"/>
      <c r="N75" s="9"/>
      <c r="O75" s="8"/>
      <c r="P75" s="8"/>
      <c r="Q75" s="10"/>
      <c r="R75" s="10"/>
      <c r="S75" s="10"/>
      <c r="T75" s="10"/>
      <c r="U75" s="10"/>
      <c r="V75" s="10"/>
      <c r="W75" s="10"/>
      <c r="X75" s="10">
        <v>2000000</v>
      </c>
      <c r="Y75" s="10">
        <v>1916000</v>
      </c>
      <c r="Z75" s="10">
        <v>958000</v>
      </c>
      <c r="AA75" s="10">
        <v>958000</v>
      </c>
      <c r="AB75" s="10">
        <v>958000</v>
      </c>
      <c r="AC75" s="10">
        <v>958000</v>
      </c>
      <c r="AD75" s="10">
        <v>958000</v>
      </c>
      <c r="AE75" s="10">
        <v>958000</v>
      </c>
      <c r="AF75" s="10"/>
      <c r="AG75" s="9"/>
      <c r="AH75" s="9"/>
      <c r="AI75" s="9"/>
      <c r="AJ75" s="9"/>
      <c r="AK75" s="9">
        <f>SUM(M75,N75,Q75,R75,S75,T75,U75,V75,W75,X75,Y75,Z75,AA75,AB75,AC75,AD75,AE75,AF75,AG75,AH75,AI75,AJ75)</f>
      </c>
      <c r="AL75" s="9">
        <f>I75-AK75</f>
      </c>
      <c r="AM75" s="9">
        <f>AL75-AN75-AO75-AP75-AQ75</f>
      </c>
      <c r="AN75" s="9"/>
      <c r="AO75" s="9"/>
      <c r="AP75" s="9"/>
      <c r="AQ75" s="9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9"/>
      <c r="BC75" s="9"/>
      <c r="BD75" t="inlineStr" s="8">
        <is>
          <t>3002742673</t>
        </is>
      </c>
      <c r="BE75" t="inlineStr" s="8">
        <is>
          <t>jf.morales.003@gmail.com</t>
        </is>
      </c>
      <c r="BF75" s="8"/>
      <c r="BG75" s="8"/>
    </row>
    <row r="76" ht="12.75" customHeight="1">
      <c r="A76" s="8"/>
      <c r="B76" s="8"/>
      <c r="C76" t="inlineStr" s="8">
        <is>
          <t>908</t>
        </is>
      </c>
      <c r="D76" s="9">
        <v>40.70</v>
      </c>
      <c r="E76" s="8"/>
      <c r="F76" s="8"/>
      <c r="G76" s="8"/>
      <c r="H76" s="8"/>
      <c r="I76" s="9">
        <v>173000000.00</v>
      </c>
      <c r="J76" s="8"/>
      <c r="K76" s="8"/>
      <c r="L76" s="8"/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9"/>
      <c r="BC76" s="9"/>
      <c r="BD76" s="8"/>
      <c r="BE76" s="8"/>
      <c r="BF76" s="8"/>
      <c r="BG76" s="8"/>
    </row>
    <row r="77" ht="12.75" customHeight="1">
      <c r="A77" t="inlineStr" s="8">
        <is>
          <t>002010383665</t>
        </is>
      </c>
      <c r="B77" s="8"/>
      <c r="C77" t="inlineStr" s="8">
        <is>
          <t>1001</t>
        </is>
      </c>
      <c r="D77" s="9">
        <v>40.70</v>
      </c>
      <c r="E77" t="inlineStr" s="8">
        <is>
          <t>1000685174</t>
        </is>
      </c>
      <c r="F77" t="inlineStr" s="8">
        <is>
          <t>COLLAZOS MARIN IAN CARLO</t>
        </is>
      </c>
      <c r="G77" s="8"/>
      <c r="H77" s="8"/>
      <c r="I77" s="9">
        <v>173000000.00</v>
      </c>
      <c r="J77" s="8"/>
      <c r="K77" t="inlineStr" s="8">
        <is>
          <t>NCR425 - NCR522 - NCR613 - NCR698 - RC501 - RC553</t>
        </is>
      </c>
      <c r="L77" t="inlineStr" s="8">
        <is>
          <t>MAR.12/26F - ABR.29/26F - MAY.29/26F - JUN.30/26F - JUL.28/26F - AGO.31/26F</t>
        </is>
      </c>
      <c r="M77" s="9"/>
      <c r="N77" s="9"/>
      <c r="O77" s="8"/>
      <c r="P77" s="8"/>
      <c r="Q77" s="10"/>
      <c r="R77" s="10"/>
      <c r="S77" s="10"/>
      <c r="T77" s="10"/>
      <c r="U77" s="10"/>
      <c r="V77" s="10"/>
      <c r="W77" s="10"/>
      <c r="X77" s="10"/>
      <c r="Y77" s="10"/>
      <c r="Z77" s="10">
        <v>1000000</v>
      </c>
      <c r="AA77" s="10">
        <v>1600000</v>
      </c>
      <c r="AB77" s="10">
        <v>1600000</v>
      </c>
      <c r="AC77" s="10">
        <v>1600000</v>
      </c>
      <c r="AD77" s="10">
        <v>1600000</v>
      </c>
      <c r="AE77" s="10">
        <v>1600000</v>
      </c>
      <c r="AF77" s="10"/>
      <c r="AG77" s="9"/>
      <c r="AH77" s="9"/>
      <c r="AI77" s="9"/>
      <c r="AJ77" s="9"/>
      <c r="AK77" s="9">
        <f>SUM(M77,N77,Q77,R77,S77,T77,U77,V77,W77,X77,Y77,Z77,AA77,AB77,AC77,AD77,AE77,AF77,AG77,AH77,AI77,AJ77)</f>
      </c>
      <c r="AL77" s="9">
        <f>I77-AK77</f>
      </c>
      <c r="AM77" s="9">
        <f>AL77-AN77-AO77-AP77-AQ77</f>
      </c>
      <c r="AN77" s="9"/>
      <c r="AO77" s="9"/>
      <c r="AP77" s="9"/>
      <c r="AQ77" s="9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9"/>
      <c r="BC77" s="9"/>
      <c r="BD77" t="inlineStr" s="8">
        <is>
          <t>31610262131</t>
        </is>
      </c>
      <c r="BE77" t="inlineStr" s="8">
        <is>
          <t>ianccollazos@gmail.com</t>
        </is>
      </c>
      <c r="BF77" s="8"/>
      <c r="BG77" s="8"/>
    </row>
    <row r="78" ht="12.75" customHeight="1">
      <c r="A78" t="inlineStr" s="8">
        <is>
          <t>002010802132</t>
        </is>
      </c>
      <c r="B78" s="8"/>
      <c r="C78" t="inlineStr" s="8">
        <is>
          <t>1002</t>
        </is>
      </c>
      <c r="D78" s="9">
        <v>40.70</v>
      </c>
      <c r="E78" t="inlineStr" s="8">
        <is>
          <t>1005368225</t>
        </is>
      </c>
      <c r="F78" t="inlineStr" s="8">
        <is>
          <t>QUINTERO CASTRILLON ERIKA ALEJANDRA</t>
        </is>
      </c>
      <c r="G78" s="8"/>
      <c r="H78" s="8"/>
      <c r="I78" s="9">
        <v>173000000.00</v>
      </c>
      <c r="J78" s="8"/>
      <c r="K78" t="inlineStr" s="8">
        <is>
          <t>NCR289 - NCR393 - NCR456 - NCR529 - NCR611 - NCR705 - RC502 - RC556</t>
        </is>
      </c>
      <c r="L78" t="inlineStr" s="8">
        <is>
          <t>ENE.23/26F - MAR.2/26F - MAR.30/26F - ABR.29/26F - MAY.28/26F - JUN.30/26F - JUL.28/26F - AGO.31/26F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/>
      <c r="W78" s="10"/>
      <c r="X78" s="10">
        <v>1000000</v>
      </c>
      <c r="Y78" s="10"/>
      <c r="Z78" s="10">
        <f>1000000+1000000</f>
      </c>
      <c r="AA78" s="10">
        <v>1000000</v>
      </c>
      <c r="AB78" s="10">
        <v>1000000</v>
      </c>
      <c r="AC78" s="10">
        <v>1000000</v>
      </c>
      <c r="AD78" s="10">
        <v>1000000</v>
      </c>
      <c r="AE78" s="10">
        <v>1000000</v>
      </c>
      <c r="AF78" s="10"/>
      <c r="AG78" s="9"/>
      <c r="AH78" s="9"/>
      <c r="AI78" s="9"/>
      <c r="AJ78" s="9"/>
      <c r="AK78" s="9">
        <f>SUM(M78,N78,Q78,R78,S78,T78,U78,V78,W78,X78,Y78,Z78,AA78,AB78,AC78,AD78,AE78,AF78,AG78,AH78,AI78,AJ78)</f>
      </c>
      <c r="AL78" s="9">
        <f>I78-AK78</f>
      </c>
      <c r="AM78" s="9">
        <f>AL78-AN78-AO78-AP78-AQ78</f>
      </c>
      <c r="AN78" s="9"/>
      <c r="AO78" s="9"/>
      <c r="AP78" s="9"/>
      <c r="AQ78" s="9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9"/>
      <c r="BC78" s="9"/>
      <c r="BD78" t="inlineStr" s="8">
        <is>
          <t>3245140808</t>
        </is>
      </c>
      <c r="BE78" t="inlineStr" s="8">
        <is>
          <t>jazmineq60@gmail.com</t>
        </is>
      </c>
      <c r="BF78" s="8"/>
      <c r="BG78" s="8"/>
    </row>
    <row r="79" ht="12.75" customHeight="1">
      <c r="A79" t="inlineStr" s="8">
        <is>
          <t>002010383674</t>
        </is>
      </c>
      <c r="B79" s="8"/>
      <c r="C79" t="inlineStr" s="8">
        <is>
          <t>1003</t>
        </is>
      </c>
      <c r="D79" s="9">
        <v>40.70</v>
      </c>
      <c r="E79" t="inlineStr" s="8">
        <is>
          <t>7547833</t>
        </is>
      </c>
      <c r="F79" t="inlineStr" s="8">
        <is>
          <t>LOPEZ SOTO WALTER</t>
        </is>
      </c>
      <c r="G79" t="inlineStr" s="8">
        <is>
          <t>HERERA NORA LUCIA</t>
        </is>
      </c>
      <c r="H79" s="8"/>
      <c r="I79" s="9">
        <v>173000000.00</v>
      </c>
      <c r="J79" s="8"/>
      <c r="K79" t="inlineStr" s="8">
        <is>
          <t>NCR266 - NCR419</t>
        </is>
      </c>
      <c r="L79" t="inlineStr" s="8">
        <is>
          <t>ENE.5/26F - MAR.9/26F</t>
        </is>
      </c>
      <c r="M79" s="9"/>
      <c r="N79" s="9"/>
      <c r="O79" s="8"/>
      <c r="P79" s="8"/>
      <c r="Q79" s="10"/>
      <c r="R79" s="10"/>
      <c r="S79" s="10"/>
      <c r="T79" s="10"/>
      <c r="U79" s="10"/>
      <c r="V79" s="10"/>
      <c r="W79" s="10"/>
      <c r="X79" s="10">
        <v>10000000</v>
      </c>
      <c r="Y79" s="10"/>
      <c r="Z79" s="10">
        <v>2400000</v>
      </c>
      <c r="AA79" s="10"/>
      <c r="AB79" s="10"/>
      <c r="AC79" s="10"/>
      <c r="AD79" s="10"/>
      <c r="AE79" s="10"/>
      <c r="AF79" s="10"/>
      <c r="AG79" s="9"/>
      <c r="AH79" s="9"/>
      <c r="AI79" s="9"/>
      <c r="AJ79" s="9"/>
      <c r="AK79" s="9">
        <f>SUM(M79,N79,Q79,R79,S79,T79,U79,V79,W79,X79,Y79,Z79,AA79,AB79,AC79,AD79,AE79,AF79,AG79,AH79,AI79,AJ79)</f>
      </c>
      <c r="AL79" s="9">
        <f>I79-AK79</f>
      </c>
      <c r="AM79" s="9">
        <f>AL79-AN79-AO79-AP79-AQ79</f>
      </c>
      <c r="AN79" s="9"/>
      <c r="AO79" s="9"/>
      <c r="AP79" s="9"/>
      <c r="AQ79" s="9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9"/>
      <c r="BC79" s="9"/>
      <c r="BD79" t="inlineStr" s="8">
        <is>
          <t>313545633</t>
        </is>
      </c>
      <c r="BE79" t="inlineStr" s="8">
        <is>
          <t>walter0665@autlook.es</t>
        </is>
      </c>
      <c r="BF79" s="8"/>
      <c r="BG79" s="8"/>
    </row>
    <row r="80" ht="12.75" customHeight="1">
      <c r="A80" t="inlineStr" s="8">
        <is>
          <t>002010383692</t>
        </is>
      </c>
      <c r="B80" s="8"/>
      <c r="C80" t="inlineStr" s="8">
        <is>
          <t>1004</t>
        </is>
      </c>
      <c r="D80" s="9">
        <v>40.70</v>
      </c>
      <c r="E80" t="inlineStr" s="8">
        <is>
          <t>71214576</t>
        </is>
      </c>
      <c r="F80" t="inlineStr" s="8">
        <is>
          <t>GARCIA PEREZ GABRIEL JAIME</t>
        </is>
      </c>
      <c r="G80" s="8"/>
      <c r="H80" s="8"/>
      <c r="I80" s="9">
        <v>173000000.00</v>
      </c>
      <c r="J80" s="8"/>
      <c r="K80" t="inlineStr" s="8">
        <is>
          <t>NCR185 - NCR339 - RC192</t>
        </is>
      </c>
      <c r="L80" t="inlineStr" s="8">
        <is>
          <t>NOV.27/25F - FEB.9/26F - JUL.3/26F</t>
        </is>
      </c>
      <c r="M80" s="9"/>
      <c r="N80" s="9"/>
      <c r="O80" s="8"/>
      <c r="P80" s="8"/>
      <c r="Q80" s="10"/>
      <c r="R80" s="10"/>
      <c r="S80" s="10"/>
      <c r="T80" s="10"/>
      <c r="U80" s="10"/>
      <c r="V80" s="10">
        <v>1000000</v>
      </c>
      <c r="W80" s="10"/>
      <c r="X80" s="10"/>
      <c r="Y80" s="10">
        <v>1000000</v>
      </c>
      <c r="Z80" s="10"/>
      <c r="AA80" s="10"/>
      <c r="AB80" s="10"/>
      <c r="AC80" s="10"/>
      <c r="AD80" s="10">
        <v>5500000</v>
      </c>
      <c r="AE80" s="10"/>
      <c r="AF80" s="10"/>
      <c r="AG80" s="9"/>
      <c r="AH80" s="9"/>
      <c r="AI80" s="9"/>
      <c r="AJ80" s="9"/>
      <c r="AK80" s="9">
        <f>SUM(M80,N80,Q80,R80,S80,T80,U80,V80,W80,X80,Y80,Z80,AA80,AB80,AC80,AD80,AE80,AF80,AG80,AH80,AI80,AJ80)</f>
      </c>
      <c r="AL80" s="9">
        <f>I80-AK80</f>
      </c>
      <c r="AM80" s="9">
        <f>AL80-AN80-AO80-AP80-AQ80</f>
      </c>
      <c r="AN80" s="9"/>
      <c r="AO80" s="9"/>
      <c r="AP80" s="9"/>
      <c r="AQ80" s="9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9"/>
      <c r="BC80" s="9"/>
      <c r="BD80" t="inlineStr" s="8">
        <is>
          <t>3165221310</t>
        </is>
      </c>
      <c r="BE80" t="inlineStr" s="8">
        <is>
          <t>ggarcia129@gmail.com</t>
        </is>
      </c>
      <c r="BF80" s="8"/>
      <c r="BG80" s="8"/>
    </row>
    <row r="81" ht="12.75" customHeight="1">
      <c r="A81" t="inlineStr" s="8">
        <is>
          <t>002010383709</t>
        </is>
      </c>
      <c r="B81" s="8"/>
      <c r="C81" t="inlineStr" s="8">
        <is>
          <t>1005</t>
        </is>
      </c>
      <c r="D81" s="9">
        <v>40.70</v>
      </c>
      <c r="E81" t="inlineStr" s="8">
        <is>
          <t>1094948963</t>
        </is>
      </c>
      <c r="F81" t="inlineStr" s="8">
        <is>
          <t>VELASQUEZ ARIAS JOHN ALEXANDER</t>
        </is>
      </c>
      <c r="G81" s="8"/>
      <c r="H81" s="8"/>
      <c r="I81" s="9">
        <v>173000000.00</v>
      </c>
      <c r="J81" s="8"/>
      <c r="K81" t="inlineStr" s="8">
        <is>
          <t>NCR21 - NCR77 - NCR84 - NCR133 - NCR173 - NCR221 - NCR294 - NCR299 - NCR375 - NCR445 - NCR530 - NCR591 - RC667 - RC370</t>
        </is>
      </c>
      <c r="L81" t="inlineStr" s="8">
        <is>
          <t>JUL.15/25F - SEP.4/25F - SEP.8/25F - OCT.27/25F - NOV.10/25F - DIC.11/25F - ENE.26/26F - ENE.27/26F - FEB.27/26F - MAR.25/26F - ABR.29/26F - MAY.15/26F - JUL.31/26F - AGO.25/26F</t>
        </is>
      </c>
      <c r="M81" s="9"/>
      <c r="N81" s="9"/>
      <c r="O81" s="8"/>
      <c r="P81" s="8"/>
      <c r="Q81" s="10"/>
      <c r="R81" s="10">
        <v>1000000</v>
      </c>
      <c r="S81" s="10"/>
      <c r="T81" s="10">
        <f>1000000+1000000</f>
      </c>
      <c r="U81" s="10">
        <v>1000000</v>
      </c>
      <c r="V81" s="10">
        <v>1000000</v>
      </c>
      <c r="W81" s="10">
        <v>1000000</v>
      </c>
      <c r="X81" s="10">
        <f>1000000+1000000</f>
      </c>
      <c r="Y81" s="10">
        <v>1000000</v>
      </c>
      <c r="Z81" s="10">
        <v>1000000</v>
      </c>
      <c r="AA81" s="10">
        <v>1000000</v>
      </c>
      <c r="AB81" s="10">
        <v>1000000</v>
      </c>
      <c r="AC81" s="10"/>
      <c r="AD81" s="10">
        <v>1000000</v>
      </c>
      <c r="AE81" s="10">
        <v>1000000</v>
      </c>
      <c r="AF81" s="10"/>
      <c r="AG81" s="9"/>
      <c r="AH81" s="9"/>
      <c r="AI81" s="9"/>
      <c r="AJ81" s="9"/>
      <c r="AK81" s="9">
        <f>SUM(M81,N81,Q81,R81,S81,T81,U81,V81,W81,X81,Y81,Z81,AA81,AB81,AC81,AD81,AE81,AF81,AG81,AH81,AI81,AJ81)</f>
      </c>
      <c r="AL81" s="9">
        <f>I81-AK81</f>
      </c>
      <c r="AM81" s="9">
        <f>AL81-AN81-AO81-AP81-AQ81</f>
      </c>
      <c r="AN81" s="9"/>
      <c r="AO81" s="9"/>
      <c r="AP81" s="9"/>
      <c r="AQ81" s="9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9"/>
      <c r="BC81" s="9"/>
      <c r="BD81" t="inlineStr" s="8">
        <is>
          <t>3175719461</t>
        </is>
      </c>
      <c r="BE81" t="inlineStr" s="8">
        <is>
          <t>javelasqueza_1@uqvirtual.edu.co</t>
        </is>
      </c>
      <c r="BF81" s="8"/>
      <c r="BG81" s="8"/>
    </row>
    <row r="82" ht="12.75" customHeight="1">
      <c r="A82" t="inlineStr" s="8">
        <is>
          <t>002010383718</t>
        </is>
      </c>
      <c r="B82" s="8"/>
      <c r="C82" t="inlineStr" s="8">
        <is>
          <t>1006</t>
        </is>
      </c>
      <c r="D82" s="9">
        <v>40.70</v>
      </c>
      <c r="E82" t="inlineStr" s="8">
        <is>
          <t>1091203954</t>
        </is>
      </c>
      <c r="F82" t="inlineStr" s="8">
        <is>
          <t>CORTEZ VALENCIA SANTIAGO</t>
        </is>
      </c>
      <c r="G82" s="8"/>
      <c r="H82" s="8"/>
      <c r="I82" s="9">
        <v>173000000.00</v>
      </c>
      <c r="J82" s="8"/>
      <c r="K82" t="inlineStr" s="8">
        <is>
          <t>RC614</t>
        </is>
      </c>
      <c r="L82" t="inlineStr" s="8">
        <is>
          <t>JUL.30/26F</t>
        </is>
      </c>
      <c r="M82" s="9"/>
      <c r="N82" s="9"/>
      <c r="O82" s="8"/>
      <c r="P82" s="8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>
        <v>1000000</v>
      </c>
      <c r="AE82" s="10"/>
      <c r="AF82" s="10"/>
      <c r="AG82" s="9"/>
      <c r="AH82" s="9"/>
      <c r="AI82" s="9"/>
      <c r="AJ82" s="9"/>
      <c r="AK82" s="9">
        <f>SUM(M82,N82,Q82,R82,S82,T82,U82,V82,W82,X82,Y82,Z82,AA82,AB82,AC82,AD82,AE82,AF82,AG82,AH82,AI82,AJ82)</f>
      </c>
      <c r="AL82" s="9">
        <f>I82-AK82</f>
      </c>
      <c r="AM82" s="9">
        <f>AL82-AN82-AO82-AP82-AQ82</f>
      </c>
      <c r="AN82" s="9"/>
      <c r="AO82" s="9"/>
      <c r="AP82" s="9"/>
      <c r="AQ82" s="9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9"/>
      <c r="BC82" s="9"/>
      <c r="BD82" t="inlineStr" s="8">
        <is>
          <t>3226240177</t>
        </is>
      </c>
      <c r="BE82" t="inlineStr" s="8">
        <is>
          <t>jealorenrincon@gmail.com</t>
        </is>
      </c>
      <c r="BF82" s="8"/>
      <c r="BG82" s="8"/>
    </row>
    <row r="83" ht="12.75" customHeight="1">
      <c r="A83" t="inlineStr" s="8">
        <is>
          <t>002010383727</t>
        </is>
      </c>
      <c r="B83" s="8"/>
      <c r="C83" t="inlineStr" s="8">
        <is>
          <t>1007</t>
        </is>
      </c>
      <c r="D83" s="9">
        <v>40.70</v>
      </c>
      <c r="E83" t="inlineStr" s="8">
        <is>
          <t>1005088365</t>
        </is>
      </c>
      <c r="F83" t="inlineStr" s="8">
        <is>
          <t>CELIS CARDONA NATALIA</t>
        </is>
      </c>
      <c r="G83" s="8"/>
      <c r="H83" s="8"/>
      <c r="I83" s="9">
        <v>173000000.00</v>
      </c>
      <c r="J83" s="8"/>
      <c r="K83" t="inlineStr" s="8">
        <is>
          <t>NCR94 - NCR148 - NCR192 - NCR254 - NCR333 - NCR416 - NCR486 - NCR583 - NCR668 - RC173 - RC207</t>
        </is>
      </c>
      <c r="L83" t="inlineStr" s="8">
        <is>
          <t>SEP.22/25F - OCT.31/25F - DIC.1/25F - ENE.2/26F - FEB.6/26F - MAR.9/26F - ABR.6/26F - MAY.11/26F - JUN.10/26F - JUL.6/26F - AGO.10/26F</t>
        </is>
      </c>
      <c r="M83" s="9"/>
      <c r="N83" s="9"/>
      <c r="O83" s="8"/>
      <c r="P83" s="8"/>
      <c r="Q83" s="10"/>
      <c r="R83" s="10"/>
      <c r="S83" s="10"/>
      <c r="T83" s="10">
        <v>1000000</v>
      </c>
      <c r="U83" s="10">
        <v>925000</v>
      </c>
      <c r="V83" s="10"/>
      <c r="W83" s="10">
        <v>925000</v>
      </c>
      <c r="X83" s="10">
        <v>925000</v>
      </c>
      <c r="Y83" s="10">
        <v>926000</v>
      </c>
      <c r="Z83" s="10">
        <v>926000</v>
      </c>
      <c r="AA83" s="10">
        <v>926000</v>
      </c>
      <c r="AB83" s="10">
        <v>926000</v>
      </c>
      <c r="AC83" s="10">
        <v>926000</v>
      </c>
      <c r="AD83" s="10">
        <v>926000</v>
      </c>
      <c r="AE83" s="10">
        <v>926000</v>
      </c>
      <c r="AF83" s="10"/>
      <c r="AG83" s="9"/>
      <c r="AH83" s="9"/>
      <c r="AI83" s="9"/>
      <c r="AJ83" s="9"/>
      <c r="AK83" s="9">
        <f>SUM(M83,N83,Q83,R83,S83,T83,U83,V83,W83,X83,Y83,Z83,AA83,AB83,AC83,AD83,AE83,AF83,AG83,AH83,AI83,AJ83)</f>
      </c>
      <c r="AL83" s="9">
        <f>I83-AK83</f>
      </c>
      <c r="AM83" s="9">
        <f>AL83-AN83-AO83-AP83-AQ83</f>
      </c>
      <c r="AN83" s="9"/>
      <c r="AO83" s="9"/>
      <c r="AP83" s="9"/>
      <c r="AQ83" s="9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9"/>
      <c r="BC83" s="9"/>
      <c r="BD83" t="inlineStr" s="8">
        <is>
          <t>3146333993</t>
        </is>
      </c>
      <c r="BE83" t="inlineStr" s="8">
        <is>
          <t>nceliscardona@gmail.com</t>
        </is>
      </c>
      <c r="BF83" s="8"/>
      <c r="BG83" s="8"/>
    </row>
    <row r="84" ht="12.75" customHeight="1">
      <c r="A84" t="inlineStr" s="8">
        <is>
          <t>002010383736</t>
        </is>
      </c>
      <c r="B84" s="8"/>
      <c r="C84" t="inlineStr" s="8">
        <is>
          <t>1008</t>
        </is>
      </c>
      <c r="D84" s="9">
        <v>40.70</v>
      </c>
      <c r="E84" t="inlineStr" s="8">
        <is>
          <t>1037070632</t>
        </is>
      </c>
      <c r="F84" t="inlineStr" s="8">
        <is>
          <t>COLORADO PAMPLONA FABIAN ARLEY</t>
        </is>
      </c>
      <c r="G84" s="8"/>
      <c r="H84" s="8"/>
      <c r="I84" s="9">
        <v>173000000.00</v>
      </c>
      <c r="J84" s="8"/>
      <c r="K84" t="inlineStr" s="8">
        <is>
          <t>NCR9 - NCR31 - NCR72 - NCR95 - NCR162 - NCR208 - NCR273 - NCR336 - NCR505 - NCR602</t>
        </is>
      </c>
      <c r="L84" t="inlineStr" s="8">
        <is>
          <t>JUL.1/25F - JUL.28/25F - SEP.1/25F - SEP.23/25F - NOV.4/25F - DIC.2/25F - ENE.8/26F - FEB.9/26F - ABR.17/26F - MAY.22/26F</t>
        </is>
      </c>
      <c r="M84" s="9"/>
      <c r="N84" s="9"/>
      <c r="O84" s="8"/>
      <c r="P84" s="8"/>
      <c r="Q84" s="10"/>
      <c r="R84" s="10">
        <f>1000000+1000000</f>
      </c>
      <c r="S84" s="10"/>
      <c r="T84" s="10">
        <f>1040000+1020000</f>
      </c>
      <c r="U84" s="10"/>
      <c r="V84" s="10">
        <v>1020000</v>
      </c>
      <c r="W84" s="10">
        <v>1020000</v>
      </c>
      <c r="X84" s="10">
        <v>1020000</v>
      </c>
      <c r="Y84" s="10">
        <v>1020000</v>
      </c>
      <c r="Z84" s="10"/>
      <c r="AA84" s="10">
        <v>1040000</v>
      </c>
      <c r="AB84" s="10">
        <v>1080000</v>
      </c>
      <c r="AC84" s="10"/>
      <c r="AD84" s="10"/>
      <c r="AE84" s="10"/>
      <c r="AF84" s="10"/>
      <c r="AG84" s="9"/>
      <c r="AH84" s="9"/>
      <c r="AI84" s="9"/>
      <c r="AJ84" s="9"/>
      <c r="AK84" s="9">
        <f>SUM(M84,N84,Q84,R84,S84,T84,U84,V84,W84,X84,Y84,Z84,AA84,AB84,AC84,AD84,AE84,AF84,AG84,AH84,AI84,AJ84)</f>
      </c>
      <c r="AL84" s="9">
        <f>I84-AK84</f>
      </c>
      <c r="AM84" s="9">
        <f>AL84-AN84-AO84-AP84-AQ84</f>
      </c>
      <c r="AN84" s="9"/>
      <c r="AO84" s="9"/>
      <c r="AP84" s="9"/>
      <c r="AQ84" s="9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9"/>
      <c r="BC84" s="9"/>
      <c r="BD84" t="inlineStr" s="8">
        <is>
          <t>3127397268</t>
        </is>
      </c>
      <c r="BE84" t="inlineStr" s="8">
        <is>
          <t>fabian.2087@hotmail.com</t>
        </is>
      </c>
      <c r="BF84" s="8"/>
      <c r="BG84" s="8"/>
    </row>
    <row r="85" ht="12.75" customHeight="1">
      <c r="A85" s="8"/>
      <c r="B85" s="8"/>
      <c r="C85" t="inlineStr" s="8">
        <is>
          <t>1101</t>
        </is>
      </c>
      <c r="D85" s="9">
        <v>40.70</v>
      </c>
      <c r="E85" s="8"/>
      <c r="F85" s="8"/>
      <c r="G85" s="8"/>
      <c r="H85" s="8"/>
      <c r="I85" s="9">
        <v>173000000.00</v>
      </c>
      <c r="J85" s="8"/>
      <c r="K85" s="8"/>
      <c r="L85" s="8"/>
      <c r="M85" s="9"/>
      <c r="N85" s="9"/>
      <c r="O85" s="8"/>
      <c r="P85" s="8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9"/>
      <c r="BC85" s="9"/>
      <c r="BD85" s="8"/>
      <c r="BE85" s="8"/>
      <c r="BF85" s="8"/>
      <c r="BG85" s="8"/>
    </row>
    <row r="86" ht="12.75" customHeight="1">
      <c r="A86" t="inlineStr" s="8">
        <is>
          <t>002010383754</t>
        </is>
      </c>
      <c r="B86" s="8"/>
      <c r="C86" t="inlineStr" s="8">
        <is>
          <t>1102</t>
        </is>
      </c>
      <c r="D86" s="9">
        <v>40.70</v>
      </c>
      <c r="E86" t="inlineStr" s="8">
        <is>
          <t>16551862</t>
        </is>
      </c>
      <c r="F86" t="inlineStr" s="8">
        <is>
          <t>RAMOS CARVAJAL LEON FREDY</t>
        </is>
      </c>
      <c r="G86" s="8"/>
      <c r="H86" s="8"/>
      <c r="I86" s="9">
        <v>173000000.00</v>
      </c>
      <c r="J86" s="8"/>
      <c r="K86" t="inlineStr" s="8">
        <is>
          <t>NCR363 - NCR446 - NCR540 - NCR636 - RC186 - RC663 - RC564</t>
        </is>
      </c>
      <c r="L86" t="inlineStr" s="8">
        <is>
          <t>FEB.20/26F - MAR.25/26F - ABR.30/26F - JUN.1/26F - JUL.1/26F - JUL.31/26F - AGO.31/26F</t>
        </is>
      </c>
      <c r="M86" s="9"/>
      <c r="N86" s="9"/>
      <c r="O86" s="8"/>
      <c r="P86" s="8"/>
      <c r="Q86" s="10"/>
      <c r="R86" s="10"/>
      <c r="S86" s="10"/>
      <c r="T86" s="10"/>
      <c r="U86" s="10"/>
      <c r="V86" s="10"/>
      <c r="W86" s="10"/>
      <c r="X86" s="10"/>
      <c r="Y86" s="10">
        <v>1000000</v>
      </c>
      <c r="Z86" s="10">
        <v>738000</v>
      </c>
      <c r="AA86" s="10">
        <v>730000</v>
      </c>
      <c r="AB86" s="10"/>
      <c r="AC86" s="10">
        <v>730000</v>
      </c>
      <c r="AD86" s="10">
        <f>730000+730000</f>
      </c>
      <c r="AE86" s="10">
        <v>750000</v>
      </c>
      <c r="AF86" s="10"/>
      <c r="AG86" s="9"/>
      <c r="AH86" s="9"/>
      <c r="AI86" s="9"/>
      <c r="AJ86" s="9"/>
      <c r="AK86" s="9">
        <f>SUM(M86,N86,Q86,R86,S86,T86,U86,V86,W86,X86,Y86,Z86,AA86,AB86,AC86,AD86,AE86,AF86,AG86,AH86,AI86,AJ86)</f>
      </c>
      <c r="AL86" s="9">
        <f>I86-AK86</f>
      </c>
      <c r="AM86" s="9">
        <f>AL86-AN86-AO86-AP86-AQ86</f>
      </c>
      <c r="AN86" s="9"/>
      <c r="AO86" s="9"/>
      <c r="AP86" s="9"/>
      <c r="AQ86" s="9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9"/>
      <c r="BC86" s="9"/>
      <c r="BD86" t="inlineStr" s="8">
        <is>
          <t>3158513204</t>
        </is>
      </c>
      <c r="BE86" t="inlineStr" s="8">
        <is>
          <t>leonfredyramos@gmail.com</t>
        </is>
      </c>
      <c r="BF86" s="8"/>
      <c r="BG86" s="8"/>
    </row>
    <row r="87" ht="12.75" customHeight="1">
      <c r="A87" t="inlineStr" s="8">
        <is>
          <t>002010383763</t>
        </is>
      </c>
      <c r="B87" s="8"/>
      <c r="C87" t="inlineStr" s="8">
        <is>
          <t>1103</t>
        </is>
      </c>
      <c r="D87" s="9">
        <v>40.70</v>
      </c>
      <c r="E87" t="inlineStr" s="8">
        <is>
          <t>1036634234</t>
        </is>
      </c>
      <c r="F87" t="inlineStr" s="8">
        <is>
          <t>GARCIA HERRERA LUIS DANIEL</t>
        </is>
      </c>
      <c r="G87" s="8"/>
      <c r="H87" s="8"/>
      <c r="I87" s="9">
        <v>173000000.00</v>
      </c>
      <c r="J87" s="8"/>
      <c r="K87" t="inlineStr" s="8">
        <is>
          <t>NCR33 - NCR52 - NCR130 - NCR178 - NCR354 - NCR589 - NCR681 - RC292</t>
        </is>
      </c>
      <c r="L87" t="inlineStr" s="8">
        <is>
          <t>JUL.29/25F - AGO.19/25F - OCT.20/25F - NOV.19/25F - FEB.16/26F - MAY.15/26F - JUN.22/26F - AGO.18/26F</t>
        </is>
      </c>
      <c r="M87" s="9"/>
      <c r="N87" s="9"/>
      <c r="O87" s="8"/>
      <c r="P87" s="8"/>
      <c r="Q87" s="10"/>
      <c r="R87" s="10">
        <v>1000000</v>
      </c>
      <c r="S87" s="10">
        <v>1000000</v>
      </c>
      <c r="T87" s="10"/>
      <c r="U87" s="10">
        <v>2000000</v>
      </c>
      <c r="V87" s="10">
        <v>1000000</v>
      </c>
      <c r="W87" s="10"/>
      <c r="X87" s="10"/>
      <c r="Y87" s="10">
        <v>3000000</v>
      </c>
      <c r="Z87" s="10"/>
      <c r="AA87" s="10"/>
      <c r="AB87" s="10">
        <v>2250000</v>
      </c>
      <c r="AC87" s="10">
        <v>2000000</v>
      </c>
      <c r="AD87" s="10"/>
      <c r="AE87" s="10">
        <v>1000000</v>
      </c>
      <c r="AF87" s="10"/>
      <c r="AG87" s="9"/>
      <c r="AH87" s="9"/>
      <c r="AI87" s="9"/>
      <c r="AJ87" s="9"/>
      <c r="AK87" s="9">
        <f>SUM(M87,N87,Q87,R87,S87,T87,U87,V87,W87,X87,Y87,Z87,AA87,AB87,AC87,AD87,AE87,AF87,AG87,AH87,AI87,AJ87)</f>
      </c>
      <c r="AL87" s="9">
        <f>I87-AK87</f>
      </c>
      <c r="AM87" s="9">
        <f>AL87-AN87-AO87-AP87-AQ87</f>
      </c>
      <c r="AN87" s="9"/>
      <c r="AO87" s="9"/>
      <c r="AP87" s="9"/>
      <c r="AQ87" s="9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9"/>
      <c r="BC87" s="9"/>
      <c r="BD87" t="inlineStr" s="8">
        <is>
          <t>3152253383</t>
        </is>
      </c>
      <c r="BE87" t="inlineStr" s="8">
        <is>
          <t>moto_caliente@hotmail.com</t>
        </is>
      </c>
      <c r="BF87" s="8"/>
      <c r="BG87" s="8"/>
    </row>
    <row r="88" ht="12.75" customHeight="1">
      <c r="A88" t="inlineStr" s="8">
        <is>
          <t>002010383772</t>
        </is>
      </c>
      <c r="B88" s="8"/>
      <c r="C88" t="inlineStr" s="8">
        <is>
          <t>1104</t>
        </is>
      </c>
      <c r="D88" s="9">
        <v>40.70</v>
      </c>
      <c r="E88" t="inlineStr" s="8">
        <is>
          <t>1094929913</t>
        </is>
      </c>
      <c r="F88" t="inlineStr" s="8">
        <is>
          <t>VALDERRAMA CASTANO MATEO</t>
        </is>
      </c>
      <c r="G88" s="8"/>
      <c r="H88" s="8"/>
      <c r="I88" s="9">
        <v>173000000.00</v>
      </c>
      <c r="J88" s="8"/>
      <c r="K88" t="inlineStr" s="8">
        <is>
          <t>NCR129 - NCR212 - NCR225 - NCR237 - NCR434 - NCR442 - NCR447 - NCR596 - NCR612</t>
        </is>
      </c>
      <c r="L88" t="inlineStr" s="8">
        <is>
          <t>OCT.20/25F - DIC.3/25F - DIC.18/25F - DIC.26/25F - FEB.11/26F - MAR.24/26F - MAR.25/26F - MAY.19/26F - MAY.28/26F</t>
        </is>
      </c>
      <c r="M88" s="9"/>
      <c r="N88" s="9"/>
      <c r="O88" s="8"/>
      <c r="P88" s="8"/>
      <c r="Q88" s="10"/>
      <c r="R88" s="10"/>
      <c r="S88" s="10"/>
      <c r="T88" s="10"/>
      <c r="U88" s="10">
        <v>1000000</v>
      </c>
      <c r="V88" s="10"/>
      <c r="W88" s="10">
        <f>300000+300000+300000</f>
      </c>
      <c r="X88" s="10"/>
      <c r="Y88" s="10">
        <v>300000</v>
      </c>
      <c r="Z88" s="10">
        <f>300000+300000</f>
      </c>
      <c r="AA88" s="10"/>
      <c r="AB88" s="10">
        <f>500000+600000</f>
      </c>
      <c r="AC88" s="10"/>
      <c r="AD88" s="10"/>
      <c r="AE88" s="10"/>
      <c r="AF88" s="10"/>
      <c r="AG88" s="9"/>
      <c r="AH88" s="9"/>
      <c r="AI88" s="9"/>
      <c r="AJ88" s="9"/>
      <c r="AK88" s="9">
        <f>SUM(M88,N88,Q88,R88,S88,T88,U88,V88,W88,X88,Y88,Z88,AA88,AB88,AC88,AD88,AE88,AF88,AG88,AH88,AI88,AJ88)</f>
      </c>
      <c r="AL88" s="9">
        <f>I88-AK88</f>
      </c>
      <c r="AM88" s="9">
        <f>AL88-AN88-AO88-AP88-AQ88</f>
      </c>
      <c r="AN88" s="9"/>
      <c r="AO88" s="9"/>
      <c r="AP88" s="9"/>
      <c r="AQ88" s="9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9"/>
      <c r="BD88" t="inlineStr" s="8">
        <is>
          <t>3023374656</t>
        </is>
      </c>
      <c r="BE88" t="inlineStr" s="8">
        <is>
          <t>mateovalderrama800@gmail.com</t>
        </is>
      </c>
      <c r="BF88" s="8"/>
      <c r="BG88" s="8"/>
    </row>
    <row r="89" ht="12.75" customHeight="1">
      <c r="A89" t="inlineStr" s="8">
        <is>
          <t>002010383781</t>
        </is>
      </c>
      <c r="B89" s="8"/>
      <c r="C89" t="inlineStr" s="8">
        <is>
          <t>1105</t>
        </is>
      </c>
      <c r="D89" s="9">
        <v>40.70</v>
      </c>
      <c r="E89" t="inlineStr" s="8">
        <is>
          <t>1094955888</t>
        </is>
      </c>
      <c r="F89" t="inlineStr" s="8">
        <is>
          <t>BERMUDEZ ABELLA DIEGO FERNANDO</t>
        </is>
      </c>
      <c r="G89" t="inlineStr" s="8">
        <is>
          <t>GOMEZ CRUZ VALENTINA</t>
        </is>
      </c>
      <c r="H89" s="8"/>
      <c r="I89" s="9">
        <v>173000000.00</v>
      </c>
      <c r="J89" s="8"/>
      <c r="K89" t="inlineStr" s="8">
        <is>
          <t>NCR17 - NCR34 - NCR68 - NCR120 - NCR156 - NCR216 - NCR258 - NCR335 - NCR414 - NCR484 - NCR584 - NCR670 - RC259 - RC205</t>
        </is>
      </c>
      <c r="L89" t="inlineStr" s="8">
        <is>
          <t>JUL.7/25F - JUL.31/25F - SEP.1/25F - OCT.6/25F - NOV.4/25F - DIC.9/25F - ENE.5/26F - FEB.9/26F - MAR.9/26F - ABR.6/26F - MAY.11/26F - JUN.11/26F - JUL.8/26F - AGO.10/26F</t>
        </is>
      </c>
      <c r="M89" s="9"/>
      <c r="N89" s="9"/>
      <c r="O89" s="8"/>
      <c r="P89" s="8"/>
      <c r="Q89" s="10"/>
      <c r="R89" s="10">
        <f>1000000+1000000</f>
      </c>
      <c r="S89" s="10"/>
      <c r="T89" s="10">
        <v>1000000</v>
      </c>
      <c r="U89" s="10">
        <v>1000000</v>
      </c>
      <c r="V89" s="10">
        <v>1000000</v>
      </c>
      <c r="W89" s="10">
        <v>1000000</v>
      </c>
      <c r="X89" s="10">
        <v>1000000</v>
      </c>
      <c r="Y89" s="10">
        <v>1000000</v>
      </c>
      <c r="Z89" s="10">
        <v>1000000</v>
      </c>
      <c r="AA89" s="10">
        <v>1000000</v>
      </c>
      <c r="AB89" s="10">
        <v>1000000</v>
      </c>
      <c r="AC89" s="10">
        <v>1000000</v>
      </c>
      <c r="AD89" s="10">
        <v>1000000</v>
      </c>
      <c r="AE89" s="10">
        <v>1000000</v>
      </c>
      <c r="AF89" s="10"/>
      <c r="AG89" s="9"/>
      <c r="AH89" s="9"/>
      <c r="AI89" s="9"/>
      <c r="AJ89" s="9"/>
      <c r="AK89" s="9">
        <f>SUM(M89,N89,Q89,R89,S89,T89,U89,V89,W89,X89,Y89,Z89,AA89,AB89,AC89,AD89,AE89,AF89,AG89,AH89,AI89,AJ89)</f>
      </c>
      <c r="AL89" s="9">
        <f>I89-AK89</f>
      </c>
      <c r="AM89" s="9">
        <f>AL89-AN89-AO89-AP89-AQ89</f>
      </c>
      <c r="AN89" s="9"/>
      <c r="AO89" s="9"/>
      <c r="AP89" s="9"/>
      <c r="AQ89" s="9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9"/>
      <c r="BC89" s="9"/>
      <c r="BD89" t="inlineStr" s="8">
        <is>
          <t>8624657250</t>
        </is>
      </c>
      <c r="BE89" t="inlineStr" s="8">
        <is>
          <t>diegoisabella.1996@gmail.com</t>
        </is>
      </c>
      <c r="BF89" s="8"/>
      <c r="BG89" s="8"/>
    </row>
    <row r="90" ht="12.75" customHeight="1">
      <c r="A90" t="inlineStr" s="8">
        <is>
          <t>002010383790</t>
        </is>
      </c>
      <c r="B90" s="8"/>
      <c r="C90" t="inlineStr" s="8">
        <is>
          <t>1106</t>
        </is>
      </c>
      <c r="D90" s="9">
        <v>40.70</v>
      </c>
      <c r="E90" t="inlineStr" s="8">
        <is>
          <t>41957723</t>
        </is>
      </c>
      <c r="F90" t="inlineStr" s="8">
        <is>
          <t>ECHEVERRY DIAZ SANDRA MILENA</t>
        </is>
      </c>
      <c r="G90" s="8"/>
      <c r="H90" s="8"/>
      <c r="I90" s="9">
        <v>173000000.00</v>
      </c>
      <c r="J90" s="8"/>
      <c r="K90" t="inlineStr" s="8">
        <is>
          <t>NCR170 - NCR232 - NCR295 - NCR381 - NCR440 - NCR533 - NCR633 - NCR703 - RC666 - RC414</t>
        </is>
      </c>
      <c r="L90" t="inlineStr" s="8">
        <is>
          <t>NOV.5/25F - DIC.22/25F - ENE.26/26F - FEB.27/26F - MAR.24/26F - ABR.30/26F - JUN.1/26F - JUN.30/26F - JUL.31/26F - AGO.27/26F</t>
        </is>
      </c>
      <c r="M90" s="9"/>
      <c r="N90" s="9"/>
      <c r="O90" s="8"/>
      <c r="P90" s="8"/>
      <c r="Q90" s="10"/>
      <c r="R90" s="10"/>
      <c r="S90" s="10"/>
      <c r="T90" s="10"/>
      <c r="U90" s="10"/>
      <c r="V90" s="10">
        <v>1500000</v>
      </c>
      <c r="W90" s="10">
        <v>850000</v>
      </c>
      <c r="X90" s="10">
        <v>850000</v>
      </c>
      <c r="Y90" s="10">
        <v>850000</v>
      </c>
      <c r="Z90" s="10">
        <v>850000</v>
      </c>
      <c r="AA90" s="10">
        <v>850000</v>
      </c>
      <c r="AB90" s="10"/>
      <c r="AC90" s="10">
        <f>850000+850000</f>
      </c>
      <c r="AD90" s="10">
        <v>850000</v>
      </c>
      <c r="AE90" s="10">
        <v>850000</v>
      </c>
      <c r="AF90" s="10"/>
      <c r="AG90" s="9"/>
      <c r="AH90" s="9"/>
      <c r="AI90" s="9"/>
      <c r="AJ90" s="9"/>
      <c r="AK90" s="9">
        <f>SUM(M90,N90,Q90,R90,S90,T90,U90,V90,W90,X90,Y90,Z90,AA90,AB90,AC90,AD90,AE90,AF90,AG90,AH90,AI90,AJ90)</f>
      </c>
      <c r="AL90" s="9">
        <f>I90-AK90</f>
      </c>
      <c r="AM90" s="9">
        <f>AL90-AN90-AO90-AP90-AQ90</f>
      </c>
      <c r="AN90" s="9"/>
      <c r="AO90" s="9"/>
      <c r="AP90" s="9"/>
      <c r="AQ90" s="9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9"/>
      <c r="BC90" s="9"/>
      <c r="BD90" t="inlineStr" s="8">
        <is>
          <t>3177091330</t>
        </is>
      </c>
      <c r="BE90" t="inlineStr" s="8">
        <is>
          <t>sandra-27@hotmail.com</t>
        </is>
      </c>
      <c r="BF90" s="8"/>
      <c r="BG90" s="8"/>
    </row>
    <row r="91" ht="12.75" customHeight="1">
      <c r="A91" t="inlineStr" s="8">
        <is>
          <t>002010383807</t>
        </is>
      </c>
      <c r="B91" s="8"/>
      <c r="C91" t="inlineStr" s="8">
        <is>
          <t>1107</t>
        </is>
      </c>
      <c r="D91" s="9">
        <v>40.70</v>
      </c>
      <c r="E91" t="inlineStr" s="8">
        <is>
          <t>1033680194</t>
        </is>
      </c>
      <c r="F91" t="inlineStr" s="8">
        <is>
          <t>VILLALBA QUINTERO JHON FABER</t>
        </is>
      </c>
      <c r="G91" s="8"/>
      <c r="H91" s="8"/>
      <c r="I91" s="9">
        <v>173000000.00</v>
      </c>
      <c r="J91" s="8"/>
      <c r="K91" t="inlineStr" s="8">
        <is>
          <t>NCR183 - NCR264 - NCR467 - NCR608 - NCR679 - RC543</t>
        </is>
      </c>
      <c r="L91" t="inlineStr" s="8">
        <is>
          <t>NOV.26/25F - ENE.5/26F - MAR.31/26F - MAY.26/26F - JUN.22/26F - JUL.29/26F</t>
        </is>
      </c>
      <c r="M91" s="9"/>
      <c r="N91" s="9"/>
      <c r="O91" s="8"/>
      <c r="P91" s="8"/>
      <c r="Q91" s="10"/>
      <c r="R91" s="10"/>
      <c r="S91" s="10"/>
      <c r="T91" s="10"/>
      <c r="U91" s="10"/>
      <c r="V91" s="10">
        <v>1000000</v>
      </c>
      <c r="W91" s="10"/>
      <c r="X91" s="10">
        <v>870000</v>
      </c>
      <c r="Y91" s="10"/>
      <c r="Z91" s="10">
        <v>1740000</v>
      </c>
      <c r="AA91" s="10"/>
      <c r="AB91" s="10">
        <v>870000</v>
      </c>
      <c r="AC91" s="10">
        <v>900000</v>
      </c>
      <c r="AD91" s="10">
        <v>2000000</v>
      </c>
      <c r="AE91" s="10"/>
      <c r="AF91" s="10"/>
      <c r="AG91" s="9"/>
      <c r="AH91" s="9"/>
      <c r="AI91" s="9"/>
      <c r="AJ91" s="9"/>
      <c r="AK91" s="9">
        <f>SUM(M91,N91,Q91,R91,S91,T91,U91,V91,W91,X91,Y91,Z91,AA91,AB91,AC91,AD91,AE91,AF91,AG91,AH91,AI91,AJ91)</f>
      </c>
      <c r="AL91" s="9">
        <f>I91-AK91</f>
      </c>
      <c r="AM91" s="9">
        <f>AL91-AN91-AO91-AP91-AQ91</f>
      </c>
      <c r="AN91" s="9"/>
      <c r="AO91" s="9"/>
      <c r="AP91" s="9"/>
      <c r="AQ91" s="9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9"/>
      <c r="BC91" s="9"/>
      <c r="BD91" t="inlineStr" s="8">
        <is>
          <t>3112509923</t>
        </is>
      </c>
      <c r="BE91" t="inlineStr" s="8">
        <is>
          <t>john15villalba@gmail.com</t>
        </is>
      </c>
      <c r="BF91" s="8"/>
      <c r="BG91" s="8"/>
    </row>
    <row r="92" ht="12.75" customHeight="1">
      <c r="A92" t="inlineStr" s="8">
        <is>
          <t>002010383816</t>
        </is>
      </c>
      <c r="B92" s="8"/>
      <c r="C92" t="inlineStr" s="8">
        <is>
          <t>1108</t>
        </is>
      </c>
      <c r="D92" s="9">
        <v>40.70</v>
      </c>
      <c r="E92" t="inlineStr" s="8">
        <is>
          <t>41913298</t>
        </is>
      </c>
      <c r="F92" t="inlineStr" s="8">
        <is>
          <t>RESTREPO JARAMILLO MARIA MERCEDES</t>
        </is>
      </c>
      <c r="G92" s="8"/>
      <c r="H92" s="8"/>
      <c r="I92" s="9">
        <v>173000000.00</v>
      </c>
      <c r="J92" s="8"/>
      <c r="K92" t="inlineStr" s="8">
        <is>
          <t>NCR372 - NCR508 - NCR599 - NCR672 - RC358 - RC308</t>
        </is>
      </c>
      <c r="L92" t="inlineStr" s="8">
        <is>
          <t>FEB.26/26F - ABR.20/26F - MAY.21/26F - JUN.16/26F - JUL.16/26F - AGO.19/26F</t>
        </is>
      </c>
      <c r="M92" s="9"/>
      <c r="N92" s="9"/>
      <c r="O92" s="8"/>
      <c r="P92" s="8"/>
      <c r="Q92" s="10"/>
      <c r="R92" s="10"/>
      <c r="S92" s="10"/>
      <c r="T92" s="10"/>
      <c r="U92" s="10"/>
      <c r="V92" s="10"/>
      <c r="W92" s="10"/>
      <c r="X92" s="10"/>
      <c r="Y92" s="10">
        <v>1050000</v>
      </c>
      <c r="Z92" s="10"/>
      <c r="AA92" s="10">
        <v>1500000</v>
      </c>
      <c r="AB92" s="10">
        <v>1500000</v>
      </c>
      <c r="AC92" s="10">
        <v>1500000</v>
      </c>
      <c r="AD92" s="10">
        <v>1500000</v>
      </c>
      <c r="AE92" s="10">
        <v>1500000</v>
      </c>
      <c r="AF92" s="10"/>
      <c r="AG92" s="9"/>
      <c r="AH92" s="9"/>
      <c r="AI92" s="9"/>
      <c r="AJ92" s="9"/>
      <c r="AK92" s="9">
        <f>SUM(M92,N92,Q92,R92,S92,T92,U92,V92,W92,X92,Y92,Z92,AA92,AB92,AC92,AD92,AE92,AF92,AG92,AH92,AI92,AJ92)</f>
      </c>
      <c r="AL92" s="9">
        <f>I92-AK92</f>
      </c>
      <c r="AM92" s="9">
        <f>AL92-AN92-AO92-AP92-AQ92</f>
      </c>
      <c r="AN92" s="9"/>
      <c r="AO92" s="9"/>
      <c r="AP92" s="9"/>
      <c r="AQ92" s="9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9"/>
      <c r="BC92" s="9"/>
      <c r="BD92" t="inlineStr" s="8">
        <is>
          <t>3113151236</t>
        </is>
      </c>
      <c r="BE92" t="inlineStr" s="8">
        <is>
          <t>mechitaz941@hotmail.com</t>
        </is>
      </c>
      <c r="BF92" s="8"/>
      <c r="BG92" s="8"/>
    </row>
    <row r="93" ht="12.75" customHeight="1">
      <c r="A93" s="8"/>
      <c r="B93" s="8"/>
      <c r="C93" t="inlineStr" s="8">
        <is>
          <t>1201</t>
        </is>
      </c>
      <c r="D93" s="9">
        <v>40.70</v>
      </c>
      <c r="E93" s="8"/>
      <c r="F93" s="8"/>
      <c r="G93" s="8"/>
      <c r="H93" s="8"/>
      <c r="I93" s="9">
        <v>173000000.00</v>
      </c>
      <c r="J93" s="8"/>
      <c r="K93" s="8"/>
      <c r="L93" s="8"/>
      <c r="M93" s="9"/>
      <c r="N93" s="9"/>
      <c r="O93" s="8"/>
      <c r="P93" s="8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9"/>
      <c r="BC93" s="9"/>
      <c r="BD93" s="8"/>
      <c r="BE93" s="8"/>
      <c r="BF93" s="8"/>
      <c r="BG93" s="8"/>
    </row>
    <row r="94" ht="12.75" customHeight="1">
      <c r="A94" t="inlineStr" s="8">
        <is>
          <t>002010383834</t>
        </is>
      </c>
      <c r="B94" s="8"/>
      <c r="C94" t="inlineStr" s="8">
        <is>
          <t>1202</t>
        </is>
      </c>
      <c r="D94" s="9">
        <v>40.70</v>
      </c>
      <c r="E94" t="inlineStr" s="8">
        <is>
          <t>30238007</t>
        </is>
      </c>
      <c r="F94" t="inlineStr" s="8">
        <is>
          <t>QUINTERO LOPEZ ALIX VIVIANA</t>
        </is>
      </c>
      <c r="G94" s="8"/>
      <c r="H94" s="8"/>
      <c r="I94" s="9">
        <v>173000000.00</v>
      </c>
      <c r="J94" s="8"/>
      <c r="K94" t="inlineStr" s="8">
        <is>
          <t>NCR279 - NCR307 - NCR401 - NCR471 - NCR586 - NCR662 - RC408 - RC160</t>
        </is>
      </c>
      <c r="L94" t="inlineStr" s="8">
        <is>
          <t>ENE.16/26F - ENE.30/26F - MAR.3/26F - ABR.1/26F - MAY.13/26F - JUN.5/26F - JUL.21/26F - AGO.5/26F</t>
        </is>
      </c>
      <c r="M94" s="9"/>
      <c r="N94" s="9"/>
      <c r="O94" s="8"/>
      <c r="P94" s="8"/>
      <c r="Q94" s="10"/>
      <c r="R94" s="10"/>
      <c r="S94" s="10"/>
      <c r="T94" s="10"/>
      <c r="U94" s="10"/>
      <c r="V94" s="10"/>
      <c r="W94" s="10"/>
      <c r="X94" s="10">
        <f>1000000+850000</f>
      </c>
      <c r="Y94" s="10"/>
      <c r="Z94" s="10">
        <v>850000</v>
      </c>
      <c r="AA94" s="10">
        <v>850000</v>
      </c>
      <c r="AB94" s="10">
        <v>850000</v>
      </c>
      <c r="AC94" s="10">
        <v>850000</v>
      </c>
      <c r="AD94" s="10">
        <v>850000</v>
      </c>
      <c r="AE94" s="10">
        <v>850000</v>
      </c>
      <c r="AF94" s="10"/>
      <c r="AG94" s="9"/>
      <c r="AH94" s="9"/>
      <c r="AI94" s="9"/>
      <c r="AJ94" s="9"/>
      <c r="AK94" s="9">
        <f>SUM(M94,N94,Q94,R94,S94,T94,U94,V94,W94,X94,Y94,Z94,AA94,AB94,AC94,AD94,AE94,AF94,AG94,AH94,AI94,AJ94)</f>
      </c>
      <c r="AL94" s="9">
        <f>I94-AK94</f>
      </c>
      <c r="AM94" s="9">
        <f>AL94-AN94-AO94-AP94-AQ94</f>
      </c>
      <c r="AN94" s="9"/>
      <c r="AO94" s="9"/>
      <c r="AP94" s="9"/>
      <c r="AQ94" s="9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9"/>
      <c r="BC94" s="9"/>
      <c r="BD94" t="inlineStr" s="8">
        <is>
          <t>3122849049</t>
        </is>
      </c>
      <c r="BE94" t="inlineStr" s="8">
        <is>
          <t>vivianaquinterolopez948@gmail.com</t>
        </is>
      </c>
      <c r="BF94" s="8"/>
      <c r="BG94" s="8"/>
    </row>
    <row r="95" ht="12.75" customHeight="1">
      <c r="A95" t="inlineStr" s="8">
        <is>
          <t>002010383843</t>
        </is>
      </c>
      <c r="B95" s="8"/>
      <c r="C95" t="inlineStr" s="8">
        <is>
          <t>1203</t>
        </is>
      </c>
      <c r="D95" s="9">
        <v>40.70</v>
      </c>
      <c r="E95" t="inlineStr" s="8">
        <is>
          <t>1053784543</t>
        </is>
      </c>
      <c r="F95" t="inlineStr" s="8">
        <is>
          <t>GOMEZ QUINTERO SARA</t>
        </is>
      </c>
      <c r="G95" s="8"/>
      <c r="H95" s="8"/>
      <c r="I95" s="9">
        <v>173000000.00</v>
      </c>
      <c r="J95" s="8"/>
      <c r="K95" t="inlineStr" s="8">
        <is>
          <t>NCR143 - NCR214 - NCR278 - NCR305 - NCR398 - NCR475 - NCR587 - NCR663 - RC407 - RC162</t>
        </is>
      </c>
      <c r="L95" t="inlineStr" s="8">
        <is>
          <t>OCT.29/25F - DIC.4/25F - ENE.16/26F - ENE.30/26F - MAR.3/26F - ABR.1/26F - MAY.13/26F - JUN.5/26F - JUL.21/26F - AGO.5/26F</t>
        </is>
      </c>
      <c r="M95" s="9"/>
      <c r="N95" s="9"/>
      <c r="O95" s="8"/>
      <c r="P95" s="8"/>
      <c r="Q95" s="10"/>
      <c r="R95" s="10"/>
      <c r="S95" s="10"/>
      <c r="T95" s="10"/>
      <c r="U95" s="10">
        <v>1000000</v>
      </c>
      <c r="V95" s="10"/>
      <c r="W95" s="10">
        <v>850000</v>
      </c>
      <c r="X95" s="10">
        <f>850000+850000</f>
      </c>
      <c r="Y95" s="10"/>
      <c r="Z95" s="10">
        <v>850000</v>
      </c>
      <c r="AA95" s="10">
        <v>850000</v>
      </c>
      <c r="AB95" s="10">
        <v>850000</v>
      </c>
      <c r="AC95" s="10">
        <v>850000</v>
      </c>
      <c r="AD95" s="10">
        <v>850000</v>
      </c>
      <c r="AE95" s="10">
        <v>850000</v>
      </c>
      <c r="AF95" s="10"/>
      <c r="AG95" s="9"/>
      <c r="AH95" s="9"/>
      <c r="AI95" s="9"/>
      <c r="AJ95" s="9"/>
      <c r="AK95" s="9">
        <f>SUM(M95,N95,Q95,R95,S95,T95,U95,V95,W95,X95,Y95,Z95,AA95,AB95,AC95,AD95,AE95,AF95,AG95,AH95,AI95,AJ95)</f>
      </c>
      <c r="AL95" s="9">
        <f>I95-AK95</f>
      </c>
      <c r="AM95" s="9">
        <f>AL95-AN95-AO95-AP95-AQ95</f>
      </c>
      <c r="AN95" s="9"/>
      <c r="AO95" s="9"/>
      <c r="AP95" s="9"/>
      <c r="AQ95" s="9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9"/>
      <c r="BC95" s="9"/>
      <c r="BD95" t="inlineStr" s="8">
        <is>
          <t>3135741349</t>
        </is>
      </c>
      <c r="BE95" t="inlineStr" s="8">
        <is>
          <t>fernandogomezmontes2523@gmail.com</t>
        </is>
      </c>
      <c r="BF95" s="8"/>
      <c r="BG95" s="8"/>
    </row>
    <row r="96" ht="12.75" customHeight="1">
      <c r="A96" t="inlineStr" s="8">
        <is>
          <t>002010383852</t>
        </is>
      </c>
      <c r="B96" s="8"/>
      <c r="C96" t="inlineStr" s="8">
        <is>
          <t>1204</t>
        </is>
      </c>
      <c r="D96" s="9">
        <v>40.70</v>
      </c>
      <c r="E96" t="inlineStr" s="8">
        <is>
          <t>24816049</t>
        </is>
      </c>
      <c r="F96" t="inlineStr" s="8">
        <is>
          <t>REYES QUICENO VIVIANA</t>
        </is>
      </c>
      <c r="G96" s="8"/>
      <c r="H96" s="8"/>
      <c r="I96" s="9">
        <v>173000000.00</v>
      </c>
      <c r="J96" s="8"/>
      <c r="K96" t="inlineStr" s="8">
        <is>
          <t>NCR47 - NCR58 - NCR107 - NCR150 - NCR197 - NCR265 - NCR313 - NCR390 - NCR464 - NCR549 - NCR626 - RC188 - RC668 - RC049</t>
        </is>
      </c>
      <c r="L96" t="inlineStr" s="8">
        <is>
          <t>AGO.8/25F - AGO.29/25F - SEP.30/25F - OCT.31/25F - DIC.1/25F - ENE.5/26F - FEB.2/26F - MAR.2/26F - MAR.31/26F - MAY.4/26F - JUN.1/26F - JUL.2/26F - JUL.31/26F - SEP.1/26F</t>
        </is>
      </c>
      <c r="M96" s="9"/>
      <c r="N96" s="9"/>
      <c r="O96" s="8"/>
      <c r="P96" s="8"/>
      <c r="Q96" s="10"/>
      <c r="R96" s="10"/>
      <c r="S96" s="10">
        <f>1000000+925000</f>
      </c>
      <c r="T96" s="10">
        <v>925000</v>
      </c>
      <c r="U96" s="10">
        <v>925000</v>
      </c>
      <c r="V96" s="10"/>
      <c r="W96" s="10">
        <v>925000</v>
      </c>
      <c r="X96" s="10">
        <v>925000</v>
      </c>
      <c r="Y96" s="10">
        <v>925000</v>
      </c>
      <c r="Z96" s="10">
        <f>925000+925000</f>
      </c>
      <c r="AA96" s="10"/>
      <c r="AB96" s="10">
        <v>925000</v>
      </c>
      <c r="AC96" s="10">
        <v>925000</v>
      </c>
      <c r="AD96" s="10">
        <f>925000+925000</f>
      </c>
      <c r="AE96" s="10"/>
      <c r="AF96" s="10">
        <v>925000</v>
      </c>
      <c r="AG96" s="9"/>
      <c r="AH96" s="9"/>
      <c r="AI96" s="9"/>
      <c r="AJ96" s="9"/>
      <c r="AK96" s="9">
        <f>SUM(M96,N96,Q96,R96,S96,T96,U96,V96,W96,X96,Y96,Z96,AA96,AB96,AC96,AD96,AE96,AF96,AG96,AH96,AI96,AJ96)</f>
      </c>
      <c r="AL96" s="9">
        <f>I96-AK96</f>
      </c>
      <c r="AM96" s="9">
        <f>AL96-AN96-AO96-AP96-AQ96</f>
      </c>
      <c r="AN96" s="9"/>
      <c r="AO96" s="9"/>
      <c r="AP96" s="9"/>
      <c r="AQ96" s="9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9"/>
      <c r="BC96" s="9"/>
      <c r="BD96" t="inlineStr" s="8">
        <is>
          <t>3213996348</t>
        </is>
      </c>
      <c r="BE96" t="inlineStr" s="8">
        <is>
          <t>clorenareyes.q@gmail.com</t>
        </is>
      </c>
      <c r="BF96" s="8"/>
      <c r="BG96" s="8"/>
    </row>
    <row r="97" ht="12.75" customHeight="1">
      <c r="A97" t="inlineStr" s="8">
        <is>
          <t>002011062705</t>
        </is>
      </c>
      <c r="B97" s="8"/>
      <c r="C97" t="inlineStr" s="8">
        <is>
          <t>1205</t>
        </is>
      </c>
      <c r="D97" s="9">
        <v>40.70</v>
      </c>
      <c r="E97" t="inlineStr" s="8">
        <is>
          <t>1037577891</t>
        </is>
      </c>
      <c r="F97" t="inlineStr" s="8">
        <is>
          <t>TOBON PARRA ALEJANDRA CATALINA</t>
        </is>
      </c>
      <c r="G97" t="inlineStr" s="8">
        <is>
          <t>APARICIO HOYOS ANDRES FELIPE</t>
        </is>
      </c>
      <c r="H97" s="8"/>
      <c r="I97" s="9">
        <v>173000000.00</v>
      </c>
      <c r="J97" s="8"/>
      <c r="K97" t="inlineStr" s="8">
        <is>
          <t>RC359 - RC568</t>
        </is>
      </c>
      <c r="L97" t="inlineStr" s="8">
        <is>
          <t>AGO.24/26F - AGO.31/26F</t>
        </is>
      </c>
      <c r="M97" s="9"/>
      <c r="N97" s="9"/>
      <c r="O97" s="8"/>
      <c r="P97" s="8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>
        <f>1000000+1250000</f>
      </c>
      <c r="AF97" s="10"/>
      <c r="AG97" s="9"/>
      <c r="AH97" s="9"/>
      <c r="AI97" s="9"/>
      <c r="AJ97" s="9"/>
      <c r="AK97" s="9">
        <f>SUM(M97,N97,Q97,R97,S97,T97,U97,V97,W97,X97,Y97,Z97,AA97,AB97,AC97,AD97,AE97,AF97,AG97,AH97,AI97,AJ97)</f>
      </c>
      <c r="AL97" s="9">
        <f>I97-AK97</f>
      </c>
      <c r="AM97" s="9">
        <f>AL97-AN97-AO97-AP97-AQ97</f>
      </c>
      <c r="AN97" s="9"/>
      <c r="AO97" s="9"/>
      <c r="AP97" s="9"/>
      <c r="AQ97" s="9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9"/>
      <c r="BC97" s="9"/>
      <c r="BD97" t="inlineStr" s="8">
        <is>
          <t>59996771391</t>
        </is>
      </c>
      <c r="BE97" s="8"/>
      <c r="BF97" s="8"/>
      <c r="BG97" s="8"/>
    </row>
    <row r="98" ht="12.75" customHeight="1">
      <c r="A98" t="inlineStr" s="8">
        <is>
          <t>002010383870</t>
        </is>
      </c>
      <c r="B98" s="8"/>
      <c r="C98" t="inlineStr" s="8">
        <is>
          <t>1206</t>
        </is>
      </c>
      <c r="D98" s="9">
        <v>40.70</v>
      </c>
      <c r="E98" t="inlineStr" s="8">
        <is>
          <t>1094897826</t>
        </is>
      </c>
      <c r="F98" t="inlineStr" s="8">
        <is>
          <t>TORRES BUITRAGO LEIDY JOHANA</t>
        </is>
      </c>
      <c r="G98" s="8"/>
      <c r="H98" s="8"/>
      <c r="I98" s="9">
        <v>173000000.00</v>
      </c>
      <c r="J98" s="8"/>
      <c r="K98" t="inlineStr" s="8">
        <is>
          <t>NCR139 - NCR606</t>
        </is>
      </c>
      <c r="L98" t="inlineStr" s="8">
        <is>
          <t>OCT.28/25F - MAY.22/26F</t>
        </is>
      </c>
      <c r="M98" s="9"/>
      <c r="N98" s="9"/>
      <c r="O98" s="8"/>
      <c r="P98" s="8"/>
      <c r="Q98" s="10"/>
      <c r="R98" s="10"/>
      <c r="S98" s="10"/>
      <c r="T98" s="10"/>
      <c r="U98" s="10">
        <v>1000000</v>
      </c>
      <c r="V98" s="10"/>
      <c r="W98" s="10"/>
      <c r="X98" s="10"/>
      <c r="Y98" s="10"/>
      <c r="Z98" s="10"/>
      <c r="AA98" s="10"/>
      <c r="AB98" s="10">
        <v>1550307</v>
      </c>
      <c r="AC98" s="10"/>
      <c r="AD98" s="10"/>
      <c r="AE98" s="10"/>
      <c r="AF98" s="10"/>
      <c r="AG98" s="9"/>
      <c r="AH98" s="9"/>
      <c r="AI98" s="9"/>
      <c r="AJ98" s="9"/>
      <c r="AK98" s="9">
        <f>SUM(M98,N98,Q98,R98,S98,T98,U98,V98,W98,X98,Y98,Z98,AA98,AB98,AC98,AD98,AE98,AF98,AG98,AH98,AI98,AJ98)</f>
      </c>
      <c r="AL98" s="9">
        <f>I98-AK98</f>
      </c>
      <c r="AM98" s="9">
        <f>AL98-AN98-AO98-AP98-AQ98</f>
      </c>
      <c r="AN98" s="9"/>
      <c r="AO98" s="9"/>
      <c r="AP98" s="9"/>
      <c r="AQ98" s="9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9"/>
      <c r="BC98" s="9"/>
      <c r="BD98" t="inlineStr" s="8">
        <is>
          <t>3246869540</t>
        </is>
      </c>
      <c r="BE98" t="inlineStr" s="8">
        <is>
          <t>leidyt134@gmail.com</t>
        </is>
      </c>
      <c r="BF98" s="8"/>
      <c r="BG98" s="8"/>
    </row>
    <row r="99" ht="12.75" customHeight="1">
      <c r="A99" t="inlineStr" s="8">
        <is>
          <t>002010383889</t>
        </is>
      </c>
      <c r="B99" s="8"/>
      <c r="C99" t="inlineStr" s="8">
        <is>
          <t>1207</t>
        </is>
      </c>
      <c r="D99" s="9">
        <v>40.70</v>
      </c>
      <c r="E99" t="inlineStr" s="8">
        <is>
          <t>71761939</t>
        </is>
      </c>
      <c r="F99" t="inlineStr" s="8">
        <is>
          <t>GARCIA PEREZ JORGE ELIECER</t>
        </is>
      </c>
      <c r="G99" s="8"/>
      <c r="H99" s="8"/>
      <c r="I99" s="9">
        <v>173000000.00</v>
      </c>
      <c r="J99" s="8"/>
      <c r="K99" t="inlineStr" s="8">
        <is>
          <t>NCR175 - NCR245 - NCR699</t>
        </is>
      </c>
      <c r="L99" t="inlineStr" s="8">
        <is>
          <t>NOV.18/25F - DIC.30/25F - JUN.30/26F</t>
        </is>
      </c>
      <c r="M99" s="9"/>
      <c r="N99" s="9"/>
      <c r="O99" s="8"/>
      <c r="P99" s="8"/>
      <c r="Q99" s="10"/>
      <c r="R99" s="10"/>
      <c r="S99" s="10"/>
      <c r="T99" s="10"/>
      <c r="U99" s="10"/>
      <c r="V99" s="10">
        <v>1000000</v>
      </c>
      <c r="W99" s="10">
        <v>1000000</v>
      </c>
      <c r="X99" s="10"/>
      <c r="Y99" s="10"/>
      <c r="Z99" s="10"/>
      <c r="AA99" s="10"/>
      <c r="AB99" s="10"/>
      <c r="AC99" s="10">
        <v>5500000</v>
      </c>
      <c r="AD99" s="10"/>
      <c r="AE99" s="10"/>
      <c r="AF99" s="10"/>
      <c r="AG99" s="9"/>
      <c r="AH99" s="9"/>
      <c r="AI99" s="9"/>
      <c r="AJ99" s="9"/>
      <c r="AK99" s="9">
        <f>SUM(M99,N99,Q99,R99,S99,T99,U99,V99,W99,X99,Y99,Z99,AA99,AB99,AC99,AD99,AE99,AF99,AG99,AH99,AI99,AJ99)</f>
      </c>
      <c r="AL99" s="9">
        <f>I99-AK99</f>
      </c>
      <c r="AM99" s="9">
        <f>AL99-AN99-AO99-AP99-AQ99</f>
      </c>
      <c r="AN99" s="9"/>
      <c r="AO99" s="9"/>
      <c r="AP99" s="9"/>
      <c r="AQ99" s="9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9"/>
      <c r="BC99" s="9"/>
      <c r="BD99" t="inlineStr" s="8">
        <is>
          <t>3007837453</t>
        </is>
      </c>
      <c r="BE99" t="inlineStr" s="8">
        <is>
          <t>jogamar76@gmail.com</t>
        </is>
      </c>
      <c r="BF99" s="8"/>
      <c r="BG99" s="8"/>
    </row>
    <row r="100" ht="12.75" customHeight="1">
      <c r="A100" t="inlineStr" s="8">
        <is>
          <t>002010383898</t>
        </is>
      </c>
      <c r="B100" s="8"/>
      <c r="C100" t="inlineStr" s="8">
        <is>
          <t>1208</t>
        </is>
      </c>
      <c r="D100" s="9">
        <v>40.70</v>
      </c>
      <c r="E100" t="inlineStr" s="8">
        <is>
          <t>71793371</t>
        </is>
      </c>
      <c r="F100" t="inlineStr" s="8">
        <is>
          <t>DUQUE RAMIREZ FRANK EDWAR</t>
        </is>
      </c>
      <c r="G100" s="8"/>
      <c r="H100" s="8"/>
      <c r="I100" s="9">
        <v>173000000.00</v>
      </c>
      <c r="J100" s="8"/>
      <c r="K100" t="inlineStr" s="8">
        <is>
          <t>NCR400 - NCR592</t>
        </is>
      </c>
      <c r="L100" t="inlineStr" s="8">
        <is>
          <t>MAR.3/26F - MAY.15/26F</t>
        </is>
      </c>
      <c r="M100" s="9"/>
      <c r="N100" s="9"/>
      <c r="O100" s="8"/>
      <c r="P100" s="8"/>
      <c r="Q100" s="10"/>
      <c r="R100" s="10"/>
      <c r="S100" s="10"/>
      <c r="T100" s="10"/>
      <c r="U100" s="10"/>
      <c r="V100" s="10"/>
      <c r="W100" s="10"/>
      <c r="X100" s="10"/>
      <c r="Y100" s="10"/>
      <c r="Z100" s="10">
        <v>1000000</v>
      </c>
      <c r="AA100" s="10"/>
      <c r="AB100" s="10">
        <v>1500000</v>
      </c>
      <c r="AC100" s="10"/>
      <c r="AD100" s="10"/>
      <c r="AE100" s="10"/>
      <c r="AF100" s="10"/>
      <c r="AG100" s="9"/>
      <c r="AH100" s="9"/>
      <c r="AI100" s="9"/>
      <c r="AJ100" s="9"/>
      <c r="AK100" s="9">
        <f>SUM(M100,N100,Q100,R100,S100,T100,U100,V100,W100,X100,Y100,Z100,AA100,AB100,AC100,AD100,AE100,AF100,AG100,AH100,AI100,AJ100)</f>
      </c>
      <c r="AL100" s="9">
        <f>I100-AK100</f>
      </c>
      <c r="AM100" s="9">
        <f>AL100-AN100-AO100-AP100-AQ100</f>
      </c>
      <c r="AN100" s="9"/>
      <c r="AO100" s="9"/>
      <c r="AP100" s="9"/>
      <c r="AQ100" s="9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9"/>
      <c r="BC100" s="9"/>
      <c r="BD100" t="inlineStr" s="8">
        <is>
          <t>3217154877</t>
        </is>
      </c>
      <c r="BE100" t="inlineStr" s="8">
        <is>
          <t>duquefranknj@gmail.com</t>
        </is>
      </c>
      <c r="BF100" s="8"/>
      <c r="BG100" s="8"/>
    </row>
    <row r="101" ht="12.75" customHeight="1">
      <c r="A101" t="inlineStr" s="8">
        <is>
          <t>002010383905</t>
        </is>
      </c>
      <c r="B101" s="8"/>
      <c r="C101" t="inlineStr" s="8">
        <is>
          <t>1301</t>
        </is>
      </c>
      <c r="D101" s="9">
        <v>40.70</v>
      </c>
      <c r="E101" t="inlineStr" s="8">
        <is>
          <t>1127233223</t>
        </is>
      </c>
      <c r="F101" t="inlineStr" s="8">
        <is>
          <t>JARAMILLO CAICEDO ANA MARIA</t>
        </is>
      </c>
      <c r="G101" s="8"/>
      <c r="H101" s="8"/>
      <c r="I101" s="9">
        <v>173000000.00</v>
      </c>
      <c r="J101" s="8"/>
      <c r="K101" t="inlineStr" s="8">
        <is>
          <t>NCR449 - NCR532 - NCR625 - RC183 - RC158</t>
        </is>
      </c>
      <c r="L101" t="inlineStr" s="8">
        <is>
          <t>MAR.26/26F - ABR.30/26F - JUN.1/26F - JUL.6/26F - AGO.5/26F</t>
        </is>
      </c>
      <c r="M101" s="9"/>
      <c r="N101" s="9"/>
      <c r="O101" s="8"/>
      <c r="P101" s="8"/>
      <c r="Q101" s="10"/>
      <c r="R101" s="10"/>
      <c r="S101" s="10"/>
      <c r="T101" s="10"/>
      <c r="U101" s="10"/>
      <c r="V101" s="10"/>
      <c r="W101" s="10"/>
      <c r="X101" s="10"/>
      <c r="Y101" s="10"/>
      <c r="Z101" s="10">
        <v>1000000</v>
      </c>
      <c r="AA101" s="10">
        <v>1050000</v>
      </c>
      <c r="AB101" s="10"/>
      <c r="AC101" s="10">
        <v>1050000</v>
      </c>
      <c r="AD101" s="10">
        <v>1050000</v>
      </c>
      <c r="AE101" s="10">
        <v>2100000</v>
      </c>
      <c r="AF101" s="10"/>
      <c r="AG101" s="9"/>
      <c r="AH101" s="9"/>
      <c r="AI101" s="9"/>
      <c r="AJ101" s="9"/>
      <c r="AK101" s="9">
        <f>SUM(M101,N101,Q101,R101,S101,T101,U101,V101,W101,X101,Y101,Z101,AA101,AB101,AC101,AD101,AE101,AF101,AG101,AH101,AI101,AJ101)</f>
      </c>
      <c r="AL101" s="9">
        <f>I101-AK101</f>
      </c>
      <c r="AM101" s="9">
        <f>AL101-AN101-AO101-AP101-AQ101</f>
      </c>
      <c r="AN101" s="9"/>
      <c r="AO101" s="9"/>
      <c r="AP101" s="9"/>
      <c r="AQ101" s="9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9"/>
      <c r="BC101" s="9"/>
      <c r="BD101" t="inlineStr" s="8">
        <is>
          <t>13213158433</t>
        </is>
      </c>
      <c r="BE101" t="inlineStr" s="8">
        <is>
          <t>ajaramillorey@redlobster.com</t>
        </is>
      </c>
      <c r="BF101" s="8"/>
      <c r="BG101" s="8"/>
    </row>
    <row r="102" ht="12.75" customHeight="1">
      <c r="A102" t="inlineStr" s="8">
        <is>
          <t>002010383914</t>
        </is>
      </c>
      <c r="B102" s="8"/>
      <c r="C102" t="inlineStr" s="8">
        <is>
          <t>1302</t>
        </is>
      </c>
      <c r="D102" s="9">
        <v>40.70</v>
      </c>
      <c r="E102" t="inlineStr" s="8">
        <is>
          <t>1000788384</t>
        </is>
      </c>
      <c r="F102" t="inlineStr" s="8">
        <is>
          <t>CHAPARRO SALAZAR ALISON DANIELA</t>
        </is>
      </c>
      <c r="G102" s="8"/>
      <c r="H102" s="8"/>
      <c r="I102" s="9">
        <v>173000000.00</v>
      </c>
      <c r="J102" s="8"/>
      <c r="K102" t="inlineStr" s="8">
        <is>
          <t>NCR292 - NCR385 - NCR476 - NCR574 - NCR647</t>
        </is>
      </c>
      <c r="L102" t="inlineStr" s="8">
        <is>
          <t>ENE.26/26F - MAR.2/26F - ABR.1/26F - MAY.5/26F - JUN.2/26F</t>
        </is>
      </c>
      <c r="M102" s="9"/>
      <c r="N102" s="9"/>
      <c r="O102" s="8"/>
      <c r="P102" s="8"/>
      <c r="Q102" s="10"/>
      <c r="R102" s="10"/>
      <c r="S102" s="10"/>
      <c r="T102" s="10"/>
      <c r="U102" s="10"/>
      <c r="V102" s="10"/>
      <c r="W102" s="10"/>
      <c r="X102" s="10">
        <v>1000000</v>
      </c>
      <c r="Y102" s="10"/>
      <c r="Z102" s="10">
        <v>1000000</v>
      </c>
      <c r="AA102" s="10">
        <v>1000000</v>
      </c>
      <c r="AB102" s="10">
        <v>1000000</v>
      </c>
      <c r="AC102" s="10">
        <v>1000000</v>
      </c>
      <c r="AD102" s="10"/>
      <c r="AE102" s="10"/>
      <c r="AF102" s="10"/>
      <c r="AG102" s="9"/>
      <c r="AH102" s="9"/>
      <c r="AI102" s="9"/>
      <c r="AJ102" s="9"/>
      <c r="AK102" s="9">
        <f>SUM(M102,N102,Q102,R102,S102,T102,U102,V102,W102,X102,Y102,Z102,AA102,AB102,AC102,AD102,AE102,AF102,AG102,AH102,AI102,AJ102)</f>
      </c>
      <c r="AL102" s="9">
        <f>I102-AK102</f>
      </c>
      <c r="AM102" s="9">
        <f>AL102-AN102-AO102-AP102-AQ102</f>
      </c>
      <c r="AN102" s="9"/>
      <c r="AO102" s="9"/>
      <c r="AP102" s="9"/>
      <c r="AQ102" s="9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9"/>
      <c r="BC102" s="9"/>
      <c r="BD102" t="inlineStr" s="8">
        <is>
          <t>3209393812</t>
        </is>
      </c>
      <c r="BE102" t="inlineStr" s="8">
        <is>
          <t>danisalazar1999@outlook.es</t>
        </is>
      </c>
      <c r="BF102" s="8"/>
      <c r="BG102" s="8"/>
    </row>
    <row r="103" ht="12.75" customHeight="1">
      <c r="A103" t="inlineStr" s="8">
        <is>
          <t>002010802196</t>
        </is>
      </c>
      <c r="B103" s="8"/>
      <c r="C103" t="inlineStr" s="8">
        <is>
          <t>1303</t>
        </is>
      </c>
      <c r="D103" s="9">
        <v>40.70</v>
      </c>
      <c r="E103" t="inlineStr" s="8">
        <is>
          <t>1097035137</t>
        </is>
      </c>
      <c r="F103" t="inlineStr" s="8">
        <is>
          <t>OBANDO COLORADO CRISTIAN CAMILO</t>
        </is>
      </c>
      <c r="G103" t="inlineStr" s="8">
        <is>
          <t>TRIVIÑO SALAZAR MARIA FERNANDA</t>
        </is>
      </c>
      <c r="H103" s="8"/>
      <c r="I103" s="9">
        <v>173000000.00</v>
      </c>
      <c r="J103" s="8"/>
      <c r="K103" t="inlineStr" s="8">
        <is>
          <t>NCR598 - NCR653 - RC194 - RC122 - RC143</t>
        </is>
      </c>
      <c r="L103" t="inlineStr" s="8">
        <is>
          <t>MAY.20/26F - JUN.2/26F - JUL.3/26F - AGO.4/26F - SEP.4/26F</t>
        </is>
      </c>
      <c r="M103" s="9"/>
      <c r="N103" s="9"/>
      <c r="O103" s="8"/>
      <c r="P103" s="8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>
        <v>1000000</v>
      </c>
      <c r="AC103" s="10">
        <v>3000000</v>
      </c>
      <c r="AD103" s="10">
        <v>6000000</v>
      </c>
      <c r="AE103" s="10">
        <v>3900000</v>
      </c>
      <c r="AF103" s="10">
        <v>1900000</v>
      </c>
      <c r="AG103" s="9"/>
      <c r="AH103" s="9"/>
      <c r="AI103" s="9"/>
      <c r="AJ103" s="9"/>
      <c r="AK103" s="9">
        <f>SUM(M103,N103,Q103,R103,S103,T103,U103,V103,W103,X103,Y103,Z103,AA103,AB103,AC103,AD103,AE103,AF103,AG103,AH103,AI103,AJ103)</f>
      </c>
      <c r="AL103" s="9">
        <f>I103-AK103</f>
      </c>
      <c r="AM103" s="9">
        <f>AL103-AN103-AO103-AP103-AQ103</f>
      </c>
      <c r="AN103" s="9"/>
      <c r="AO103" s="9"/>
      <c r="AP103" s="9"/>
      <c r="AQ103" s="9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9"/>
      <c r="BC103" s="9"/>
      <c r="BD103" t="inlineStr" s="8">
        <is>
          <t>34632779595</t>
        </is>
      </c>
      <c r="BE103" t="inlineStr" s="8">
        <is>
          <t>camilobando02@gmail.com</t>
        </is>
      </c>
      <c r="BF103" s="8"/>
      <c r="BG103" s="8"/>
    </row>
    <row r="104" ht="12.75" customHeight="1">
      <c r="A104" t="inlineStr" s="8">
        <is>
          <t>002010802212</t>
        </is>
      </c>
      <c r="B104" s="8"/>
      <c r="C104" t="inlineStr" s="8">
        <is>
          <t>1304</t>
        </is>
      </c>
      <c r="D104" s="9">
        <v>40.70</v>
      </c>
      <c r="E104" t="inlineStr" s="8">
        <is>
          <t>79888388</t>
        </is>
      </c>
      <c r="F104" t="inlineStr" s="8">
        <is>
          <t>DOZA CHAVEZ PLINIO</t>
        </is>
      </c>
      <c r="G104" s="8"/>
      <c r="H104" s="8"/>
      <c r="I104" s="9">
        <v>173000000.00</v>
      </c>
      <c r="J104" s="8"/>
      <c r="K104" t="inlineStr" s="8">
        <is>
          <t>NCR601</t>
        </is>
      </c>
      <c r="L104" t="inlineStr" s="8">
        <is>
          <t>MAY.21/26F</t>
        </is>
      </c>
      <c r="M104" s="9"/>
      <c r="N104" s="9"/>
      <c r="O104" s="8"/>
      <c r="P104" s="8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>
        <v>1000000</v>
      </c>
      <c r="AC104" s="10"/>
      <c r="AD104" s="10"/>
      <c r="AE104" s="10"/>
      <c r="AF104" s="10"/>
      <c r="AG104" s="9"/>
      <c r="AH104" s="9"/>
      <c r="AI104" s="9"/>
      <c r="AJ104" s="9"/>
      <c r="AK104" s="9">
        <f>SUM(M104,N104,Q104,R104,S104,T104,U104,V104,W104,X104,Y104,Z104,AA104,AB104,AC104,AD104,AE104,AF104,AG104,AH104,AI104,AJ104)</f>
      </c>
      <c r="AL104" s="9">
        <f>I104-AK104</f>
      </c>
      <c r="AM104" s="9">
        <f>AL104-AN104-AO104-AP104-AQ104</f>
      </c>
      <c r="AN104" s="9"/>
      <c r="AO104" s="9"/>
      <c r="AP104" s="9"/>
      <c r="AQ104" s="9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9"/>
      <c r="BC104" s="9"/>
      <c r="BD104" t="inlineStr" s="8">
        <is>
          <t>3245446288</t>
        </is>
      </c>
      <c r="BE104" t="inlineStr" s="8">
        <is>
          <t>sabioplinio@hotmail.com</t>
        </is>
      </c>
      <c r="BF104" s="8"/>
      <c r="BG104" s="8"/>
    </row>
    <row r="105" ht="12.75" customHeight="1">
      <c r="A105" t="inlineStr" s="8">
        <is>
          <t>002010383941</t>
        </is>
      </c>
      <c r="B105" s="8"/>
      <c r="C105" t="inlineStr" s="8">
        <is>
          <t>1305</t>
        </is>
      </c>
      <c r="D105" s="9">
        <v>40.70</v>
      </c>
      <c r="E105" t="inlineStr" s="8">
        <is>
          <t>1094951447</t>
        </is>
      </c>
      <c r="F105" t="inlineStr" s="8">
        <is>
          <t>CUERVO BEDOYA JAIRO</t>
        </is>
      </c>
      <c r="G105" s="8"/>
      <c r="H105" s="8"/>
      <c r="I105" s="9">
        <v>173000000.00</v>
      </c>
      <c r="J105" s="8"/>
      <c r="K105" t="inlineStr" s="8">
        <is>
          <t>NCR22 - NCR61 - NCR100 - NCR136 - NCR198 - NCR239 - NCR310 - NCR387 - NCR459 - NCR551 - NCR622 - NCR695 - RC547 - RC086</t>
        </is>
      </c>
      <c r="L105" t="inlineStr" s="8">
        <is>
          <t>JUL.15/25F - AGO.29/25F - SEP.29/25F - OCT.28/25F - DIC.1/25F - DIC.29/25F - FEB.2/26F - MAR.2/26F - MAR.30/26F - MAY.4/26F - MAY.29/26F - JUN.30/26F - JUL.29/26F - SEP.2/26F</t>
        </is>
      </c>
      <c r="M105" s="9"/>
      <c r="N105" s="9"/>
      <c r="O105" s="8"/>
      <c r="P105" s="8"/>
      <c r="Q105" s="10"/>
      <c r="R105" s="10">
        <v>15000000</v>
      </c>
      <c r="S105" s="10">
        <v>1000000</v>
      </c>
      <c r="T105" s="10">
        <v>1000000</v>
      </c>
      <c r="U105" s="10">
        <v>1000000</v>
      </c>
      <c r="V105" s="10"/>
      <c r="W105" s="10">
        <f>1000000+1000000</f>
      </c>
      <c r="X105" s="10"/>
      <c r="Y105" s="10">
        <v>1000000</v>
      </c>
      <c r="Z105" s="10">
        <f>1000000+1000000</f>
      </c>
      <c r="AA105" s="10"/>
      <c r="AB105" s="10">
        <f>1000000+1000000</f>
      </c>
      <c r="AC105" s="10">
        <v>1000000</v>
      </c>
      <c r="AD105" s="10">
        <v>1000000</v>
      </c>
      <c r="AE105" s="10"/>
      <c r="AF105" s="10">
        <v>1000000</v>
      </c>
      <c r="AG105" s="9"/>
      <c r="AH105" s="9"/>
      <c r="AI105" s="9"/>
      <c r="AJ105" s="9"/>
      <c r="AK105" s="9">
        <f>SUM(M105,N105,Q105,R105,S105,T105,U105,V105,W105,X105,Y105,Z105,AA105,AB105,AC105,AD105,AE105,AF105,AG105,AH105,AI105,AJ105)</f>
      </c>
      <c r="AL105" s="9">
        <f>I105-AK105</f>
      </c>
      <c r="AM105" s="9">
        <f>AL105-AN105-AO105-AP105-AQ105</f>
      </c>
      <c r="AN105" s="9"/>
      <c r="AO105" s="9"/>
      <c r="AP105" s="9"/>
      <c r="AQ105" s="9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9"/>
      <c r="BC105" s="9"/>
      <c r="BD105" t="inlineStr" s="8">
        <is>
          <t>3015432094</t>
        </is>
      </c>
      <c r="BE105" t="inlineStr" s="8">
        <is>
          <t>jairocuervobedoya@gmail.com</t>
        </is>
      </c>
      <c r="BF105" s="8"/>
      <c r="BG105" s="8"/>
    </row>
    <row r="106" ht="12.75" customHeight="1">
      <c r="A106" t="inlineStr" s="8">
        <is>
          <t>002010383950</t>
        </is>
      </c>
      <c r="B106" s="8"/>
      <c r="C106" t="inlineStr" s="8">
        <is>
          <t>1306</t>
        </is>
      </c>
      <c r="D106" s="9">
        <v>40.70</v>
      </c>
      <c r="E106" t="inlineStr" s="8">
        <is>
          <t>41916116</t>
        </is>
      </c>
      <c r="F106" t="inlineStr" s="8">
        <is>
          <t>BEDOYA FRANCO LUZ ESTELA</t>
        </is>
      </c>
      <c r="G106" s="8"/>
      <c r="H106" s="8"/>
      <c r="I106" s="9">
        <v>173000000.00</v>
      </c>
      <c r="J106" s="8"/>
      <c r="K106" t="inlineStr" s="8">
        <is>
          <t>NCR27 - NCR65 - NCR98 - NCR141 - NCR196 - NCR243 - NCR317 - NCR391 - NCR454 - NCR550 - NCR615 - NCR702 - RC544 - RC082</t>
        </is>
      </c>
      <c r="L106" t="inlineStr" s="8">
        <is>
          <t>JUL.16/25F - AGO.29/25F - SEP.29/25F - OCT.29/25F - DIC.1/25F - DIC.29/25F - FEB.2/26F - MAR.2/26F - MAR.30/26F - MAY.4/26F - MAY.29/26F - JUN.30/26F - JUL.29/26F - SEP.2/26F</t>
        </is>
      </c>
      <c r="M106" s="9"/>
      <c r="N106" s="9"/>
      <c r="O106" s="8"/>
      <c r="P106" s="8"/>
      <c r="Q106" s="10"/>
      <c r="R106" s="10">
        <v>15000000</v>
      </c>
      <c r="S106" s="10">
        <v>1000000</v>
      </c>
      <c r="T106" s="10">
        <v>1000000</v>
      </c>
      <c r="U106" s="10">
        <v>1000000</v>
      </c>
      <c r="V106" s="10"/>
      <c r="W106" s="10">
        <f>1000000+1000000</f>
      </c>
      <c r="X106" s="10"/>
      <c r="Y106" s="10">
        <v>1000000</v>
      </c>
      <c r="Z106" s="10">
        <f>1000000+1000000</f>
      </c>
      <c r="AA106" s="10"/>
      <c r="AB106" s="10">
        <f>1000000+1000000</f>
      </c>
      <c r="AC106" s="10">
        <v>1000000</v>
      </c>
      <c r="AD106" s="10">
        <v>1000000</v>
      </c>
      <c r="AE106" s="10"/>
      <c r="AF106" s="10">
        <v>1000000</v>
      </c>
      <c r="AG106" s="9"/>
      <c r="AH106" s="9"/>
      <c r="AI106" s="9"/>
      <c r="AJ106" s="9"/>
      <c r="AK106" s="9">
        <f>SUM(M106,N106,Q106,R106,S106,T106,U106,V106,W106,X106,Y106,Z106,AA106,AB106,AC106,AD106,AE106,AF106,AG106,AH106,AI106,AJ106)</f>
      </c>
      <c r="AL106" s="9">
        <f>I106-AK106</f>
      </c>
      <c r="AM106" s="9">
        <f>AL106-AN106-AO106-AP106-AQ106</f>
      </c>
      <c r="AN106" s="9"/>
      <c r="AO106" s="9"/>
      <c r="AP106" s="9"/>
      <c r="AQ106" s="9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9"/>
      <c r="BC106" s="9"/>
      <c r="BD106" t="inlineStr" s="8">
        <is>
          <t>3012112787</t>
        </is>
      </c>
      <c r="BE106" t="inlineStr" s="8">
        <is>
          <t>beodyaluzstella@gmail.com</t>
        </is>
      </c>
      <c r="BF106" s="8"/>
      <c r="BG106" s="8"/>
    </row>
    <row r="107" ht="12.75" customHeight="1">
      <c r="A107" t="inlineStr" s="8">
        <is>
          <t>002010383969</t>
        </is>
      </c>
      <c r="B107" s="8"/>
      <c r="C107" t="inlineStr" s="8">
        <is>
          <t>1307</t>
        </is>
      </c>
      <c r="D107" s="9">
        <v>40.70</v>
      </c>
      <c r="E107" t="inlineStr" s="8">
        <is>
          <t>1019124923</t>
        </is>
      </c>
      <c r="F107" t="inlineStr" s="8">
        <is>
          <t>CASTRO ESPINOSA CAROLINA</t>
        </is>
      </c>
      <c r="G107" s="8"/>
      <c r="H107" s="8"/>
      <c r="I107" s="9">
        <v>173000000.00</v>
      </c>
      <c r="J107" s="8"/>
      <c r="K107" t="inlineStr" s="8">
        <is>
          <t>NCR267 - NCR304 - NCR384 - NCR455 - NCR538 - NCR616 - NCR700 - RC615 - RC458</t>
        </is>
      </c>
      <c r="L107" t="inlineStr" s="8">
        <is>
          <t>ENE.5/26F - ENE.30/26F - FEB.27/26F - MAR.30/26F - ABR.30/26F - MAY.29/26F - JUN.30/26F - JUL.30/26F - AGO.28/26F</t>
        </is>
      </c>
      <c r="M107" s="9"/>
      <c r="N107" s="9"/>
      <c r="O107" s="8"/>
      <c r="P107" s="8"/>
      <c r="Q107" s="10"/>
      <c r="R107" s="10"/>
      <c r="S107" s="10"/>
      <c r="T107" s="10"/>
      <c r="U107" s="10"/>
      <c r="V107" s="10"/>
      <c r="W107" s="10"/>
      <c r="X107" s="10">
        <f>1000000+900000</f>
      </c>
      <c r="Y107" s="10">
        <v>900000</v>
      </c>
      <c r="Z107" s="10">
        <v>900000</v>
      </c>
      <c r="AA107" s="10">
        <v>900000</v>
      </c>
      <c r="AB107" s="10">
        <v>900000</v>
      </c>
      <c r="AC107" s="10">
        <v>900000</v>
      </c>
      <c r="AD107" s="10">
        <v>900000</v>
      </c>
      <c r="AE107" s="10">
        <v>900000</v>
      </c>
      <c r="AF107" s="10"/>
      <c r="AG107" s="9"/>
      <c r="AH107" s="9"/>
      <c r="AI107" s="9"/>
      <c r="AJ107" s="9"/>
      <c r="AK107" s="9">
        <f>SUM(M107,N107,Q107,R107,S107,T107,U107,V107,W107,X107,Y107,Z107,AA107,AB107,AC107,AD107,AE107,AF107,AG107,AH107,AI107,AJ107)</f>
      </c>
      <c r="AL107" s="9">
        <f>I107-AK107</f>
      </c>
      <c r="AM107" s="9">
        <f>AL107-AN107-AO107-AP107-AQ107</f>
      </c>
      <c r="AN107" s="9"/>
      <c r="AO107" s="9"/>
      <c r="AP107" s="9"/>
      <c r="AQ107" s="9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9"/>
      <c r="BC107" s="9"/>
      <c r="BD107" t="inlineStr" s="8">
        <is>
          <t>3138196713</t>
        </is>
      </c>
      <c r="BE107" t="inlineStr" s="8">
        <is>
          <t>caroliina1918@gmail.com</t>
        </is>
      </c>
      <c r="BF107" s="8"/>
      <c r="BG107" s="8"/>
    </row>
    <row r="108" ht="12.75" customHeight="1">
      <c r="A108" t="inlineStr" s="8">
        <is>
          <t>002010383978</t>
        </is>
      </c>
      <c r="B108" s="8"/>
      <c r="C108" t="inlineStr" s="8">
        <is>
          <t>1308</t>
        </is>
      </c>
      <c r="D108" s="9">
        <v>40.70</v>
      </c>
      <c r="E108" t="inlineStr" s="8">
        <is>
          <t>1094957063</t>
        </is>
      </c>
      <c r="F108" t="inlineStr" s="8">
        <is>
          <t>CARDONA VIDALES ANA GABRIELA</t>
        </is>
      </c>
      <c r="G108" s="8"/>
      <c r="H108" s="8"/>
      <c r="I108" s="9">
        <v>173000000.00</v>
      </c>
      <c r="J108" s="8"/>
      <c r="K108" t="inlineStr" s="8">
        <is>
          <t>NCR408 - NCR566 - NCR657 - RC179 - RC070 - RC115</t>
        </is>
      </c>
      <c r="L108" t="inlineStr" s="8">
        <is>
          <t>MAR.5/26F - MAY.4/26F - JUN.4/26F - JUL.6/26F - AGO.3/26F - SEP.3/26F</t>
        </is>
      </c>
      <c r="M108" s="9"/>
      <c r="N108" s="9"/>
      <c r="O108" s="8"/>
      <c r="P108" s="8"/>
      <c r="Q108" s="10"/>
      <c r="R108" s="10"/>
      <c r="S108" s="10"/>
      <c r="T108" s="10"/>
      <c r="U108" s="10"/>
      <c r="V108" s="10"/>
      <c r="W108" s="10"/>
      <c r="X108" s="10"/>
      <c r="Y108" s="10"/>
      <c r="Z108" s="10">
        <v>1000000</v>
      </c>
      <c r="AA108" s="10"/>
      <c r="AB108" s="10">
        <v>1000000</v>
      </c>
      <c r="AC108" s="10">
        <v>1000000</v>
      </c>
      <c r="AD108" s="10">
        <v>1500000</v>
      </c>
      <c r="AE108" s="10">
        <v>1000000</v>
      </c>
      <c r="AF108" s="10">
        <v>1000000</v>
      </c>
      <c r="AG108" s="9"/>
      <c r="AH108" s="9"/>
      <c r="AI108" s="9"/>
      <c r="AJ108" s="9"/>
      <c r="AK108" s="9">
        <f>SUM(M108,N108,Q108,R108,S108,T108,U108,V108,W108,X108,Y108,Z108,AA108,AB108,AC108,AD108,AE108,AF108,AG108,AH108,AI108,AJ108)</f>
      </c>
      <c r="AL108" s="9">
        <f>I108-AK108</f>
      </c>
      <c r="AM108" s="9">
        <f>AL108-AN108-AO108-AP108-AQ108</f>
      </c>
      <c r="AN108" s="9"/>
      <c r="AO108" s="9"/>
      <c r="AP108" s="9"/>
      <c r="AQ108" s="9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9"/>
      <c r="BC108" s="9"/>
      <c r="BD108" t="inlineStr" s="8">
        <is>
          <t>34697703619</t>
        </is>
      </c>
      <c r="BE108" t="inlineStr" s="8">
        <is>
          <t>cardonayisleidy@gmail.com</t>
        </is>
      </c>
      <c r="BF108" s="8"/>
      <c r="BG108" s="8"/>
    </row>
    <row r="109" ht="12.75" customHeight="1">
      <c r="A109" t="inlineStr" s="8">
        <is>
          <t>002010383987</t>
        </is>
      </c>
      <c r="B109" s="8"/>
      <c r="C109" t="inlineStr" s="8">
        <is>
          <t>1401</t>
        </is>
      </c>
      <c r="D109" s="9">
        <v>40.70</v>
      </c>
      <c r="E109" t="inlineStr" s="8">
        <is>
          <t>1114727629</t>
        </is>
      </c>
      <c r="F109" t="inlineStr" s="8">
        <is>
          <t>MORENO HERRERA JULIAN DAVID</t>
        </is>
      </c>
      <c r="G109" s="8"/>
      <c r="H109" s="8"/>
      <c r="I109" s="9">
        <v>173000000.00</v>
      </c>
      <c r="J109" s="8"/>
      <c r="K109" t="inlineStr" s="8">
        <is>
          <t>NCR451 - NCR539 - NCR630 - RC182 - RC159 - RC203 - RC139</t>
        </is>
      </c>
      <c r="L109" t="inlineStr" s="8">
        <is>
          <t>MAR.26/26F - ABR.30/26F - JUN.1/26F - JUL.6/26F - AGO.5/26F - AGO.10/26F - SEP.4/26F</t>
        </is>
      </c>
      <c r="M109" s="9"/>
      <c r="N109" s="9"/>
      <c r="O109" s="8"/>
      <c r="P109" s="8"/>
      <c r="Q109" s="10"/>
      <c r="R109" s="10"/>
      <c r="S109" s="10"/>
      <c r="T109" s="10"/>
      <c r="U109" s="10"/>
      <c r="V109" s="10"/>
      <c r="W109" s="10"/>
      <c r="X109" s="10"/>
      <c r="Y109" s="10"/>
      <c r="Z109" s="10">
        <v>1000000</v>
      </c>
      <c r="AA109" s="10">
        <v>1050000</v>
      </c>
      <c r="AB109" s="10"/>
      <c r="AC109" s="10">
        <v>1050000</v>
      </c>
      <c r="AD109" s="10">
        <v>1050000</v>
      </c>
      <c r="AE109" s="10">
        <f>1050000+1050000</f>
      </c>
      <c r="AF109" s="10">
        <v>1050000</v>
      </c>
      <c r="AG109" s="9"/>
      <c r="AH109" s="9"/>
      <c r="AI109" s="9"/>
      <c r="AJ109" s="9"/>
      <c r="AK109" s="9">
        <f>SUM(M109,N109,Q109,R109,S109,T109,U109,V109,W109,X109,Y109,Z109,AA109,AB109,AC109,AD109,AE109,AF109,AG109,AH109,AI109,AJ109)</f>
      </c>
      <c r="AL109" s="9">
        <f>I109-AK109</f>
      </c>
      <c r="AM109" s="9">
        <f>AL109-AN109-AO109-AP109-AQ109</f>
      </c>
      <c r="AN109" s="9"/>
      <c r="AO109" s="9"/>
      <c r="AP109" s="9"/>
      <c r="AQ109" s="9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9"/>
      <c r="BC109" s="9"/>
      <c r="BD109" t="inlineStr" s="8">
        <is>
          <t>13212953312</t>
        </is>
      </c>
      <c r="BE109" t="inlineStr" s="8">
        <is>
          <t>herrerajulian325@gmail.com</t>
        </is>
      </c>
      <c r="BF109" s="8"/>
      <c r="BG109" s="8"/>
    </row>
    <row r="110" ht="12.75" customHeight="1">
      <c r="A110" t="inlineStr" s="8">
        <is>
          <t>002010383996</t>
        </is>
      </c>
      <c r="B110" s="8"/>
      <c r="C110" t="inlineStr" s="8">
        <is>
          <t>1402</t>
        </is>
      </c>
      <c r="D110" s="9">
        <v>40.70</v>
      </c>
      <c r="E110" t="inlineStr" s="8">
        <is>
          <t>80880317</t>
        </is>
      </c>
      <c r="F110" t="inlineStr" s="8">
        <is>
          <t>GIRALDO DUQUE JOHN JAIRO</t>
        </is>
      </c>
      <c r="G110" s="8"/>
      <c r="H110" s="8"/>
      <c r="I110" s="9">
        <v>173000000.00</v>
      </c>
      <c r="J110" s="8"/>
      <c r="K110" t="inlineStr" s="8">
        <is>
          <t>NCR346 - NCR402 - NCR477 - NCR576 - NCR661 - RC257 - RC161</t>
        </is>
      </c>
      <c r="L110" t="inlineStr" s="8">
        <is>
          <t>FEB.11/26F - MAR.3/26F - ABR.1/26F - MAY.6/26F - JUN.5/26F - JUL.8/26F - AGO.5/26F</t>
        </is>
      </c>
      <c r="M110" s="9"/>
      <c r="N110" s="9"/>
      <c r="O110" s="8"/>
      <c r="P110" s="8"/>
      <c r="Q110" s="10"/>
      <c r="R110" s="10"/>
      <c r="S110" s="10"/>
      <c r="T110" s="10"/>
      <c r="U110" s="10"/>
      <c r="V110" s="10"/>
      <c r="W110" s="10"/>
      <c r="X110" s="10"/>
      <c r="Y110" s="10">
        <v>1000000</v>
      </c>
      <c r="Z110" s="10">
        <v>1000000</v>
      </c>
      <c r="AA110" s="10">
        <v>1000000</v>
      </c>
      <c r="AB110" s="10">
        <v>1000000</v>
      </c>
      <c r="AC110" s="10">
        <v>1000000</v>
      </c>
      <c r="AD110" s="10">
        <v>1000000</v>
      </c>
      <c r="AE110" s="10">
        <v>1000000</v>
      </c>
      <c r="AF110" s="10"/>
      <c r="AG110" s="9"/>
      <c r="AH110" s="9"/>
      <c r="AI110" s="9"/>
      <c r="AJ110" s="9"/>
      <c r="AK110" s="9">
        <f>SUM(M110,N110,Q110,R110,S110,T110,U110,V110,W110,X110,Y110,Z110,AA110,AB110,AC110,AD110,AE110,AF110,AG110,AH110,AI110,AJ110)</f>
      </c>
      <c r="AL110" s="9">
        <f>I110-AK110</f>
      </c>
      <c r="AM110" s="9">
        <f>AL110-AN110-AO110-AP110-AQ110</f>
      </c>
      <c r="AN110" s="9"/>
      <c r="AO110" s="9"/>
      <c r="AP110" s="9"/>
      <c r="AQ110" s="9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9"/>
      <c r="BC110" s="9"/>
      <c r="BD110" t="inlineStr" s="8">
        <is>
          <t>3505000379</t>
        </is>
      </c>
      <c r="BE110" t="inlineStr" s="8">
        <is>
          <t>jhongiralduque@gmail.com</t>
        </is>
      </c>
      <c r="BF110" s="8"/>
      <c r="BG110" s="8"/>
    </row>
    <row r="111" ht="12.75" customHeight="1">
      <c r="A111" t="inlineStr" s="8">
        <is>
          <t>002010384003</t>
        </is>
      </c>
      <c r="B111" s="8"/>
      <c r="C111" t="inlineStr" s="8">
        <is>
          <t>1403</t>
        </is>
      </c>
      <c r="D111" s="9">
        <v>40.70</v>
      </c>
      <c r="E111" t="inlineStr" s="8">
        <is>
          <t>1006783785</t>
        </is>
      </c>
      <c r="F111" t="inlineStr" s="8">
        <is>
          <t>GONZALEZ MORENO JAIR STIVEN</t>
        </is>
      </c>
      <c r="G111" s="8"/>
      <c r="H111" s="8"/>
      <c r="I111" s="9">
        <v>173000000.00</v>
      </c>
      <c r="J111" s="8"/>
      <c r="K111" t="inlineStr" s="8">
        <is>
          <t>NCR220 - NCR277 - NCR501 - NCR593 - RC358</t>
        </is>
      </c>
      <c r="L111" t="inlineStr" s="8">
        <is>
          <t>DIC.10/25F - ENE.15/26F - ABR.15/26F - MAY.15/26F - AGO.24/26F</t>
        </is>
      </c>
      <c r="M111" s="9"/>
      <c r="N111" s="9"/>
      <c r="O111" s="8"/>
      <c r="P111" s="8"/>
      <c r="Q111" s="10"/>
      <c r="R111" s="10"/>
      <c r="S111" s="10"/>
      <c r="T111" s="10"/>
      <c r="U111" s="10"/>
      <c r="V111" s="10"/>
      <c r="W111" s="10">
        <v>1000000</v>
      </c>
      <c r="X111" s="10">
        <v>1765000</v>
      </c>
      <c r="Y111" s="10"/>
      <c r="Z111" s="10"/>
      <c r="AA111" s="10">
        <v>1635000</v>
      </c>
      <c r="AB111" s="10">
        <v>850000</v>
      </c>
      <c r="AC111" s="10"/>
      <c r="AD111" s="10"/>
      <c r="AE111" s="10">
        <v>2550000</v>
      </c>
      <c r="AF111" s="10"/>
      <c r="AG111" s="9"/>
      <c r="AH111" s="9"/>
      <c r="AI111" s="9"/>
      <c r="AJ111" s="9"/>
      <c r="AK111" s="9">
        <f>SUM(M111,N111,Q111,R111,S111,T111,U111,V111,W111,X111,Y111,Z111,AA111,AB111,AC111,AD111,AE111,AF111,AG111,AH111,AI111,AJ111)</f>
      </c>
      <c r="AL111" s="9">
        <f>I111-AK111</f>
      </c>
      <c r="AM111" s="9">
        <f>AL111-AN111-AO111-AP111-AQ111</f>
      </c>
      <c r="AN111" s="9"/>
      <c r="AO111" s="9"/>
      <c r="AP111" s="9"/>
      <c r="AQ111" s="9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9"/>
      <c r="BC111" s="9"/>
      <c r="BD111" t="inlineStr" s="8">
        <is>
          <t>350226011</t>
        </is>
      </c>
      <c r="BE111" t="inlineStr" s="8">
        <is>
          <t>jairstivengm@gmail.com</t>
        </is>
      </c>
      <c r="BF111" s="8"/>
      <c r="BG111" s="8"/>
    </row>
    <row r="112" ht="12.75" customHeight="1">
      <c r="A112" t="inlineStr" s="8">
        <is>
          <t>002010384012</t>
        </is>
      </c>
      <c r="B112" s="8"/>
      <c r="C112" t="inlineStr" s="8">
        <is>
          <t>1404</t>
        </is>
      </c>
      <c r="D112" s="9">
        <v>40.70</v>
      </c>
      <c r="E112" t="inlineStr" s="8">
        <is>
          <t>1010073115</t>
        </is>
      </c>
      <c r="F112" t="inlineStr" s="8">
        <is>
          <t>GARCIA SERNA ANA MARIA</t>
        </is>
      </c>
      <c r="G112" s="8"/>
      <c r="H112" s="8"/>
      <c r="I112" s="9">
        <v>173000000.00</v>
      </c>
      <c r="J112" s="8"/>
      <c r="K112" t="inlineStr" s="8">
        <is>
          <t>NCR4 - NCR26 - NCR55 - NCR87 - NCR126 - NCR179 - NCR228 - NCR287 - NCR365 - NCR433 - NCR506 - NCR600 - NCR673 - RC406 - RC290</t>
        </is>
      </c>
      <c r="L112" t="inlineStr" s="8">
        <is>
          <t>JUN.26/25F - JUL.16/25F - AGO.22/25F - SEP.16/25F - OCT.17/25F - NOV.19/25F - DIC.19/25F - ENE.21/26F - FEB.24/26F - MAR.17/26F - ABR.17/26F - MAY.21/26F - JUN.17/26F - JUL.21/26F - AGO.18/26F</t>
        </is>
      </c>
      <c r="M112" s="9"/>
      <c r="N112" s="9"/>
      <c r="O112" s="8"/>
      <c r="P112" s="8"/>
      <c r="Q112" s="10">
        <v>1000000</v>
      </c>
      <c r="R112" s="10">
        <v>400000</v>
      </c>
      <c r="S112" s="10">
        <v>400000</v>
      </c>
      <c r="T112" s="10">
        <v>400000</v>
      </c>
      <c r="U112" s="10">
        <v>400000</v>
      </c>
      <c r="V112" s="10">
        <v>400000</v>
      </c>
      <c r="W112" s="10">
        <v>1400000</v>
      </c>
      <c r="X112" s="10">
        <v>400000</v>
      </c>
      <c r="Y112" s="10">
        <v>2400000</v>
      </c>
      <c r="Z112" s="10">
        <v>400000</v>
      </c>
      <c r="AA112" s="10">
        <v>400000</v>
      </c>
      <c r="AB112" s="10">
        <v>400000</v>
      </c>
      <c r="AC112" s="10">
        <v>1400000</v>
      </c>
      <c r="AD112" s="10">
        <v>400000</v>
      </c>
      <c r="AE112" s="10">
        <v>400000</v>
      </c>
      <c r="AF112" s="10"/>
      <c r="AG112" s="9"/>
      <c r="AH112" s="9"/>
      <c r="AI112" s="9"/>
      <c r="AJ112" s="9"/>
      <c r="AK112" s="9">
        <f>SUM(M112,N112,Q112,R112,S112,T112,U112,V112,W112,X112,Y112,Z112,AA112,AB112,AC112,AD112,AE112,AF112,AG112,AH112,AI112,AJ112)</f>
      </c>
      <c r="AL112" s="9">
        <f>I112-AK112</f>
      </c>
      <c r="AM112" s="9">
        <f>AL112-AN112-AO112-AP112-AQ112</f>
      </c>
      <c r="AN112" s="9"/>
      <c r="AO112" s="9"/>
      <c r="AP112" s="9"/>
      <c r="AQ112" s="9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9"/>
      <c r="BC112" s="9"/>
      <c r="BD112" t="inlineStr" s="8">
        <is>
          <t>3153819738</t>
        </is>
      </c>
      <c r="BE112" t="inlineStr" s="8">
        <is>
          <t>amargarse01@gmail.com</t>
        </is>
      </c>
      <c r="BF112" s="8"/>
      <c r="BG112" s="8"/>
    </row>
    <row r="113" ht="12.75" customHeight="1">
      <c r="A113" t="inlineStr" s="8">
        <is>
          <t>002010384021</t>
        </is>
      </c>
      <c r="B113" s="8"/>
      <c r="C113" t="inlineStr" s="8">
        <is>
          <t>1405</t>
        </is>
      </c>
      <c r="D113" s="9">
        <v>40.70</v>
      </c>
      <c r="E113" t="inlineStr" s="8">
        <is>
          <t>1094959292</t>
        </is>
      </c>
      <c r="F113" t="inlineStr" s="8">
        <is>
          <t>PENA GUZMAN DANIELA</t>
        </is>
      </c>
      <c r="G113" s="8"/>
      <c r="H113" s="8"/>
      <c r="I113" s="9">
        <v>173000000.00</v>
      </c>
      <c r="J113" s="8"/>
      <c r="K113" t="inlineStr" s="8">
        <is>
          <t>NCR138 - NCR284 - NCR524</t>
        </is>
      </c>
      <c r="L113" t="inlineStr" s="8">
        <is>
          <t>OCT.28/25F - ENE.20/26F - ABR.29/26F</t>
        </is>
      </c>
      <c r="M113" s="9"/>
      <c r="N113" s="9"/>
      <c r="O113" s="8"/>
      <c r="P113" s="8"/>
      <c r="Q113" s="10"/>
      <c r="R113" s="10"/>
      <c r="S113" s="10"/>
      <c r="T113" s="10"/>
      <c r="U113" s="10">
        <v>2000000</v>
      </c>
      <c r="V113" s="10"/>
      <c r="W113" s="10"/>
      <c r="X113" s="10">
        <v>1200000</v>
      </c>
      <c r="Y113" s="10"/>
      <c r="Z113" s="10"/>
      <c r="AA113" s="10">
        <v>2200000</v>
      </c>
      <c r="AB113" s="10"/>
      <c r="AC113" s="10"/>
      <c r="AD113" s="10"/>
      <c r="AE113" s="10"/>
      <c r="AF113" s="10"/>
      <c r="AG113" s="9"/>
      <c r="AH113" s="9"/>
      <c r="AI113" s="9"/>
      <c r="AJ113" s="9"/>
      <c r="AK113" s="9">
        <f>SUM(M113,N113,Q113,R113,S113,T113,U113,V113,W113,X113,Y113,Z113,AA113,AB113,AC113,AD113,AE113,AF113,AG113,AH113,AI113,AJ113)</f>
      </c>
      <c r="AL113" s="9">
        <f>I113-AK113</f>
      </c>
      <c r="AM113" s="9">
        <f>AL113-AN113-AO113-AP113-AQ113</f>
      </c>
      <c r="AN113" s="9"/>
      <c r="AO113" s="9"/>
      <c r="AP113" s="9"/>
      <c r="AQ113" s="9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9"/>
      <c r="BC113" s="9"/>
      <c r="BD113" t="inlineStr" s="8">
        <is>
          <t>3508296907</t>
        </is>
      </c>
      <c r="BE113" t="inlineStr" s="8">
        <is>
          <t>danielape.aguzman@gmail.com</t>
        </is>
      </c>
      <c r="BF113" s="8"/>
      <c r="BG113" s="8"/>
    </row>
    <row r="114" ht="12.75" customHeight="1">
      <c r="A114" t="inlineStr" s="8">
        <is>
          <t>002010384030</t>
        </is>
      </c>
      <c r="B114" s="8"/>
      <c r="C114" t="inlineStr" s="8">
        <is>
          <t>1406</t>
        </is>
      </c>
      <c r="D114" s="9">
        <v>40.70</v>
      </c>
      <c r="E114" t="inlineStr" s="8">
        <is>
          <t>41963525</t>
        </is>
      </c>
      <c r="F114" t="inlineStr" s="8">
        <is>
          <t>ECHEVERRY DIAZ JENNY MARCELA</t>
        </is>
      </c>
      <c r="G114" s="8"/>
      <c r="H114" s="8"/>
      <c r="I114" s="9">
        <v>173000000.00</v>
      </c>
      <c r="J114" s="8"/>
      <c r="K114" t="inlineStr" s="8">
        <is>
          <t>NCR171 - NCR231 - NCR296 - NCR382 - NCR397 - NCR439 - NCR535 - NCR632 - NCR692 - RC664 - RC413</t>
        </is>
      </c>
      <c r="L114" t="inlineStr" s="8">
        <is>
          <t>NOV.5/25F - DIC.22/25F - ENE.26/26F - FEB.27/26F - MAR.3/26F - MAR.24/26F - ABR.30/26F - JUN.1/26F - JUN.30/26F - JUL.31/26F - AGO.27/26F</t>
        </is>
      </c>
      <c r="M114" s="9"/>
      <c r="N114" s="9"/>
      <c r="O114" s="8"/>
      <c r="P114" s="8"/>
      <c r="Q114" s="10"/>
      <c r="R114" s="10"/>
      <c r="S114" s="10"/>
      <c r="T114" s="10"/>
      <c r="U114" s="10"/>
      <c r="V114" s="10">
        <v>1000000</v>
      </c>
      <c r="W114" s="10">
        <v>850000</v>
      </c>
      <c r="X114" s="10">
        <v>850000</v>
      </c>
      <c r="Y114" s="10">
        <v>1000000</v>
      </c>
      <c r="Z114" s="10">
        <f>2000000+1000000</f>
      </c>
      <c r="AA114" s="10">
        <v>850000</v>
      </c>
      <c r="AB114" s="10"/>
      <c r="AC114" s="10">
        <f>850000+1000000</f>
      </c>
      <c r="AD114" s="10">
        <v>900000</v>
      </c>
      <c r="AE114" s="10">
        <v>900000</v>
      </c>
      <c r="AF114" s="10"/>
      <c r="AG114" s="9"/>
      <c r="AH114" s="9"/>
      <c r="AI114" s="9"/>
      <c r="AJ114" s="9"/>
      <c r="AK114" s="9">
        <f>SUM(M114,N114,Q114,R114,S114,T114,U114,V114,W114,X114,Y114,Z114,AA114,AB114,AC114,AD114,AE114,AF114,AG114,AH114,AI114,AJ114)</f>
      </c>
      <c r="AL114" s="9">
        <f>I114-AK114</f>
      </c>
      <c r="AM114" s="9">
        <f>AL114-AN114-AO114-AP114-AQ114</f>
      </c>
      <c r="AN114" s="9"/>
      <c r="AO114" s="9"/>
      <c r="AP114" s="9"/>
      <c r="AQ114" s="9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9"/>
      <c r="BC114" s="9"/>
      <c r="BD114" t="inlineStr" s="8">
        <is>
          <t>16896809256</t>
        </is>
      </c>
      <c r="BE114" t="inlineStr" s="8">
        <is>
          <t>jema.libra@gmail.com</t>
        </is>
      </c>
      <c r="BF114" s="8"/>
      <c r="BG114" s="8"/>
    </row>
    <row r="115" ht="12.75" customHeight="1">
      <c r="A115" t="inlineStr" s="8">
        <is>
          <t>002010384049</t>
        </is>
      </c>
      <c r="B115" s="8"/>
      <c r="C115" t="inlineStr" s="8">
        <is>
          <t>1407</t>
        </is>
      </c>
      <c r="D115" s="9">
        <v>40.70</v>
      </c>
      <c r="E115" t="inlineStr" s="8">
        <is>
          <t>1004918218</t>
        </is>
      </c>
      <c r="F115" t="inlineStr" s="8">
        <is>
          <t>MURILLO TAPASCO BRYAN STIVEN</t>
        </is>
      </c>
      <c r="G115" s="8"/>
      <c r="H115" s="8"/>
      <c r="I115" s="9">
        <v>173000000.00</v>
      </c>
      <c r="J115" s="8"/>
      <c r="K115" t="inlineStr" s="8">
        <is>
          <t>NCR268 - NCR297 - NCR345 - NCR347 - NCR348 - NCR406 - NCR478 - NCR560 - NCR638 - RC172 - RC065 - RC169</t>
        </is>
      </c>
      <c r="L115" t="inlineStr" s="8">
        <is>
          <t>ENE.5/26F - ENE.26/26F - FEB.11/26F - FEB.11/26F - FEB.11/26F - MAR.4/26F - ABR.1/26F - MAY.4/26F - JUN.1/26F - JUL.2/26F - AGO.3/26F - SEP.7/26F</t>
        </is>
      </c>
      <c r="M115" s="9"/>
      <c r="N115" s="9"/>
      <c r="O115" s="8"/>
      <c r="P115" s="8"/>
      <c r="Q115" s="10"/>
      <c r="R115" s="10"/>
      <c r="S115" s="10"/>
      <c r="T115" s="10"/>
      <c r="U115" s="10"/>
      <c r="V115" s="10"/>
      <c r="W115" s="10"/>
      <c r="X115" s="10">
        <f>1000000+330000</f>
      </c>
      <c r="Y115" s="10">
        <f>3820117+3700000+2679883</f>
      </c>
      <c r="Z115" s="10">
        <v>330000</v>
      </c>
      <c r="AA115" s="10">
        <v>330000</v>
      </c>
      <c r="AB115" s="10">
        <v>330000</v>
      </c>
      <c r="AC115" s="10">
        <v>330000</v>
      </c>
      <c r="AD115" s="10">
        <v>330000</v>
      </c>
      <c r="AE115" s="10">
        <v>330000</v>
      </c>
      <c r="AF115" s="10">
        <v>330000</v>
      </c>
      <c r="AG115" s="9"/>
      <c r="AH115" s="9"/>
      <c r="AI115" s="9"/>
      <c r="AJ115" s="9"/>
      <c r="AK115" s="9">
        <f>SUM(M115,N115,Q115,R115,S115,T115,U115,V115,W115,X115,Y115,Z115,AA115,AB115,AC115,AD115,AE115,AF115,AG115,AH115,AI115,AJ115)</f>
      </c>
      <c r="AL115" s="9">
        <f>I115-AK115</f>
      </c>
      <c r="AM115" s="9">
        <f>AL115-AN115-AO115-AP115-AQ115</f>
      </c>
      <c r="AN115" s="9"/>
      <c r="AO115" s="9"/>
      <c r="AP115" s="9"/>
      <c r="AQ115" s="9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9"/>
      <c r="BC115" s="9"/>
      <c r="BD115" t="inlineStr" s="8">
        <is>
          <t>3102485854</t>
        </is>
      </c>
      <c r="BE115" t="inlineStr" s="8">
        <is>
          <t>bryanstiven2008@hotmail.com</t>
        </is>
      </c>
      <c r="BF115" s="8"/>
      <c r="BG115" s="8"/>
    </row>
    <row r="116" ht="12.75" customHeight="1">
      <c r="A116" t="inlineStr" s="8">
        <is>
          <t>002010384058</t>
        </is>
      </c>
      <c r="B116" s="8"/>
      <c r="C116" t="inlineStr" s="8">
        <is>
          <t>1408</t>
        </is>
      </c>
      <c r="D116" s="9">
        <v>40.70</v>
      </c>
      <c r="E116" t="inlineStr" s="8">
        <is>
          <t>1094970806</t>
        </is>
      </c>
      <c r="F116" t="inlineStr" s="8">
        <is>
          <t>OCAMPO CORREAL LAURA DANIELA</t>
        </is>
      </c>
      <c r="G116" s="8"/>
      <c r="H116" s="8"/>
      <c r="I116" s="9">
        <v>173000000.00</v>
      </c>
      <c r="J116" s="8"/>
      <c r="K116" t="inlineStr" s="8">
        <is>
          <t>NCR269 - NCR285 - NCR360 - NCR429 - NCR511 - NCR595 - NCR676 - RC315 - RC412</t>
        </is>
      </c>
      <c r="L116" t="inlineStr" s="8">
        <is>
          <t>ENE.6/26F - ENE.20/26F - FEB.20/26F - MAR.16/26F - ABR.21/26F - MAY.19/26F - JUN.18/26F - JUL.14/26F - AGO.27/26F</t>
        </is>
      </c>
      <c r="M116" s="9"/>
      <c r="N116" s="9"/>
      <c r="O116" s="8"/>
      <c r="P116" s="8"/>
      <c r="Q116" s="10"/>
      <c r="R116" s="10"/>
      <c r="S116" s="10"/>
      <c r="T116" s="10"/>
      <c r="U116" s="10"/>
      <c r="V116" s="10"/>
      <c r="W116" s="10"/>
      <c r="X116" s="10">
        <f>8000000+670000</f>
      </c>
      <c r="Y116" s="10">
        <v>670000</v>
      </c>
      <c r="Z116" s="10">
        <v>670000</v>
      </c>
      <c r="AA116" s="10">
        <v>670000</v>
      </c>
      <c r="AB116" s="10">
        <v>670000</v>
      </c>
      <c r="AC116" s="10">
        <v>670000</v>
      </c>
      <c r="AD116" s="10">
        <v>670000</v>
      </c>
      <c r="AE116" s="10">
        <v>670000</v>
      </c>
      <c r="AF116" s="10"/>
      <c r="AG116" s="9"/>
      <c r="AH116" s="9"/>
      <c r="AI116" s="9"/>
      <c r="AJ116" s="9"/>
      <c r="AK116" s="9">
        <f>SUM(M116,N116,Q116,R116,S116,T116,U116,V116,W116,X116,Y116,Z116,AA116,AB116,AC116,AD116,AE116,AF116,AG116,AH116,AI116,AJ116)</f>
      </c>
      <c r="AL116" s="9">
        <f>I116-AK116</f>
      </c>
      <c r="AM116" s="9">
        <f>AL116-AN116-AO116-AP116-AQ116</f>
      </c>
      <c r="AN116" s="9"/>
      <c r="AO116" s="9"/>
      <c r="AP116" s="9"/>
      <c r="AQ116" s="9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9"/>
      <c r="BC116" s="9"/>
      <c r="BD116" t="inlineStr" s="8">
        <is>
          <t>3001332540</t>
        </is>
      </c>
      <c r="BE116" t="inlineStr" s="8">
        <is>
          <t>lauracorrealoc@gmail.com</t>
        </is>
      </c>
      <c r="BF116" s="8"/>
      <c r="BG116" s="8"/>
    </row>
    <row r="117" ht="12.75" customHeight="1">
      <c r="A117" t="inlineStr" s="8">
        <is>
          <t>002010384067</t>
        </is>
      </c>
      <c r="B117" s="8"/>
      <c r="C117" t="inlineStr" s="8">
        <is>
          <t>1501</t>
        </is>
      </c>
      <c r="D117" s="9">
        <v>40.70</v>
      </c>
      <c r="E117" t="inlineStr" s="8">
        <is>
          <t>1094909979</t>
        </is>
      </c>
      <c r="F117" t="inlineStr" s="8">
        <is>
          <t>OSSA GARCIA HECTOR FERNANDO</t>
        </is>
      </c>
      <c r="G117" s="8"/>
      <c r="H117" s="8"/>
      <c r="I117" s="9">
        <v>173000000.00</v>
      </c>
      <c r="J117" s="8"/>
      <c r="K117" t="inlineStr" s="8">
        <is>
          <t>NCR448 - NCR570 - NCR660 - RC123</t>
        </is>
      </c>
      <c r="L117" t="inlineStr" s="8">
        <is>
          <t>MAR.25/26F - MAY.5/26F - JUN.5/26F - AGO.4/26F</t>
        </is>
      </c>
      <c r="M117" s="9"/>
      <c r="N117" s="9"/>
      <c r="O117" s="8"/>
      <c r="P117" s="8"/>
      <c r="Q117" s="10"/>
      <c r="R117" s="10"/>
      <c r="S117" s="10"/>
      <c r="T117" s="10"/>
      <c r="U117" s="10"/>
      <c r="V117" s="10"/>
      <c r="W117" s="10"/>
      <c r="X117" s="10"/>
      <c r="Y117" s="10"/>
      <c r="Z117" s="10">
        <v>1000000</v>
      </c>
      <c r="AA117" s="10"/>
      <c r="AB117" s="10">
        <v>1100000</v>
      </c>
      <c r="AC117" s="10">
        <v>1100000</v>
      </c>
      <c r="AD117" s="10"/>
      <c r="AE117" s="10">
        <v>1100000</v>
      </c>
      <c r="AF117" s="10"/>
      <c r="AG117" s="9"/>
      <c r="AH117" s="9"/>
      <c r="AI117" s="9"/>
      <c r="AJ117" s="9"/>
      <c r="AK117" s="9">
        <f>SUM(M117,N117,Q117,R117,S117,T117,U117,V117,W117,X117,Y117,Z117,AA117,AB117,AC117,AD117,AE117,AF117,AG117,AH117,AI117,AJ117)</f>
      </c>
      <c r="AL117" s="9">
        <f>I117-AK117</f>
      </c>
      <c r="AM117" s="9">
        <f>AL117-AN117-AO117-AP117-AQ117</f>
      </c>
      <c r="AN117" s="9"/>
      <c r="AO117" s="9"/>
      <c r="AP117" s="9"/>
      <c r="AQ117" s="9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9"/>
      <c r="BC117" s="9"/>
      <c r="BD117" t="inlineStr" s="8">
        <is>
          <t>34614390322</t>
        </is>
      </c>
      <c r="BE117" t="inlineStr" s="8">
        <is>
          <t>fernandoossagarcia@gmail.com</t>
        </is>
      </c>
      <c r="BF117" s="8"/>
      <c r="BG117" s="8"/>
    </row>
    <row r="118" ht="12.75" customHeight="1">
      <c r="A118" s="8"/>
      <c r="B118" s="8"/>
      <c r="C118" t="inlineStr" s="8">
        <is>
          <t>1502</t>
        </is>
      </c>
      <c r="D118" s="9">
        <v>40.70</v>
      </c>
      <c r="E118" s="8"/>
      <c r="F118" s="8"/>
      <c r="G118" s="8"/>
      <c r="H118" s="8"/>
      <c r="I118" s="9">
        <v>173000000.00</v>
      </c>
      <c r="J118" s="8"/>
      <c r="K118" s="8"/>
      <c r="L118" s="8"/>
      <c r="M118" s="9"/>
      <c r="N118" s="9"/>
      <c r="O118" s="8"/>
      <c r="P118" s="8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9"/>
      <c r="BC118" s="9"/>
      <c r="BD118" s="8"/>
      <c r="BE118" s="8"/>
      <c r="BF118" s="8"/>
      <c r="BG118" s="8"/>
    </row>
    <row r="119" ht="12.75" customHeight="1">
      <c r="A119" t="inlineStr" s="8">
        <is>
          <t>002010384085</t>
        </is>
      </c>
      <c r="B119" s="8"/>
      <c r="C119" t="inlineStr" s="8">
        <is>
          <t>1503</t>
        </is>
      </c>
      <c r="D119" s="9">
        <v>40.70</v>
      </c>
      <c r="E119" t="inlineStr" s="8">
        <is>
          <t>1097730883</t>
        </is>
      </c>
      <c r="F119" t="inlineStr" s="8">
        <is>
          <t>ROMAN MEJIA NATALIA</t>
        </is>
      </c>
      <c r="G119" s="8"/>
      <c r="H119" s="8"/>
      <c r="I119" s="9">
        <v>173000000.00</v>
      </c>
      <c r="J119" s="8"/>
      <c r="K119" t="inlineStr" s="8">
        <is>
          <t>NCR227 - NCR280 - NCR357 - NCR430 - NCR432 - NCR507 - NCR594 - NCR678 - RC405 - RC309</t>
        </is>
      </c>
      <c r="L119" t="inlineStr" s="8">
        <is>
          <t>DIC.19/25F - ENE.16/26F - FEB.18/26F - MAR.16/26F - MAR.17/26F - ABR.17/26F - MAY.19/26F - JUN.19/26F - JUL.21/26F - AGO.19/26F</t>
        </is>
      </c>
      <c r="M119" s="9"/>
      <c r="N119" s="9"/>
      <c r="O119" s="8"/>
      <c r="P119" s="8"/>
      <c r="Q119" s="10"/>
      <c r="R119" s="10"/>
      <c r="S119" s="10"/>
      <c r="T119" s="10"/>
      <c r="U119" s="10"/>
      <c r="V119" s="10"/>
      <c r="W119" s="10">
        <v>1000000</v>
      </c>
      <c r="X119" s="10">
        <v>7572900</v>
      </c>
      <c r="Y119" s="10">
        <v>667000</v>
      </c>
      <c r="Z119" s="10">
        <f>30000+640000</f>
      </c>
      <c r="AA119" s="10">
        <v>667000</v>
      </c>
      <c r="AB119" s="10">
        <v>667000</v>
      </c>
      <c r="AC119" s="10">
        <v>667000</v>
      </c>
      <c r="AD119" s="10">
        <v>667000</v>
      </c>
      <c r="AE119" s="10">
        <v>667000</v>
      </c>
      <c r="AF119" s="10"/>
      <c r="AG119" s="9"/>
      <c r="AH119" s="9"/>
      <c r="AI119" s="9"/>
      <c r="AJ119" s="9"/>
      <c r="AK119" s="9">
        <f>SUM(M119,N119,Q119,R119,S119,T119,U119,V119,W119,X119,Y119,Z119,AA119,AB119,AC119,AD119,AE119,AF119,AG119,AH119,AI119,AJ119)</f>
      </c>
      <c r="AL119" s="9">
        <f>I119-AK119</f>
      </c>
      <c r="AM119" s="9">
        <f>AL119-AN119-AO119-AP119-AQ119</f>
      </c>
      <c r="AN119" s="9"/>
      <c r="AO119" s="9"/>
      <c r="AP119" s="9"/>
      <c r="AQ119" s="9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9"/>
      <c r="BC119" s="9"/>
      <c r="BD119" t="inlineStr" s="8">
        <is>
          <t>3217585010</t>
        </is>
      </c>
      <c r="BE119" t="inlineStr" s="8">
        <is>
          <t>nataliaromanmejia@gmail.com</t>
        </is>
      </c>
      <c r="BF119" s="8"/>
      <c r="BG119" s="8"/>
    </row>
    <row r="120" ht="12.75" customHeight="1">
      <c r="A120" t="inlineStr" s="8">
        <is>
          <t>002010384094</t>
        </is>
      </c>
      <c r="B120" s="8"/>
      <c r="C120" t="inlineStr" s="8">
        <is>
          <t>1504</t>
        </is>
      </c>
      <c r="D120" s="9">
        <v>40.70</v>
      </c>
      <c r="E120" t="inlineStr" s="8">
        <is>
          <t>1097731126</t>
        </is>
      </c>
      <c r="F120" t="inlineStr" s="8">
        <is>
          <t>BUILES VANEGAS JUAN MANUEL</t>
        </is>
      </c>
      <c r="G120" s="8"/>
      <c r="H120" s="8"/>
      <c r="I120" s="9">
        <v>173000000.00</v>
      </c>
      <c r="J120" s="8"/>
      <c r="K120" t="inlineStr" s="8">
        <is>
          <t>NCR39 - NCR67 - NCR97 - NCR157 - NCR189 - NCR244 - NCR306 - NCR368 - NCR458 - NCR562 - NCR639 - RC312 - RC506 - RC369</t>
        </is>
      </c>
      <c r="L120" t="inlineStr" s="8">
        <is>
          <t>JUL.31/25F - SEP.1/25F - SEP.29/25F - NOV.4/25F - DIC.1/25F - DIC.30/25F - ENE.30/26F - FEB.25/26F - MAR.30/26F - MAY.4/26F - JUN.1/26F - JUL.14/26F - JUL.28/26F - AGO.25/26F</t>
        </is>
      </c>
      <c r="M120" s="9"/>
      <c r="N120" s="9"/>
      <c r="O120" s="8"/>
      <c r="P120" s="8"/>
      <c r="Q120" s="10"/>
      <c r="R120" s="10">
        <v>1000000</v>
      </c>
      <c r="S120" s="10"/>
      <c r="T120" s="10">
        <f>925000+930000</f>
      </c>
      <c r="U120" s="10"/>
      <c r="V120" s="10">
        <v>950000</v>
      </c>
      <c r="W120" s="10">
        <f>950000+950000</f>
      </c>
      <c r="X120" s="10">
        <v>950000</v>
      </c>
      <c r="Y120" s="10">
        <v>950000</v>
      </c>
      <c r="Z120" s="10">
        <v>950000</v>
      </c>
      <c r="AA120" s="10"/>
      <c r="AB120" s="10">
        <v>950000</v>
      </c>
      <c r="AC120" s="10">
        <v>1000000</v>
      </c>
      <c r="AD120" s="10">
        <f>1000000+950000</f>
      </c>
      <c r="AE120" s="10">
        <v>1000000</v>
      </c>
      <c r="AF120" s="10"/>
      <c r="AG120" s="9"/>
      <c r="AH120" s="9"/>
      <c r="AI120" s="9"/>
      <c r="AJ120" s="9"/>
      <c r="AK120" s="9">
        <f>SUM(M120,N120,Q120,R120,S120,T120,U120,V120,W120,X120,Y120,Z120,AA120,AB120,AC120,AD120,AE120,AF120,AG120,AH120,AI120,AJ120)</f>
      </c>
      <c r="AL120" s="9">
        <f>I120-AK120</f>
      </c>
      <c r="AM120" s="9">
        <f>AL120-AN120-AO120-AP120-AQ120</f>
      </c>
      <c r="AN120" s="9"/>
      <c r="AO120" s="9"/>
      <c r="AP120" s="9"/>
      <c r="AQ120" s="9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9"/>
      <c r="BC120" s="9"/>
      <c r="BD120" t="inlineStr" s="8">
        <is>
          <t>16316551737</t>
        </is>
      </c>
      <c r="BE120" t="inlineStr" s="8">
        <is>
          <t>juanbuilesv@gmail.com</t>
        </is>
      </c>
      <c r="BF120" s="8"/>
      <c r="BG120" s="8"/>
    </row>
    <row r="121" ht="12.75" customHeight="1">
      <c r="A121" t="inlineStr" s="8">
        <is>
          <t>002010802203</t>
        </is>
      </c>
      <c r="B121" s="8"/>
      <c r="C121" t="inlineStr" s="8">
        <is>
          <t>1505</t>
        </is>
      </c>
      <c r="D121" s="9">
        <v>40.70</v>
      </c>
      <c r="E121" t="inlineStr" s="8">
        <is>
          <t>1011085660</t>
        </is>
      </c>
      <c r="F121" t="inlineStr" s="8">
        <is>
          <t>SIZA CANTOR JUANA VALENTINA</t>
        </is>
      </c>
      <c r="G121" s="8"/>
      <c r="H121" s="8"/>
      <c r="I121" s="9">
        <v>173000000.00</v>
      </c>
      <c r="J121" t="inlineStr" s="8">
        <is>
          <t>NC26448CESION</t>
        </is>
      </c>
      <c r="K121" t="inlineStr" s="8">
        <is>
          <t>NCR513 - NCR537 - NCR628 - NCR690 - RC558</t>
        </is>
      </c>
      <c r="L121" t="inlineStr" s="8">
        <is>
          <t>(ABR.14/26CESION) - ABR.22/26F - ABR.30/26F - JUN.1/26F - JUN.30/26F - AGO.31/26F</t>
        </is>
      </c>
      <c r="M121" s="9"/>
      <c r="N121" s="9">
        <v>5625000</v>
      </c>
      <c r="O121" s="8"/>
      <c r="P121" s="8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>
        <f>5749907+1000000</f>
      </c>
      <c r="AB121" s="10"/>
      <c r="AC121" s="10">
        <f>1000000+1000000</f>
      </c>
      <c r="AD121" s="10"/>
      <c r="AE121" s="10">
        <v>1000000</v>
      </c>
      <c r="AF121" s="10"/>
      <c r="AG121" s="9"/>
      <c r="AH121" s="9"/>
      <c r="AI121" s="9"/>
      <c r="AJ121" s="9"/>
      <c r="AK121" s="9">
        <f>SUM(M121,N121,Q121,R121,S121,T121,U121,V121,W121,X121,Y121,Z121,AA121,AB121,AC121,AD121,AE121,AF121,AG121,AH121,AI121,AJ121)</f>
      </c>
      <c r="AL121" s="9">
        <f>I121-AK121</f>
      </c>
      <c r="AM121" s="9">
        <f>AL121-AN121-AO121-AP121-AQ121</f>
      </c>
      <c r="AN121" s="9"/>
      <c r="AO121" s="9"/>
      <c r="AP121" s="9"/>
      <c r="AQ121" s="9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9"/>
      <c r="BC121" s="9"/>
      <c r="BD121" t="inlineStr" s="8">
        <is>
          <t>3183560632</t>
        </is>
      </c>
      <c r="BE121" t="inlineStr" s="8">
        <is>
          <t>j7182482@gmail.com</t>
        </is>
      </c>
      <c r="BF121" s="8"/>
      <c r="BG121" s="8"/>
    </row>
    <row r="122" ht="12.75" customHeight="1">
      <c r="A122" t="inlineStr" s="8">
        <is>
          <t>002010384110</t>
        </is>
      </c>
      <c r="B122" s="8"/>
      <c r="C122" t="inlineStr" s="8">
        <is>
          <t>1506</t>
        </is>
      </c>
      <c r="D122" s="9">
        <v>40.70</v>
      </c>
      <c r="E122" t="inlineStr" s="8">
        <is>
          <t>80413390</t>
        </is>
      </c>
      <c r="F122" t="inlineStr" s="8">
        <is>
          <t>OSPINA GONZALEZ JAIME</t>
        </is>
      </c>
      <c r="G122" s="8"/>
      <c r="H122" s="8"/>
      <c r="I122" s="9">
        <v>173000000.00</v>
      </c>
      <c r="J122" s="8"/>
      <c r="K122" t="inlineStr" s="8">
        <is>
          <t>NCR50 - NCR51 - NCR86 - NCR123 - NCR160 - NCR217 - NCR248 - NCR330 - NCR405 - NCR485 - NCR573 - NCR667 - RC193 - RC121 - RC084</t>
        </is>
      </c>
      <c r="L122" t="inlineStr" s="8">
        <is>
          <t>AGO.15/25F - AGO.15/25F - SEP.15/25F - OCT.14/25F - NOV.4/25F - DIC.9/25F - ENE.2/26F - FEB.5/26F - MAR.4/26F - ABR.6/26F - MAY.5/26F - JUN.10/26F - JUL.2/26F - AGO.4/26F - SEP.2/26F</t>
        </is>
      </c>
      <c r="M122" s="9"/>
      <c r="N122" s="9"/>
      <c r="O122" s="8"/>
      <c r="P122" s="8"/>
      <c r="Q122" s="10"/>
      <c r="R122" s="10"/>
      <c r="S122" s="10">
        <f>1000000+954839</f>
      </c>
      <c r="T122" s="10">
        <v>954839</v>
      </c>
      <c r="U122" s="10">
        <v>954839</v>
      </c>
      <c r="V122" s="10">
        <v>954839</v>
      </c>
      <c r="W122" s="10">
        <v>954839</v>
      </c>
      <c r="X122" s="10">
        <v>954839</v>
      </c>
      <c r="Y122" s="10">
        <v>954839</v>
      </c>
      <c r="Z122" s="10">
        <v>954839</v>
      </c>
      <c r="AA122" s="10">
        <v>954839</v>
      </c>
      <c r="AB122" s="10">
        <v>954839</v>
      </c>
      <c r="AC122" s="10">
        <v>954839</v>
      </c>
      <c r="AD122" s="10">
        <v>954839</v>
      </c>
      <c r="AE122" s="10">
        <v>954839</v>
      </c>
      <c r="AF122" s="10">
        <v>954839</v>
      </c>
      <c r="AG122" s="9"/>
      <c r="AH122" s="9"/>
      <c r="AI122" s="9"/>
      <c r="AJ122" s="9"/>
      <c r="AK122" s="9">
        <f>SUM(M122,N122,Q122,R122,S122,T122,U122,V122,W122,X122,Y122,Z122,AA122,AB122,AC122,AD122,AE122,AF122,AG122,AH122,AI122,AJ122)</f>
      </c>
      <c r="AL122" s="9">
        <f>I122-AK122</f>
      </c>
      <c r="AM122" s="9">
        <f>AL122-AN122-AO122-AP122-AQ122</f>
      </c>
      <c r="AN122" s="9"/>
      <c r="AO122" s="9"/>
      <c r="AP122" s="9"/>
      <c r="AQ122" s="9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9"/>
      <c r="BC122" s="9"/>
      <c r="BD122" t="inlineStr" s="8">
        <is>
          <t>34652416007</t>
        </is>
      </c>
      <c r="BE122" t="inlineStr" s="8">
        <is>
          <t>jimmyospinagonzalez@gmail.com</t>
        </is>
      </c>
      <c r="BF122" s="8"/>
      <c r="BG122" s="8"/>
    </row>
    <row r="123" ht="12.75" customHeight="1">
      <c r="A123" s="8"/>
      <c r="B123" s="8"/>
      <c r="C123" t="inlineStr" s="8">
        <is>
          <t>1507</t>
        </is>
      </c>
      <c r="D123" s="9">
        <v>40.70</v>
      </c>
      <c r="E123" s="8"/>
      <c r="F123" s="8"/>
      <c r="G123" s="8"/>
      <c r="H123" s="8"/>
      <c r="I123" s="9">
        <v>173000000.00</v>
      </c>
      <c r="J123" s="8"/>
      <c r="K123" s="8"/>
      <c r="L123" s="8"/>
      <c r="M123" s="9"/>
      <c r="N123" s="9"/>
      <c r="O123" s="8"/>
      <c r="P123" s="8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9"/>
      <c r="BC123" s="9"/>
      <c r="BD123" s="8"/>
      <c r="BE123" s="8"/>
      <c r="BF123" s="8"/>
      <c r="BG123" s="8"/>
    </row>
    <row r="124" ht="12.75" customHeight="1">
      <c r="A124" t="inlineStr" s="8">
        <is>
          <t>002010384138</t>
        </is>
      </c>
      <c r="B124" s="8"/>
      <c r="C124" t="inlineStr" s="8">
        <is>
          <t>1508</t>
        </is>
      </c>
      <c r="D124" s="9">
        <v>40.70</v>
      </c>
      <c r="E124" t="inlineStr" s="8">
        <is>
          <t>1094939846</t>
        </is>
      </c>
      <c r="F124" t="inlineStr" s="8">
        <is>
          <t>GARCIA LEON LEIDY SOLMAR</t>
        </is>
      </c>
      <c r="G124" s="8"/>
      <c r="H124" s="8"/>
      <c r="I124" s="9">
        <v>173000000.00</v>
      </c>
      <c r="J124" s="8"/>
      <c r="K124" t="inlineStr" s="8">
        <is>
          <t>NCR56 - NCR79 - NCR105 - NCR144 - NCR199 - NCR240 - NCR300 - NCR376 - NCR452 - NCR521 - NCR664 - RC178 - RC212</t>
        </is>
      </c>
      <c r="L124" t="inlineStr" s="8">
        <is>
          <t>AGO.25/25F - SEP.5/25F - SEP.30/25F - OCT.29/25F - DIC.1/25F - DIC.29/25F - ENE.28/26F - FEB.27/26F - MAR.27/26F - ABR.28/26F - JUN.5/26F - JUL.6/26F - AGO.11/26F</t>
        </is>
      </c>
      <c r="M124" s="9"/>
      <c r="N124" s="9"/>
      <c r="O124" s="8"/>
      <c r="P124" s="8"/>
      <c r="Q124" s="10"/>
      <c r="R124" s="10"/>
      <c r="S124" s="10">
        <v>2000000</v>
      </c>
      <c r="T124" s="10">
        <f>1500000+1500000</f>
      </c>
      <c r="U124" s="10">
        <v>1500000</v>
      </c>
      <c r="V124" s="10"/>
      <c r="W124" s="10">
        <f>1500000+1500000</f>
      </c>
      <c r="X124" s="10">
        <v>1500000</v>
      </c>
      <c r="Y124" s="10">
        <v>1500000</v>
      </c>
      <c r="Z124" s="10">
        <v>1500000</v>
      </c>
      <c r="AA124" s="10">
        <v>1500000</v>
      </c>
      <c r="AB124" s="10"/>
      <c r="AC124" s="10">
        <v>1500000</v>
      </c>
      <c r="AD124" s="10">
        <v>1500000</v>
      </c>
      <c r="AE124" s="10">
        <v>1500000</v>
      </c>
      <c r="AF124" s="10"/>
      <c r="AG124" s="9"/>
      <c r="AH124" s="9"/>
      <c r="AI124" s="9"/>
      <c r="AJ124" s="9"/>
      <c r="AK124" s="9">
        <f>SUM(M124,N124,Q124,R124,S124,T124,U124,V124,W124,X124,Y124,Z124,AA124,AB124,AC124,AD124,AE124,AF124,AG124,AH124,AI124,AJ124)</f>
      </c>
      <c r="AL124" s="9">
        <f>I124-AK124</f>
      </c>
      <c r="AM124" s="9">
        <f>AL124-AN124-AO124-AP124-AQ124</f>
      </c>
      <c r="AN124" s="9"/>
      <c r="AO124" s="9"/>
      <c r="AP124" s="9"/>
      <c r="AQ124" s="9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9"/>
      <c r="BC124" s="9"/>
      <c r="BD124" t="inlineStr" s="8">
        <is>
          <t>3188152385</t>
        </is>
      </c>
      <c r="BE124" t="inlineStr" s="8">
        <is>
          <t>kpinsol94@gmail.com</t>
        </is>
      </c>
      <c r="BF124" s="8"/>
      <c r="BG124" s="8"/>
    </row>
    <row r="125" ht="13.15" customHeight="1">
      <c r="A125" s="8"/>
      <c r="B125" s="8"/>
      <c r="C125" s="8"/>
      <c r="D125" s="9">
        <f>SUM(D5:D124)</f>
      </c>
      <c r="E125" s="8"/>
      <c r="F125" t="inlineStr" s="8">
        <is>
          <t>TOTAL VENTAS</t>
        </is>
      </c>
      <c r="G125" s="8"/>
      <c r="H125" s="8"/>
      <c r="I125" s="9">
        <f>SUM(I5:I124)</f>
      </c>
      <c r="J125" s="8"/>
      <c r="K125" s="8"/>
      <c r="L125" s="8"/>
      <c r="M125" s="9"/>
      <c r="N125" s="9">
        <f>SUM(N5:N124)</f>
      </c>
      <c r="O125" s="8"/>
      <c r="P125" s="8"/>
      <c r="Q125" s="10">
        <f>SUM(Q5:Q124)</f>
      </c>
      <c r="R125" s="10">
        <f>SUM(R5:R124)</f>
      </c>
      <c r="S125" s="10">
        <f>SUM(S5:S124)</f>
      </c>
      <c r="T125" s="10">
        <f>SUM(T5:T124)</f>
      </c>
      <c r="U125" s="10">
        <f>SUM(U5:U124)</f>
      </c>
      <c r="V125" s="10">
        <f>SUM(V5:V124)</f>
      </c>
      <c r="W125" s="10">
        <f>SUM(W5:W124)</f>
      </c>
      <c r="X125" s="10">
        <f>SUM(X5:X124)</f>
      </c>
      <c r="Y125" s="10">
        <f>SUM(Y5:Y124)</f>
      </c>
      <c r="Z125" s="10">
        <f>SUM(Z5:Z124)</f>
      </c>
      <c r="AA125" s="10">
        <f>SUM(AA5:AA124)</f>
      </c>
      <c r="AB125" s="10">
        <f>SUM(AB5:AB124)</f>
      </c>
      <c r="AC125" s="10">
        <f>SUM(AC5:AC124)</f>
      </c>
      <c r="AD125" s="10">
        <f>SUM(AD5:AD124)</f>
      </c>
      <c r="AE125" s="10">
        <f>SUM(AE5:AE124)</f>
      </c>
      <c r="AF125" s="10">
        <f>SUM(AF5:AF124)</f>
      </c>
      <c r="AG125" s="9">
        <f>SUM(AG5:AG124)</f>
      </c>
      <c r="AH125" s="9">
        <f>SUM(AH5:AH124)</f>
      </c>
      <c r="AI125" s="9">
        <f>SUM(AI5:AI124)</f>
      </c>
      <c r="AJ125" s="9">
        <f>SUM(AJ5:AJ124)</f>
      </c>
      <c r="AK125" s="9">
        <f>SUM(AK5:AK124)</f>
      </c>
      <c r="AL125" s="9">
        <f>SUM(AL5:AL124)</f>
      </c>
      <c r="AM125" s="9">
        <f>SUM(AM5:AM124)</f>
      </c>
      <c r="AN125" s="9">
        <f>SUM(AN5:AN124)</f>
      </c>
      <c r="AO125" s="9">
        <f>SUM(AO5:AO124)</f>
      </c>
      <c r="AP125" s="9">
        <f>SUM(AP5:AP124)</f>
      </c>
      <c r="AQ125" s="9">
        <f>SUM(AQ5:AQ124)</f>
      </c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9">
        <f>SUM(BB5:BB124)</f>
      </c>
      <c r="BC125" s="9">
        <f>SUM(BC5:BC124)</f>
      </c>
      <c r="BD125" s="8"/>
      <c r="BE125" s="8"/>
      <c r="BF125" s="8"/>
      <c r="BG125" s="8"/>
    </row>
    <row r="126" ht="13.15" customHeight="1">
      <c r="A126" s="8"/>
      <c r="B126" s="8"/>
      <c r="C126" s="8"/>
      <c r="D126" s="9"/>
      <c r="E126" s="8"/>
      <c r="F126" t="inlineStr" s="8">
        <is>
          <t>POR VENDER</t>
        </is>
      </c>
      <c r="G126" s="8"/>
      <c r="H126" s="8"/>
      <c r="I126" s="9"/>
      <c r="J126" s="8"/>
      <c r="K126" s="8"/>
      <c r="L126" s="8"/>
      <c r="M126" s="9"/>
      <c r="N126" s="9"/>
      <c r="O126" s="8"/>
      <c r="P126" s="8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9"/>
      <c r="BC126" s="9"/>
      <c r="BD126" s="8"/>
      <c r="BE126" s="8"/>
      <c r="BF126" s="8"/>
      <c r="BG126" s="8"/>
    </row>
    <row r="127" ht="13.15" customHeight="1">
      <c r="A127" s="8"/>
      <c r="B127" s="8"/>
      <c r="C127" s="8"/>
      <c r="D127" s="9">
        <f>SUM(D5:D124)</f>
      </c>
      <c r="E127" s="8"/>
      <c r="F127" t="inlineStr" s="8">
        <is>
          <t>TOTAL</t>
        </is>
      </c>
      <c r="G127" s="8"/>
      <c r="H127" s="8"/>
      <c r="I127" s="9">
        <f>SUM(I5:I124)</f>
      </c>
      <c r="J127" s="8"/>
      <c r="K127" s="8"/>
      <c r="L127" s="8"/>
      <c r="M127" s="9"/>
      <c r="N127" s="9">
        <f>SUM(N5:N124)</f>
      </c>
      <c r="O127" s="8"/>
      <c r="P127" s="8"/>
      <c r="Q127" s="10">
        <f>SUM(Q5:Q124)</f>
      </c>
      <c r="R127" s="10">
        <f>SUM(R5:R124)</f>
      </c>
      <c r="S127" s="10">
        <f>SUM(S5:S124)</f>
      </c>
      <c r="T127" s="10">
        <f>SUM(T5:T124)</f>
      </c>
      <c r="U127" s="10">
        <f>SUM(U5:U124)</f>
      </c>
      <c r="V127" s="10">
        <f>SUM(V5:V124)</f>
      </c>
      <c r="W127" s="10">
        <f>SUM(W5:W124)</f>
      </c>
      <c r="X127" s="10">
        <f>SUM(X5:X124)</f>
      </c>
      <c r="Y127" s="10">
        <f>SUM(Y5:Y124)</f>
      </c>
      <c r="Z127" s="10">
        <f>SUM(Z5:Z124)</f>
      </c>
      <c r="AA127" s="10">
        <f>SUM(AA5:AA124)</f>
      </c>
      <c r="AB127" s="10">
        <f>SUM(AB5:AB124)</f>
      </c>
      <c r="AC127" s="10">
        <f>SUM(AC5:AC124)</f>
      </c>
      <c r="AD127" s="10">
        <f>SUM(AD5:AD124)</f>
      </c>
      <c r="AE127" s="10">
        <f>SUM(AE5:AE124)</f>
      </c>
      <c r="AF127" s="10">
        <f>SUM(AF5:AF124)</f>
      </c>
      <c r="AG127" s="9">
        <f>SUM(AG5:AG124)</f>
      </c>
      <c r="AH127" s="9">
        <f>SUM(AH5:AH124)</f>
      </c>
      <c r="AI127" s="9">
        <f>SUM(AI5:AI124)</f>
      </c>
      <c r="AJ127" s="9"/>
      <c r="AK127" s="9">
        <f>SUM(AK5:AK124)</f>
      </c>
      <c r="AL127" s="9">
        <f>SUM(AL5:AL124)</f>
      </c>
      <c r="AM127" s="9">
        <f>SUM(AM5:AM124)</f>
      </c>
      <c r="AN127" s="9">
        <f>SUM(AN5:AN124)</f>
      </c>
      <c r="AO127" s="9">
        <f>SUM(AO5:AO124)</f>
      </c>
      <c r="AP127" s="9">
        <f>SUM(AP5:AP124)</f>
      </c>
      <c r="AQ127" s="9">
        <f>SUM(AQ5:AQ124)</f>
      </c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9">
        <f>SUM(BB5:BB124)</f>
      </c>
      <c r="BC127" s="9">
        <f>SUM(BC5:BC124)</f>
      </c>
      <c r="BD127" s="8"/>
      <c r="BE127" s="8"/>
      <c r="BF127" s="8"/>
      <c r="BG127" s="8"/>
    </row>
    <row r="128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</row>
    <row r="129" ht="15.0" customHeight="1">
      <c r="A129" t="inlineStr" s="1">
        <is>
          <t>NOVEDADES / OBSERVACIONES</t>
        </is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ht="13.7" customHeight="1">
      <c r="A130" t="inlineStr" s="8">
        <is>
          <t>002010383923</t>
        </is>
      </c>
      <c r="B130" s="8"/>
      <c r="C130" t="inlineStr" s="8">
        <is>
          <t>1303</t>
        </is>
      </c>
      <c r="D130" s="9">
        <v>40.70</v>
      </c>
      <c r="E130" t="inlineStr" s="8">
        <is>
          <t>1094933203</t>
        </is>
      </c>
      <c r="F130" t="inlineStr" s="8">
        <is>
          <t>BEDOYA DEVIA DIEGO ALEJANDRO</t>
        </is>
      </c>
      <c r="G130" t="inlineStr" s="8">
        <is>
          <t>TERMINACIONES MAR/2026</t>
        </is>
      </c>
      <c r="H130" s="8"/>
      <c r="I130" s="9">
        <v>173000000.00</v>
      </c>
      <c r="J130" s="8"/>
      <c r="K130" s="8"/>
      <c r="L130" t="inlineStr" s="8">
        <is>
          <t>03/2026</t>
        </is>
      </c>
      <c r="M130" s="9"/>
      <c r="N130" s="9"/>
      <c r="O130" s="8"/>
      <c r="P130" s="8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9"/>
      <c r="AH130" s="9"/>
      <c r="AI130" s="9"/>
      <c r="AJ130" s="9"/>
      <c r="AK130" s="9">
        <f>SUM(M130,N130,Q130,R130,S130,T130,U130,V130,W130,X130,Y130,Z130,AA130,AB130,AC130,AD130,AE130,AF130,AG130,AH130,AI130,AJ130)</f>
      </c>
      <c r="AL130" s="9">
        <f>I130-AK130</f>
      </c>
      <c r="AM130" s="9">
        <f>AL130-AN130-AO130-AP130-AQ130</f>
      </c>
      <c r="AN130" s="9"/>
      <c r="AO130" s="9"/>
      <c r="AP130" s="9"/>
      <c r="AQ130" s="9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9"/>
      <c r="BC130" s="9"/>
      <c r="BD130" t="inlineStr" s="8">
        <is>
          <t>3002691297</t>
        </is>
      </c>
      <c r="BE130" t="inlineStr" s="8">
        <is>
          <t>diegobedoya1993@gmail.com</t>
        </is>
      </c>
      <c r="BF130" s="8"/>
      <c r="BG130" t="inlineStr" s="8">
        <is>
          <t>NC26416 MAR.11/26 TERMINAC M/AC DIEGO BEGOYA *DEVOL $5'8 SIN ARRAS</t>
        </is>
      </c>
    </row>
    <row r="131" ht="13.7" customHeight="1">
      <c r="A131" t="inlineStr" s="8">
        <is>
          <t>002010383861</t>
        </is>
      </c>
      <c r="B131" s="8"/>
      <c r="C131" t="inlineStr" s="8">
        <is>
          <t>1205</t>
        </is>
      </c>
      <c r="D131" s="9">
        <v>40.70</v>
      </c>
      <c r="E131" t="inlineStr" s="8">
        <is>
          <t>1098310999</t>
        </is>
      </c>
      <c r="F131" t="inlineStr" s="8">
        <is>
          <t>FORERO MARTINEZ ERIKA JHOANNA</t>
        </is>
      </c>
      <c r="G131" t="inlineStr" s="8">
        <is>
          <t>TERMINACIONES ABR/2026</t>
        </is>
      </c>
      <c r="H131" s="8"/>
      <c r="I131" s="9">
        <v>173000000.00</v>
      </c>
      <c r="J131" s="8"/>
      <c r="K131" s="8"/>
      <c r="L131" t="inlineStr" s="8">
        <is>
          <t>04/2026</t>
        </is>
      </c>
      <c r="M131" s="9"/>
      <c r="N131" s="9"/>
      <c r="O131" s="8"/>
      <c r="P131" s="8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9"/>
      <c r="AH131" s="9"/>
      <c r="AI131" s="9"/>
      <c r="AJ131" s="9"/>
      <c r="AK131" s="9">
        <f>SUM(M131,N131,Q131,R131,S131,T131,U131,V131,W131,X131,Y131,Z131,AA131,AB131,AC131,AD131,AE131,AF131,AG131,AH131,AI131,AJ131)</f>
      </c>
      <c r="AL131" s="9">
        <f>I131-AK131</f>
      </c>
      <c r="AM131" s="9">
        <f>AL131-AN131-AO131-AP131-AQ131</f>
      </c>
      <c r="AN131" s="9"/>
      <c r="AO131" s="9"/>
      <c r="AP131" s="9"/>
      <c r="AQ131" s="9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9"/>
      <c r="BC131" s="9"/>
      <c r="BD131" t="inlineStr" s="8">
        <is>
          <t>3206309171</t>
        </is>
      </c>
      <c r="BE131" t="inlineStr" s="8">
        <is>
          <t>erikaforerom17@gmail.com</t>
        </is>
      </c>
      <c r="BF131" s="8"/>
      <c r="BG131" t="inlineStr" s="8">
        <is>
          <t>NC26430 ABR.1/26 TERMINAC M/AC ERIKA FORERO *DEVOL $2'5 SIN ARRAS</t>
        </is>
      </c>
    </row>
    <row r="132" ht="13.7" customHeight="1">
      <c r="A132" t="inlineStr" s="8">
        <is>
          <t>002010383932</t>
        </is>
      </c>
      <c r="B132" s="8"/>
      <c r="C132" t="inlineStr" s="8">
        <is>
          <t>1304</t>
        </is>
      </c>
      <c r="D132" s="9">
        <v>40.70</v>
      </c>
      <c r="E132" t="inlineStr" s="8">
        <is>
          <t>1094957219</t>
        </is>
      </c>
      <c r="F132" t="inlineStr" s="8">
        <is>
          <t>DIAZ MARIN DANIELA</t>
        </is>
      </c>
      <c r="G132" t="inlineStr" s="8">
        <is>
          <t>TERMINACIONES ABR/2026</t>
        </is>
      </c>
      <c r="H132" s="8"/>
      <c r="I132" s="9">
        <v>173000000.00</v>
      </c>
      <c r="J132" s="8"/>
      <c r="K132" s="8"/>
      <c r="L132" t="inlineStr" s="8">
        <is>
          <t>04/2026</t>
        </is>
      </c>
      <c r="M132" s="9"/>
      <c r="N132" s="9"/>
      <c r="O132" s="8"/>
      <c r="P132" s="8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9"/>
      <c r="AH132" s="9"/>
      <c r="AI132" s="9"/>
      <c r="AJ132" s="9"/>
      <c r="AK132" s="9">
        <f>SUM(M132,N132,Q132,R132,S132,T132,U132,V132,W132,X132,Y132,Z132,AA132,AB132,AC132,AD132,AE132,AF132,AG132,AH132,AI132,AJ132)</f>
      </c>
      <c r="AL132" s="9">
        <f>I132-AK132</f>
      </c>
      <c r="AM132" s="9">
        <f>AL132-AN132-AO132-AP132-AQ132</f>
      </c>
      <c r="AN132" s="9"/>
      <c r="AO132" s="9"/>
      <c r="AP132" s="9"/>
      <c r="AQ132" s="9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9"/>
      <c r="BC132" s="9"/>
      <c r="BD132" t="inlineStr" s="8">
        <is>
          <t>3002057111</t>
        </is>
      </c>
      <c r="BE132" t="inlineStr" s="8">
        <is>
          <t>danidiaz96@hotmail.com</t>
        </is>
      </c>
      <c r="BF132" s="8"/>
      <c r="BG132" t="inlineStr" s="8">
        <is>
          <t>NC26431 ABR.1/26 TERMINAC M/AC DANIELA DIAZ *DEVOL $1' SIN ARRAS</t>
        </is>
      </c>
    </row>
    <row r="133" ht="13.7" customHeight="1">
      <c r="A133" t="inlineStr" s="8">
        <is>
          <t>002010383308</t>
        </is>
      </c>
      <c r="B133" s="8"/>
      <c r="C133" t="inlineStr" s="8">
        <is>
          <t>505</t>
        </is>
      </c>
      <c r="D133" s="9">
        <v>40.70</v>
      </c>
      <c r="E133" t="inlineStr" s="8">
        <is>
          <t>1094920749</t>
        </is>
      </c>
      <c r="F133" t="inlineStr" s="8">
        <is>
          <t>JARAMILLO MEJIA NATALIA MARIA</t>
        </is>
      </c>
      <c r="G133" t="inlineStr" s="8">
        <is>
          <t>TERMINACIONES ABR/2026</t>
        </is>
      </c>
      <c r="H133" s="8"/>
      <c r="I133" s="9">
        <v>173000000.00</v>
      </c>
      <c r="J133" s="8"/>
      <c r="K133" s="8"/>
      <c r="L133" t="inlineStr" s="8">
        <is>
          <t>04/2026</t>
        </is>
      </c>
      <c r="M133" s="9"/>
      <c r="N133" s="9"/>
      <c r="O133" s="8"/>
      <c r="P133" s="8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9"/>
      <c r="AH133" s="9"/>
      <c r="AI133" s="9"/>
      <c r="AJ133" s="9"/>
      <c r="AK133" s="9">
        <f>SUM(M133,N133,Q133,R133,S133,T133,U133,V133,W133,X133,Y133,Z133,AA133,AB133,AC133,AD133,AE133,AF133,AG133,AH133,AI133,AJ133)</f>
      </c>
      <c r="AL133" s="9">
        <f>I133-AK133</f>
      </c>
      <c r="AM133" s="9">
        <f>AL133-AN133-AO133-AP133-AQ133</f>
      </c>
      <c r="AN133" s="9"/>
      <c r="AO133" s="9"/>
      <c r="AP133" s="9"/>
      <c r="AQ133" s="9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9"/>
      <c r="BC133" s="9"/>
      <c r="BD133" t="inlineStr" s="8">
        <is>
          <t>3136918044</t>
        </is>
      </c>
      <c r="BE133" t="inlineStr" s="8">
        <is>
          <t>natamajari@hotmail.com</t>
        </is>
      </c>
      <c r="BF133" s="8"/>
      <c r="BG133" t="inlineStr" s="8">
        <is>
          <t>NC26432 ABR.7/26 TERMINAC M/AC NATALIA JARAMILLO *DEVOL $1'8 SIN ARRAS</t>
        </is>
      </c>
    </row>
    <row r="134" ht="13.7" customHeight="1">
      <c r="A134" t="inlineStr" s="8">
        <is>
          <t>002010383530</t>
        </is>
      </c>
      <c r="B134" s="8"/>
      <c r="C134" t="inlineStr" s="8">
        <is>
          <t>804</t>
        </is>
      </c>
      <c r="D134" s="9">
        <v>40.70</v>
      </c>
      <c r="E134" t="inlineStr" s="8">
        <is>
          <t>1094960339</t>
        </is>
      </c>
      <c r="F134" t="inlineStr" s="8">
        <is>
          <t>CARDONA JARAMILLO CAMILA</t>
        </is>
      </c>
      <c r="G134" t="inlineStr" s="8">
        <is>
          <t>TERMINACIONES ABR/2026</t>
        </is>
      </c>
      <c r="H134" s="8"/>
      <c r="I134" s="9">
        <v>173000000.00</v>
      </c>
      <c r="J134" s="8"/>
      <c r="K134" s="8"/>
      <c r="L134" t="inlineStr" s="8">
        <is>
          <t>04/2026</t>
        </is>
      </c>
      <c r="M134" s="9"/>
      <c r="N134" s="9"/>
      <c r="O134" s="8"/>
      <c r="P134" s="8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9"/>
      <c r="AH134" s="9"/>
      <c r="AI134" s="9"/>
      <c r="AJ134" s="9"/>
      <c r="AK134" s="9">
        <f>SUM(M134,N134,Q134,R134,S134,T134,U134,V134,W134,X134,Y134,Z134,AA134,AB134,AC134,AD134,AE134,AF134,AG134,AH134,AI134,AJ134)</f>
      </c>
      <c r="AL134" s="9">
        <f>I134-AK134</f>
      </c>
      <c r="AM134" s="9">
        <f>AL134-AN134-AO134-AP134-AQ134</f>
      </c>
      <c r="AN134" s="9"/>
      <c r="AO134" s="9"/>
      <c r="AP134" s="9"/>
      <c r="AQ134" s="9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9"/>
      <c r="BC134" s="9"/>
      <c r="BD134" t="inlineStr" s="8">
        <is>
          <t>3216297173</t>
        </is>
      </c>
      <c r="BE134" t="inlineStr" s="8">
        <is>
          <t>camicardoa97@hotmail.com</t>
        </is>
      </c>
      <c r="BF134" s="8"/>
      <c r="BG134" t="inlineStr" s="8">
        <is>
          <t>NC26433 ABR.13/26 TERMINAC M/AC CAMILA CARDONA *DEVOL $12'687 SIN ARRAS</t>
        </is>
      </c>
    </row>
    <row r="135" ht="13.7" customHeight="1">
      <c r="A135" t="inlineStr" s="8">
        <is>
          <t>002010383656</t>
        </is>
      </c>
      <c r="B135" s="8"/>
      <c r="C135" t="inlineStr" s="8">
        <is>
          <t>908</t>
        </is>
      </c>
      <c r="D135" s="9">
        <v>40.70</v>
      </c>
      <c r="E135" t="inlineStr" s="8">
        <is>
          <t>7546909</t>
        </is>
      </c>
      <c r="F135" t="inlineStr" s="8">
        <is>
          <t>GIRALDO SANCHEZ JORGE HERNAN</t>
        </is>
      </c>
      <c r="G135" t="inlineStr" s="8">
        <is>
          <t>TERMINACIONES ABR/2026</t>
        </is>
      </c>
      <c r="H135" s="8"/>
      <c r="I135" s="9">
        <v>173000000.00</v>
      </c>
      <c r="J135" s="8"/>
      <c r="K135" s="8"/>
      <c r="L135" t="inlineStr" s="8">
        <is>
          <t>04/2026</t>
        </is>
      </c>
      <c r="M135" s="9"/>
      <c r="N135" s="9"/>
      <c r="O135" s="8"/>
      <c r="P135" s="8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9"/>
      <c r="AH135" s="9"/>
      <c r="AI135" s="9"/>
      <c r="AJ135" s="9"/>
      <c r="AK135" s="9">
        <f>SUM(M135,N135,Q135,R135,S135,T135,U135,V135,W135,X135,Y135,Z135,AA135,AB135,AC135,AD135,AE135,AF135,AG135,AH135,AI135,AJ135)</f>
      </c>
      <c r="AL135" s="9">
        <f>I135-AK135</f>
      </c>
      <c r="AM135" s="9">
        <f>AL135-AN135-AO135-AP135-AQ135</f>
      </c>
      <c r="AN135" s="9"/>
      <c r="AO135" s="9"/>
      <c r="AP135" s="9"/>
      <c r="AQ135" s="9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9"/>
      <c r="BC135" s="9"/>
      <c r="BD135" t="inlineStr" s="8">
        <is>
          <t>3212000189</t>
        </is>
      </c>
      <c r="BE135" t="inlineStr" s="8">
        <is>
          <t>jorgegiraldo1505@gmail.com</t>
        </is>
      </c>
      <c r="BF135" s="8"/>
      <c r="BG135" t="inlineStr" s="8">
        <is>
          <t>NC26440 ABR.13/26 TERMINAC M/AC JORGE GIRALDO *ARRAS $2'</t>
        </is>
      </c>
    </row>
    <row r="136" ht="13.7" customHeight="1">
      <c r="A136" t="inlineStr" s="8">
        <is>
          <t>002010384101</t>
        </is>
      </c>
      <c r="B136" s="8"/>
      <c r="C136" t="inlineStr" s="8">
        <is>
          <t>1505</t>
        </is>
      </c>
      <c r="D136" s="9">
        <v>40.70</v>
      </c>
      <c r="E136" t="inlineStr" s="8">
        <is>
          <t>80902071</t>
        </is>
      </c>
      <c r="F136" t="inlineStr" s="8">
        <is>
          <t>SIZA SABOGAL JOHNY ALEXANDER</t>
        </is>
      </c>
      <c r="G136" t="inlineStr" s="8">
        <is>
          <t>TERMINACIONES ABR/2026</t>
        </is>
      </c>
      <c r="H136" s="8"/>
      <c r="I136" s="9">
        <v>173000000.00</v>
      </c>
      <c r="J136" s="8"/>
      <c r="K136" s="8"/>
      <c r="L136" t="inlineStr" s="8">
        <is>
          <t>04/2026</t>
        </is>
      </c>
      <c r="M136" s="9"/>
      <c r="N136" s="9"/>
      <c r="O136" s="8"/>
      <c r="P136" s="8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9"/>
      <c r="AH136" s="9"/>
      <c r="AI136" s="9"/>
      <c r="AJ136" s="9"/>
      <c r="AK136" s="9">
        <f>SUM(M136,N136,Q136,R136,S136,T136,U136,V136,W136,X136,Y136,Z136,AA136,AB136,AC136,AD136,AE136,AF136,AG136,AH136,AI136,AJ136)</f>
      </c>
      <c r="AL136" s="9">
        <f>I136-AK136</f>
      </c>
      <c r="AM136" s="9">
        <f>AL136-AN136-AO136-AP136-AQ136</f>
      </c>
      <c r="AN136" s="9"/>
      <c r="AO136" s="9"/>
      <c r="AP136" s="9"/>
      <c r="AQ136" s="9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9"/>
      <c r="BC136" s="9"/>
      <c r="BD136" t="inlineStr" s="8">
        <is>
          <t>3183553110</t>
        </is>
      </c>
      <c r="BE136" t="inlineStr" s="8">
        <is>
          <t>johnysabogal1@gmail.com</t>
        </is>
      </c>
      <c r="BF136" s="8"/>
      <c r="BG136" t="inlineStr" s="8">
        <is>
          <t>NC26448 ABR.14/26 TERMINAC M/AC JOHNY SIZA *ANTIC $5'625 TRASL A JUANA SIZA *SIN ARRAS</t>
        </is>
      </c>
    </row>
    <row r="137" ht="13.7" customHeight="1">
      <c r="A137" t="inlineStr" s="8">
        <is>
          <t>002010382942</t>
        </is>
      </c>
      <c r="B137" s="8"/>
      <c r="C137" t="inlineStr" s="8">
        <is>
          <t>101</t>
        </is>
      </c>
      <c r="D137" s="9">
        <v>40.70</v>
      </c>
      <c r="E137" t="inlineStr" s="8">
        <is>
          <t>41945794</t>
        </is>
      </c>
      <c r="F137" t="inlineStr" s="8">
        <is>
          <t>LOPEZ ALBORNOZ MARIA ELENA</t>
        </is>
      </c>
      <c r="G137" t="inlineStr" s="8">
        <is>
          <t>TERMINACIONES ABR/2026</t>
        </is>
      </c>
      <c r="H137" s="8"/>
      <c r="I137" s="9">
        <v>173000000.00</v>
      </c>
      <c r="J137" s="8"/>
      <c r="K137" s="8"/>
      <c r="L137" t="inlineStr" s="8">
        <is>
          <t>04/2026</t>
        </is>
      </c>
      <c r="M137" s="9"/>
      <c r="N137" s="9"/>
      <c r="O137" s="8"/>
      <c r="P137" s="8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9"/>
      <c r="AH137" s="9"/>
      <c r="AI137" s="9"/>
      <c r="AJ137" s="9"/>
      <c r="AK137" s="9">
        <f>SUM(M137,N137,Q137,R137,S137,T137,U137,V137,W137,X137,Y137,Z137,AA137,AB137,AC137,AD137,AE137,AF137,AG137,AH137,AI137,AJ137)</f>
      </c>
      <c r="AL137" s="9">
        <f>I137-AK137</f>
      </c>
      <c r="AM137" s="9">
        <f>AL137-AN137-AO137-AP137-AQ137</f>
      </c>
      <c r="AN137" s="9"/>
      <c r="AO137" s="9"/>
      <c r="AP137" s="9"/>
      <c r="AQ137" s="9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9"/>
      <c r="BC137" s="9"/>
      <c r="BD137" t="inlineStr" s="8">
        <is>
          <t>3132665157</t>
        </is>
      </c>
      <c r="BE137" t="inlineStr" s="8">
        <is>
          <t>mariaelopezalbornoz@gmail.com</t>
        </is>
      </c>
      <c r="BF137" s="8"/>
      <c r="BG137" t="inlineStr" s="8">
        <is>
          <t>NC26449 ABR.8/26 TRASL AP1504MTCT2 MARIA ELENA LOPEZ *ANTIC $2'5</t>
        </is>
      </c>
    </row>
    <row r="138" ht="13.7" customHeight="1">
      <c r="A138" t="inlineStr" s="8">
        <is>
          <t>002010383683</t>
        </is>
      </c>
      <c r="B138" s="8"/>
      <c r="C138" t="inlineStr" s="8">
        <is>
          <t>1003</t>
        </is>
      </c>
      <c r="D138" s="9">
        <v>40.70</v>
      </c>
      <c r="E138" t="inlineStr" s="8">
        <is>
          <t>1094960967</t>
        </is>
      </c>
      <c r="F138" t="inlineStr" s="8">
        <is>
          <t>LOAIZA MARIN NATHALIA</t>
        </is>
      </c>
      <c r="G138" t="inlineStr" s="8">
        <is>
          <t>TERMINACION</t>
        </is>
      </c>
      <c r="H138" s="8"/>
      <c r="I138" s="9">
        <v>173000000.00</v>
      </c>
      <c r="J138" s="8"/>
      <c r="K138" s="8"/>
      <c r="L138" s="8"/>
      <c r="M138" s="9"/>
      <c r="N138" s="9"/>
      <c r="O138" s="8"/>
      <c r="P138" s="8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9"/>
      <c r="AH138" s="9"/>
      <c r="AI138" s="9"/>
      <c r="AJ138" s="9"/>
      <c r="AK138" s="9">
        <f>SUM(M138,N138,Q138,R138,S138,T138,U138,V138,W138,X138,Y138,Z138,AA138,AB138,AC138,AD138,AE138,AF138,AG138,AH138,AI138,AJ138)</f>
      </c>
      <c r="AL138" s="9">
        <f>I138-AK138</f>
      </c>
      <c r="AM138" s="9">
        <f>AL138-AN138-AO138-AP138-AQ138</f>
      </c>
      <c r="AN138" s="9"/>
      <c r="AO138" s="9"/>
      <c r="AP138" s="9"/>
      <c r="AQ138" s="9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9"/>
      <c r="BC138" s="9"/>
      <c r="BD138" t="inlineStr" s="8">
        <is>
          <t>3017998891</t>
        </is>
      </c>
      <c r="BE138" t="inlineStr" s="8">
        <is>
          <t>nataliaarjona765@gmail.com</t>
        </is>
      </c>
      <c r="BF138" s="8"/>
      <c r="BG138" t="inlineStr" s="8">
        <is>
          <t>NC26309 NOV.5/26 TERMINAC NATHALIA LOAIZA *DEVOL $750 SIN ARRAS</t>
        </is>
      </c>
    </row>
    <row r="139" ht="13.7" customHeight="1">
      <c r="A139" t="inlineStr" s="8">
        <is>
          <t>002010383004</t>
        </is>
      </c>
      <c r="B139" s="8"/>
      <c r="C139" t="inlineStr" s="8">
        <is>
          <t>107</t>
        </is>
      </c>
      <c r="D139" s="9">
        <v>40.70</v>
      </c>
      <c r="E139" t="inlineStr" s="8">
        <is>
          <t>1005089632</t>
        </is>
      </c>
      <c r="F139" t="inlineStr" s="8">
        <is>
          <t>GONZALEZ CHAVARRO ERIKA TATIANA</t>
        </is>
      </c>
      <c r="G139" t="inlineStr" s="8">
        <is>
          <t>TERMIN/MUTUO AC SIN $$ ENE/2026</t>
        </is>
      </c>
      <c r="H139" s="8"/>
      <c r="I139" s="9">
        <v>173000000.00</v>
      </c>
      <c r="J139" s="8"/>
      <c r="K139" s="8"/>
      <c r="L139" s="8"/>
      <c r="M139" s="9"/>
      <c r="N139" s="9"/>
      <c r="O139" s="8"/>
      <c r="P139" s="8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9"/>
      <c r="AH139" s="9"/>
      <c r="AI139" s="9"/>
      <c r="AJ139" s="9"/>
      <c r="AK139" s="9">
        <f>SUM(M139,N139,Q139,R139,S139,T139,U139,V139,W139,X139,Y139,Z139,AA139,AB139,AC139,AD139,AE139,AF139,AG139,AH139,AI139,AJ139)</f>
      </c>
      <c r="AL139" s="9">
        <f>I139-AK139</f>
      </c>
      <c r="AM139" s="9">
        <f>AL139-AN139-AO139-AP139-AQ139</f>
      </c>
      <c r="AN139" s="9"/>
      <c r="AO139" s="9"/>
      <c r="AP139" s="9"/>
      <c r="AQ139" s="9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9"/>
      <c r="BC139" s="9"/>
      <c r="BD139" s="8"/>
      <c r="BE139" s="8"/>
      <c r="BF139" s="8"/>
      <c r="BG139" s="8"/>
    </row>
    <row r="140" ht="13.7" customHeight="1">
      <c r="A140" t="inlineStr" s="8">
        <is>
          <t>002010383442</t>
        </is>
      </c>
      <c r="B140" s="8"/>
      <c r="C140" t="inlineStr" s="8">
        <is>
          <t>703</t>
        </is>
      </c>
      <c r="D140" s="9">
        <v>40.70</v>
      </c>
      <c r="E140" t="inlineStr" s="8">
        <is>
          <t>1193130656</t>
        </is>
      </c>
      <c r="F140" t="inlineStr" s="8">
        <is>
          <t>PIEDRAHITA GUTIERREZ JUAN JOSE</t>
        </is>
      </c>
      <c r="G140" t="inlineStr" s="8">
        <is>
          <t>TERMIN/MUTUO AC SIN $$ ENE/2026</t>
        </is>
      </c>
      <c r="H140" s="8"/>
      <c r="I140" s="9">
        <v>173000000.00</v>
      </c>
      <c r="J140" s="8"/>
      <c r="K140" s="8"/>
      <c r="L140" s="8"/>
      <c r="M140" s="9"/>
      <c r="N140" s="9"/>
      <c r="O140" s="8"/>
      <c r="P140" s="8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9"/>
      <c r="AH140" s="9"/>
      <c r="AI140" s="9"/>
      <c r="AJ140" s="9"/>
      <c r="AK140" s="9">
        <f>SUM(M140,N140,Q140,R140,S140,T140,U140,V140,W140,X140,Y140,Z140,AA140,AB140,AC140,AD140,AE140,AF140,AG140,AH140,AI140,AJ140)</f>
      </c>
      <c r="AL140" s="9">
        <f>I140-AK140</f>
      </c>
      <c r="AM140" s="9">
        <f>AL140-AN140-AO140-AP140-AQ140</f>
      </c>
      <c r="AN140" s="9"/>
      <c r="AO140" s="9"/>
      <c r="AP140" s="9"/>
      <c r="AQ140" s="9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9"/>
      <c r="BC140" s="9"/>
      <c r="BD140" s="8"/>
      <c r="BE140" s="8"/>
      <c r="BF140" s="8"/>
      <c r="BG140" s="8"/>
    </row>
    <row r="141" ht="13.7" customHeight="1">
      <c r="A141" t="inlineStr" s="8">
        <is>
          <t>002010383549</t>
        </is>
      </c>
      <c r="B141" s="8"/>
      <c r="C141" t="inlineStr" s="8">
        <is>
          <t>805</t>
        </is>
      </c>
      <c r="D141" s="9">
        <v>40.70</v>
      </c>
      <c r="E141" t="inlineStr" s="8">
        <is>
          <t>41959846</t>
        </is>
      </c>
      <c r="F141" t="inlineStr" s="8">
        <is>
          <t>GUTIERREZ OROZCO NATHALIE</t>
        </is>
      </c>
      <c r="G141" t="inlineStr" s="8">
        <is>
          <t>TERMINACION</t>
        </is>
      </c>
      <c r="H141" s="8"/>
      <c r="I141" s="9">
        <v>173000000.00</v>
      </c>
      <c r="J141" s="8"/>
      <c r="K141" s="8"/>
      <c r="L141" s="8"/>
      <c r="M141" s="9"/>
      <c r="N141" s="9"/>
      <c r="O141" s="8"/>
      <c r="P141" s="8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9"/>
      <c r="AH141" s="9"/>
      <c r="AI141" s="9"/>
      <c r="AJ141" s="9"/>
      <c r="AK141" s="9">
        <f>SUM(M141,N141,Q141,R141,S141,T141,U141,V141,W141,X141,Y141,Z141,AA141,AB141,AC141,AD141,AE141,AF141,AG141,AH141,AI141,AJ141)</f>
      </c>
      <c r="AL141" s="9">
        <f>I141-AK141</f>
      </c>
      <c r="AM141" s="9">
        <f>AL141-AN141-AO141-AP141-AQ141</f>
      </c>
      <c r="AN141" s="9"/>
      <c r="AO141" s="9"/>
      <c r="AP141" s="9"/>
      <c r="AQ141" s="9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9"/>
      <c r="BC141" s="9"/>
      <c r="BD141" t="inlineStr" s="8">
        <is>
          <t>3113014281</t>
        </is>
      </c>
      <c r="BE141" t="inlineStr" s="8">
        <is>
          <t>natha2322@hotmail.com</t>
        </is>
      </c>
      <c r="BF141" s="8"/>
      <c r="BG141" t="inlineStr" s="8">
        <is>
          <t>NC26398 FEB.16/26 TERMIN NATHALIE GUTIERREZ *ARRAS 100% $1'5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.42578125" customWidth="1"/>
    <col min="2" max="2" width="17.85546875" customWidth="1"/>
    <col min="3" max="3" width="13.0" customWidth="1"/>
    <col min="4" max="4" width="8.28515625" customWidth="1"/>
    <col min="5" max="5" width="10.28515625" customWidth="1"/>
    <col min="6" max="6" width="31.0" customWidth="1"/>
    <col min="7" max="7" width="16.42578125" customWidth="1"/>
    <col min="8" max="8" width="31.0" customWidth="1"/>
    <col min="9" max="9" width="23.85546875" customWidth="1"/>
    <col min="10" max="10" width="19.42578125" customWidth="1"/>
    <col min="11" max="11" width="16.0" customWidth="1"/>
    <col min="12" max="12" width="15.0" customWidth="1"/>
    <col min="13" max="13" width="11.42578125" customWidth="1"/>
    <col min="14" max="14" width="13.0" customWidth="1"/>
    <col min="15" max="15" width="13.0" customWidth="1"/>
    <col min="16" max="16" width="14.140625" customWidth="1"/>
    <col min="17" max="17" width="13.0" customWidth="1"/>
    <col min="18" max="18" width="13.0" customWidth="1"/>
    <col min="19" max="19" width="13.0" customWidth="1"/>
    <col min="20" max="20" width="13.0" customWidth="1"/>
    <col min="21" max="21" width="13.0" customWidth="1"/>
    <col min="22" max="22" width="13.0" customWidth="1"/>
    <col min="23" max="23" width="13.0" customWidth="1"/>
    <col min="24" max="24" width="12.42578125" customWidth="1"/>
    <col min="25" max="25" width="15.5703125" customWidth="1"/>
    <col min="26" max="26" width="15.28515625" customWidth="1"/>
    <col min="27" max="27" width="14.140625" customWidth="1"/>
    <col min="28" max="28" width="15.28515625" customWidth="1"/>
    <col min="29" max="29" width="11.5703125" customWidth="1"/>
    <col min="30" max="30" width="13.0" customWidth="1"/>
    <col min="31" max="31" width="13.0" customWidth="1"/>
    <col min="32" max="32" width="13.0" customWidth="1"/>
    <col min="33" max="33" width="13.0" customWidth="1"/>
    <col min="34" max="34" width="13.0" customWidth="1"/>
    <col min="35" max="35" width="13.0" customWidth="1"/>
    <col min="36" max="36" width="13.0" customWidth="1"/>
    <col min="37" max="37" width="13.0" customWidth="1"/>
    <col min="38" max="38" width="13.0" customWidth="1"/>
    <col min="39" max="39" width="8.140625" customWidth="1"/>
    <col min="40" max="40" width="11.42578125" customWidth="1"/>
    <col min="41" max="41" width="11.42578125" customWidth="1"/>
    <col min="42" max="42" width="11.42578125" customWidth="1"/>
    <col min="43" max="43" width="11.42578125" customWidth="1"/>
    <col min="44" max="44" width="11.42578125" customWidth="1"/>
    <col min="45" max="45" width="11.42578125" customWidth="1"/>
    <col min="46" max="46" width="11.42578125" customWidth="1"/>
    <col min="47" max="47" width="13.0" customWidth="1"/>
    <col min="48" max="48" width="20.0" customWidth="1"/>
    <col min="49" max="49" width="24.0" customWidth="1"/>
    <col min="50" max="50" width="105.140625" customWidth="1"/>
  </cols>
  <sheetData>
    <row r="1">
      <c r="A1" t="inlineStr" s="1">
        <is>
          <t>CONJUNTO CERRADO Monte Cielo T2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</row>
    <row r="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</row>
    <row r="4" ht="56.25" customHeight="1">
      <c r="A4" t="inlineStr" s="2">
        <is>
          <t>ENCARGO FIDUCIARIO</t>
        </is>
      </c>
      <c r="B4" t="inlineStr" s="2">
        <is>
          <t>NUEVOS ENCARGO FIDUCIARIO</t>
        </is>
      </c>
      <c r="C4" t="inlineStr" s="2">
        <is>
          <t>APTO </t>
        </is>
      </c>
      <c r="D4" t="inlineStr" s="2">
        <is>
          <t>AREA</t>
        </is>
      </c>
      <c r="E4" t="inlineStr" s="2">
        <is>
          <t>CEDULA CLIENTE</t>
        </is>
      </c>
      <c r="F4" t="inlineStr" s="2">
        <is>
          <t>NOMBRE CLIENTE</t>
        </is>
      </c>
      <c r="G4" t="inlineStr" s="2">
        <is>
          <t>NOMBRE CLIENTE2</t>
        </is>
      </c>
      <c r="H4" t="inlineStr" s="2">
        <is>
          <t>ENTIDAD FINANCIERA</t>
        </is>
      </c>
      <c r="I4" t="inlineStr" s="2">
        <is>
          <t>VALOR INMUEBLE</t>
        </is>
      </c>
      <c r="J4" t="inlineStr" s="2">
        <is>
          <t>RECIBOS</t>
        </is>
      </c>
      <c r="K4" t="inlineStr" s="2">
        <is>
          <t>RECIBOS FIDUBOGOTA</t>
        </is>
      </c>
      <c r="L4" t="inlineStr" s="2">
        <is>
          <t>FECHA</t>
        </is>
      </c>
      <c r="M4" t="inlineStr" s="2">
        <is>
          <t>RECIBIDO</t>
        </is>
      </c>
      <c r="N4" t="inlineStr" s="2">
        <is>
          <t>CESIONES/TRASLADOS</t>
        </is>
      </c>
      <c r="O4" t="inlineStr" s="4">
        <is>
          <t>FECHA PAGO CREDITO</t>
        </is>
      </c>
      <c r="P4" t="inlineStr" s="4">
        <is>
          <t>FECHA PAGO SUBSIDIO</t>
        </is>
      </c>
      <c r="Q4" t="inlineStr" s="5">
        <is>
          <t>RECIBO FIDUCIA MAR/2026</t>
        </is>
      </c>
      <c r="R4" t="inlineStr" s="5">
        <is>
          <t>RECIBO FIDUCIA ABR/2026</t>
        </is>
      </c>
      <c r="S4" t="inlineStr" s="5">
        <is>
          <t>RECIBO FIDUCIA MAY/2026</t>
        </is>
      </c>
      <c r="T4" t="inlineStr" s="5">
        <is>
          <t>RECIBO FIDUCIA JUN/2026</t>
        </is>
      </c>
      <c r="U4" t="inlineStr" s="5">
        <is>
          <t>RECIBO FIDUCIA JUL/2026</t>
        </is>
      </c>
      <c r="V4" t="inlineStr" s="5">
        <is>
          <t>RECIBO FIDUCIA AGO/2026</t>
        </is>
      </c>
      <c r="W4" t="inlineStr" s="5">
        <is>
          <t>RECIBO FIDUCIA SEP/2026</t>
        </is>
      </c>
      <c r="X4" t="inlineStr" s="4">
        <is>
          <t>ABONOS CR CONSTRUCTOR</t>
        </is>
      </c>
      <c r="Y4" t="inlineStr" s="4">
        <is>
          <t>DESEMBOLSO SUBSIDIO CAJAS DE COMPENSACION</t>
        </is>
      </c>
      <c r="Z4" t="inlineStr" s="4">
        <is>
          <t>DESEMBOLSO SUBSIDIOS GOBIERNO</t>
        </is>
      </c>
      <c r="AA4" t="inlineStr" s="2">
        <is>
          <t>AJUSTE</t>
        </is>
      </c>
      <c r="AB4" t="inlineStr" s="2">
        <is>
          <t>TOTAL RECIBIDO</t>
        </is>
      </c>
      <c r="AC4" t="inlineStr" s="2">
        <is>
          <t>SALDO POR COBRAR</t>
        </is>
      </c>
      <c r="AD4" t="inlineStr" s="2">
        <is>
          <t>RECURSOS PROPIOS</t>
        </is>
      </c>
      <c r="AE4" t="inlineStr" s="2">
        <is>
          <t>CREDITO BANCARIO</t>
        </is>
      </c>
      <c r="AF4" t="inlineStr" s="2">
        <is>
          <t>CAJA HONOR</t>
        </is>
      </c>
      <c r="AG4" t="inlineStr" s="6">
        <is>
          <t>SUBSIDIOS MCY</t>
        </is>
      </c>
      <c r="AH4" t="inlineStr" s="6">
        <is>
          <t>SUBSIDIOS CAJA COMP</t>
        </is>
      </c>
      <c r="AI4" t="inlineStr" s="6">
        <is>
          <t>ENTIDAD</t>
        </is>
      </c>
      <c r="AJ4" t="inlineStr" s="2">
        <is>
          <t>FECHA CONTRATO DE ADHESION</t>
        </is>
      </c>
      <c r="AK4" t="inlineStr" s="2">
        <is>
          <t>FECHA DE PROMESA</t>
        </is>
      </c>
      <c r="AL4" t="inlineStr" s="7">
        <is>
          <t>ENTREGA REAL</t>
        </is>
      </c>
      <c r="AM4" t="inlineStr" s="6">
        <is>
          <t>MATRIC</t>
        </is>
      </c>
      <c r="AN4" t="inlineStr" s="6">
        <is>
          <t>FECHA ESC</t>
        </is>
      </c>
      <c r="AO4" t="inlineStr" s="6">
        <is>
          <t>ESC</t>
        </is>
      </c>
      <c r="AP4" t="inlineStr" s="6">
        <is>
          <t>NOT</t>
        </is>
      </c>
      <c r="AQ4" t="inlineStr" s="6">
        <is>
          <t>FECHA C/TRADIC</t>
        </is>
      </c>
      <c r="AR4" t="inlineStr" s="6">
        <is>
          <t>FE</t>
        </is>
      </c>
      <c r="AS4" t="inlineStr" s="2">
        <is>
          <t>INTERESES</t>
        </is>
      </c>
      <c r="AT4" t="inlineStr" s="2">
        <is>
          <t>VALOR</t>
        </is>
      </c>
      <c r="AU4" t="inlineStr" s="2">
        <is>
          <t>TELEFONO</t>
        </is>
      </c>
      <c r="AV4" t="inlineStr" s="2">
        <is>
          <t>E-MAIL</t>
        </is>
      </c>
      <c r="AW4" t="inlineStr" s="2">
        <is>
          <t>CONTACTO</t>
        </is>
      </c>
      <c r="AX4" t="inlineStr" s="2">
        <is>
          <t>OBSERVACIONES</t>
        </is>
      </c>
    </row>
    <row r="5" ht="12.75" customHeight="1">
      <c r="A5" t="inlineStr" s="8">
        <is>
          <t>002010978899</t>
        </is>
      </c>
      <c r="B5" s="8"/>
      <c r="C5" t="inlineStr" s="8">
        <is>
          <t>101</t>
        </is>
      </c>
      <c r="D5" s="9">
        <v>41.03</v>
      </c>
      <c r="E5" t="inlineStr" s="8">
        <is>
          <t>1094938314</t>
        </is>
      </c>
      <c r="F5" t="inlineStr" s="8">
        <is>
          <t>RINCON CARDONA LUZ ADRIANA</t>
        </is>
      </c>
      <c r="G5" s="8"/>
      <c r="H5" s="8"/>
      <c r="I5" s="9">
        <v>173000000.00</v>
      </c>
      <c r="J5" s="8"/>
      <c r="K5" t="inlineStr" s="8">
        <is>
          <t>NCR113 - NCR152 - RC670 - RC356</t>
        </is>
      </c>
      <c r="L5" t="inlineStr" s="8">
        <is>
          <t>JUN.16/26F - JUN.30/26F - JUL.31/26F - AGO.24/26F</t>
        </is>
      </c>
      <c r="M5" s="9"/>
      <c r="N5" s="9"/>
      <c r="O5" s="8"/>
      <c r="P5" s="8"/>
      <c r="Q5" s="10"/>
      <c r="R5" s="10"/>
      <c r="S5" s="10"/>
      <c r="T5" s="10">
        <f>1000000+1755000</f>
      </c>
      <c r="U5" s="10">
        <v>1755000</v>
      </c>
      <c r="V5" s="10">
        <v>1755000</v>
      </c>
      <c r="W5" s="10"/>
      <c r="X5" s="9"/>
      <c r="Y5" s="9"/>
      <c r="Z5" s="9"/>
      <c r="AA5" s="9"/>
      <c r="AB5" s="9">
        <f>SUM(M5,N5,Q5,R5,S5,T5,U5,V5,W5,X5,Y5,Z5,AA5)</f>
      </c>
      <c r="AC5" s="9">
        <f>I5-AB5</f>
      </c>
      <c r="AD5" s="9">
        <f>AC5-AE5-AF5-AG5-AH5</f>
      </c>
      <c r="AE5" s="9"/>
      <c r="AF5" s="9"/>
      <c r="AG5" s="9"/>
      <c r="AH5" s="9"/>
      <c r="AI5" s="8"/>
      <c r="AJ5" s="8"/>
      <c r="AK5" s="8"/>
      <c r="AL5" s="8"/>
      <c r="AM5" s="8"/>
      <c r="AN5" s="8"/>
      <c r="AO5" s="8"/>
      <c r="AP5" s="8"/>
      <c r="AQ5" s="8"/>
      <c r="AR5" s="8"/>
      <c r="AS5" s="9"/>
      <c r="AT5" s="9"/>
      <c r="AU5" t="inlineStr" s="8">
        <is>
          <t>18575403154</t>
        </is>
      </c>
      <c r="AV5" t="inlineStr" s="8">
        <is>
          <t>adryanacardona0102@gmail.com</t>
        </is>
      </c>
      <c r="AW5" s="8"/>
      <c r="AX5" s="8"/>
    </row>
    <row r="6" ht="12.75" customHeight="1">
      <c r="A6" s="8"/>
      <c r="B6" s="8"/>
      <c r="C6" t="inlineStr" s="8">
        <is>
          <t>102</t>
        </is>
      </c>
      <c r="D6" s="9">
        <v>40.70</v>
      </c>
      <c r="E6" s="8"/>
      <c r="F6" s="8"/>
      <c r="G6" s="8"/>
      <c r="H6" s="8"/>
      <c r="I6" s="9">
        <v>173000000.00</v>
      </c>
      <c r="J6" s="8"/>
      <c r="K6" s="8"/>
      <c r="L6" s="8"/>
      <c r="M6" s="9"/>
      <c r="N6" s="9"/>
      <c r="O6" s="8"/>
      <c r="P6" s="8"/>
      <c r="Q6" s="10"/>
      <c r="R6" s="10"/>
      <c r="S6" s="10"/>
      <c r="T6" s="10"/>
      <c r="U6" s="10"/>
      <c r="V6" s="10"/>
      <c r="W6" s="10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8"/>
      <c r="AJ6" s="8"/>
      <c r="AK6" s="8"/>
      <c r="AL6" s="8"/>
      <c r="AM6" s="8"/>
      <c r="AN6" s="8"/>
      <c r="AO6" s="8"/>
      <c r="AP6" s="8"/>
      <c r="AQ6" s="8"/>
      <c r="AR6" s="8"/>
      <c r="AS6" s="9"/>
      <c r="AT6" s="9"/>
      <c r="AU6" s="8"/>
      <c r="AV6" s="8"/>
      <c r="AW6" s="8"/>
      <c r="AX6" s="8"/>
    </row>
    <row r="7" ht="12.75" customHeight="1">
      <c r="A7" t="inlineStr" s="8">
        <is>
          <t>002010978915</t>
        </is>
      </c>
      <c r="B7" s="8"/>
      <c r="C7" t="inlineStr" s="8">
        <is>
          <t>103</t>
        </is>
      </c>
      <c r="D7" s="9">
        <v>40.70</v>
      </c>
      <c r="E7" t="inlineStr" s="8">
        <is>
          <t>41932106</t>
        </is>
      </c>
      <c r="F7" t="inlineStr" s="8">
        <is>
          <t>CARDONA CIFUENTES LUZ ELIANA</t>
        </is>
      </c>
      <c r="G7" s="8"/>
      <c r="H7" s="8"/>
      <c r="I7" s="9">
        <v>173000000.00</v>
      </c>
      <c r="J7" s="8"/>
      <c r="K7" t="inlineStr" s="8">
        <is>
          <t>NCR110 - NCR145 - RC603 - RC352</t>
        </is>
      </c>
      <c r="L7" t="inlineStr" s="8">
        <is>
          <t>JUN.12/26F - JUN.30/26F - JUL.30/26F - AGO.24/26F</t>
        </is>
      </c>
      <c r="M7" s="9"/>
      <c r="N7" s="9"/>
      <c r="O7" s="8"/>
      <c r="P7" s="8"/>
      <c r="Q7" s="10"/>
      <c r="R7" s="10"/>
      <c r="S7" s="10"/>
      <c r="T7" s="10">
        <f>1000000+1800000</f>
      </c>
      <c r="U7" s="10">
        <v>1800000</v>
      </c>
      <c r="V7" s="10">
        <v>1800000</v>
      </c>
      <c r="W7" s="10"/>
      <c r="X7" s="9"/>
      <c r="Y7" s="9"/>
      <c r="Z7" s="9"/>
      <c r="AA7" s="9"/>
      <c r="AB7" s="9">
        <f>SUM(M7,N7,Q7,R7,S7,T7,U7,V7,W7,X7,Y7,Z7,AA7)</f>
      </c>
      <c r="AC7" s="9">
        <f>I7-AB7</f>
      </c>
      <c r="AD7" s="9">
        <f>AC7-AE7-AF7-AG7-AH7</f>
      </c>
      <c r="AE7" s="9"/>
      <c r="AF7" s="9"/>
      <c r="AG7" s="9"/>
      <c r="AH7" s="9"/>
      <c r="AI7" s="8"/>
      <c r="AJ7" s="8"/>
      <c r="AK7" s="8"/>
      <c r="AL7" s="8"/>
      <c r="AM7" s="8"/>
      <c r="AN7" s="8"/>
      <c r="AO7" s="8"/>
      <c r="AP7" s="8"/>
      <c r="AQ7" s="8"/>
      <c r="AR7" s="8"/>
      <c r="AS7" s="9"/>
      <c r="AT7" s="9"/>
      <c r="AU7" t="inlineStr" s="8">
        <is>
          <t>18573899773</t>
        </is>
      </c>
      <c r="AV7" t="inlineStr" s="8">
        <is>
          <t>elicar854@gmail.com</t>
        </is>
      </c>
      <c r="AW7" s="8"/>
      <c r="AX7" s="8"/>
    </row>
    <row r="8" ht="12.75" customHeight="1">
      <c r="A8" t="inlineStr" s="8">
        <is>
          <t>002010978924</t>
        </is>
      </c>
      <c r="B8" s="8"/>
      <c r="C8" t="inlineStr" s="8">
        <is>
          <t>104</t>
        </is>
      </c>
      <c r="D8" s="9">
        <v>40.70</v>
      </c>
      <c r="E8" t="inlineStr" s="8">
        <is>
          <t>1005179495</t>
        </is>
      </c>
      <c r="F8" t="inlineStr" s="8">
        <is>
          <t>GARCIA NUÑEZ KEMBERLY ALEJANDRA</t>
        </is>
      </c>
      <c r="G8" s="8"/>
      <c r="H8" s="8"/>
      <c r="I8" s="9">
        <v>173000000.00</v>
      </c>
      <c r="J8" s="8"/>
      <c r="K8" t="inlineStr" s="8">
        <is>
          <t>NCR108 - NCR151 - RC599 - RC569</t>
        </is>
      </c>
      <c r="L8" t="inlineStr" s="8">
        <is>
          <t>JUN.5/26F - JUN.30/26F - JUL.30/26F - AGO.31/26F</t>
        </is>
      </c>
      <c r="M8" s="9"/>
      <c r="N8" s="9"/>
      <c r="O8" s="8"/>
      <c r="P8" s="8"/>
      <c r="Q8" s="10"/>
      <c r="R8" s="10"/>
      <c r="S8" s="10"/>
      <c r="T8" s="10">
        <f>1000000+1000000</f>
      </c>
      <c r="U8" s="10">
        <v>1000000</v>
      </c>
      <c r="V8" s="10">
        <v>1000000</v>
      </c>
      <c r="W8" s="10"/>
      <c r="X8" s="9"/>
      <c r="Y8" s="9"/>
      <c r="Z8" s="9"/>
      <c r="AA8" s="9"/>
      <c r="AB8" s="9">
        <f>SUM(M8,N8,Q8,R8,S8,T8,U8,V8,W8,X8,Y8,Z8,AA8)</f>
      </c>
      <c r="AC8" s="9">
        <f>I8-AB8</f>
      </c>
      <c r="AD8" s="9">
        <f>AC8-AE8-AF8-AG8-AH8</f>
      </c>
      <c r="AE8" s="9"/>
      <c r="AF8" s="9"/>
      <c r="AG8" s="9"/>
      <c r="AH8" s="9"/>
      <c r="AI8" s="8"/>
      <c r="AJ8" s="8"/>
      <c r="AK8" s="8"/>
      <c r="AL8" s="8"/>
      <c r="AM8" s="8"/>
      <c r="AN8" s="8"/>
      <c r="AO8" s="8"/>
      <c r="AP8" s="8"/>
      <c r="AQ8" s="8"/>
      <c r="AR8" s="8"/>
      <c r="AS8" s="9"/>
      <c r="AT8" s="9"/>
      <c r="AU8" t="inlineStr" s="8">
        <is>
          <t>3225836604</t>
        </is>
      </c>
      <c r="AV8" t="inlineStr" s="8">
        <is>
          <t>alejagarciaaleja2@gmail.com</t>
        </is>
      </c>
      <c r="AW8" s="8"/>
      <c r="AX8" s="8"/>
    </row>
    <row r="9" ht="12.75" customHeight="1">
      <c r="A9" s="8"/>
      <c r="B9" s="8"/>
      <c r="C9" t="inlineStr" s="8">
        <is>
          <t>105</t>
        </is>
      </c>
      <c r="D9" s="9">
        <v>40.70</v>
      </c>
      <c r="E9" s="8"/>
      <c r="F9" s="8"/>
      <c r="G9" s="8"/>
      <c r="H9" s="8"/>
      <c r="I9" s="9">
        <v>173000000.00</v>
      </c>
      <c r="J9" s="8"/>
      <c r="K9" s="8"/>
      <c r="L9" s="8"/>
      <c r="M9" s="9"/>
      <c r="N9" s="9"/>
      <c r="O9" s="8"/>
      <c r="P9" s="8"/>
      <c r="Q9" s="10"/>
      <c r="R9" s="10"/>
      <c r="S9" s="10"/>
      <c r="T9" s="10"/>
      <c r="U9" s="10"/>
      <c r="V9" s="10"/>
      <c r="W9" s="10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8"/>
      <c r="AJ9" s="8"/>
      <c r="AK9" s="8"/>
      <c r="AL9" s="8"/>
      <c r="AM9" s="8"/>
      <c r="AN9" s="8"/>
      <c r="AO9" s="8"/>
      <c r="AP9" s="8"/>
      <c r="AQ9" s="8"/>
      <c r="AR9" s="8"/>
      <c r="AS9" s="9"/>
      <c r="AT9" s="9"/>
      <c r="AU9" s="8"/>
      <c r="AV9" s="8"/>
      <c r="AW9" s="8"/>
      <c r="AX9" s="8"/>
    </row>
    <row r="10" ht="12.75" customHeight="1">
      <c r="A10" s="8"/>
      <c r="B10" s="8"/>
      <c r="C10" t="inlineStr" s="8">
        <is>
          <t>106</t>
        </is>
      </c>
      <c r="D10" s="9">
        <v>40.70</v>
      </c>
      <c r="E10" s="8"/>
      <c r="F10" s="8"/>
      <c r="G10" s="8"/>
      <c r="H10" s="8"/>
      <c r="I10" s="9">
        <v>173000000.00</v>
      </c>
      <c r="J10" s="8"/>
      <c r="K10" s="8"/>
      <c r="L10" s="8"/>
      <c r="M10" s="9"/>
      <c r="N10" s="9"/>
      <c r="O10" s="8"/>
      <c r="P10" s="8"/>
      <c r="Q10" s="10"/>
      <c r="R10" s="10"/>
      <c r="S10" s="10"/>
      <c r="T10" s="10"/>
      <c r="U10" s="10"/>
      <c r="V10" s="10"/>
      <c r="W10" s="10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9"/>
      <c r="AT10" s="9"/>
      <c r="AU10" s="8"/>
      <c r="AV10" s="8"/>
      <c r="AW10" s="8"/>
      <c r="AX10" s="8"/>
    </row>
    <row r="11" ht="12.75" customHeight="1">
      <c r="A11" t="inlineStr" s="8">
        <is>
          <t>002010978951</t>
        </is>
      </c>
      <c r="B11" s="8"/>
      <c r="C11" t="inlineStr" s="8">
        <is>
          <t>107</t>
        </is>
      </c>
      <c r="D11" s="9">
        <v>40.80</v>
      </c>
      <c r="E11" t="inlineStr" s="8">
        <is>
          <t>1094912514</t>
        </is>
      </c>
      <c r="F11" t="inlineStr" s="8">
        <is>
          <t>ARIAS MORA ANA YASMIN</t>
        </is>
      </c>
      <c r="G11" s="8"/>
      <c r="H11" s="8"/>
      <c r="I11" s="9">
        <v>173000000.00</v>
      </c>
      <c r="J11" s="8"/>
      <c r="K11" t="inlineStr" s="8">
        <is>
          <t>RC076 - RC570</t>
        </is>
      </c>
      <c r="L11" t="inlineStr" s="8">
        <is>
          <t>AGO.3/26F - AGO.31/26F</t>
        </is>
      </c>
      <c r="M11" s="9"/>
      <c r="N11" s="9"/>
      <c r="O11" s="8"/>
      <c r="P11" s="8"/>
      <c r="Q11" s="10"/>
      <c r="R11" s="10"/>
      <c r="S11" s="10"/>
      <c r="T11" s="10"/>
      <c r="U11" s="10"/>
      <c r="V11" s="10">
        <f>7000000+600000</f>
      </c>
      <c r="W11" s="10"/>
      <c r="X11" s="9"/>
      <c r="Y11" s="9"/>
      <c r="Z11" s="9"/>
      <c r="AA11" s="9"/>
      <c r="AB11" s="9">
        <f>SUM(M11,N11,Q11,R11,S11,T11,U11,V11,W11,X11,Y11,Z11,AA11)</f>
      </c>
      <c r="AC11" s="9">
        <f>I11-AB11</f>
      </c>
      <c r="AD11" s="9">
        <f>AC11-AE11-AF11-AG11-AH11</f>
      </c>
      <c r="AE11" s="9"/>
      <c r="AF11" s="9"/>
      <c r="AG11" s="9"/>
      <c r="AH11" s="9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9"/>
      <c r="AT11" s="9"/>
      <c r="AU11" t="inlineStr" s="8">
        <is>
          <t>3016295874</t>
        </is>
      </c>
      <c r="AV11" t="inlineStr" s="8">
        <is>
          <t>moritana00@gmail.com</t>
        </is>
      </c>
      <c r="AW11" s="8"/>
      <c r="AX11" s="8"/>
    </row>
    <row r="12" ht="12.75" customHeight="1">
      <c r="A12" s="8"/>
      <c r="B12" s="8"/>
      <c r="C12" t="inlineStr" s="8">
        <is>
          <t>108</t>
        </is>
      </c>
      <c r="D12" s="9">
        <v>40.80</v>
      </c>
      <c r="E12" s="8"/>
      <c r="F12" s="8"/>
      <c r="G12" s="8"/>
      <c r="H12" s="8"/>
      <c r="I12" s="9">
        <v>173000000.00</v>
      </c>
      <c r="J12" s="8"/>
      <c r="K12" s="8"/>
      <c r="L12" s="8"/>
      <c r="M12" s="9"/>
      <c r="N12" s="9"/>
      <c r="O12" s="8"/>
      <c r="P12" s="8"/>
      <c r="Q12" s="10"/>
      <c r="R12" s="10"/>
      <c r="S12" s="10"/>
      <c r="T12" s="10"/>
      <c r="U12" s="10"/>
      <c r="V12" s="10"/>
      <c r="W12" s="10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9"/>
      <c r="AT12" s="9"/>
      <c r="AU12" s="8"/>
      <c r="AV12" s="8"/>
      <c r="AW12" s="8"/>
      <c r="AX12" s="8"/>
    </row>
    <row r="13" ht="12.75" customHeight="1">
      <c r="A13" s="8"/>
      <c r="B13" s="8"/>
      <c r="C13" t="inlineStr" s="8">
        <is>
          <t>109</t>
        </is>
      </c>
      <c r="D13" s="9">
        <v>40.70</v>
      </c>
      <c r="E13" s="8"/>
      <c r="F13" s="8"/>
      <c r="G13" s="8"/>
      <c r="H13" s="8"/>
      <c r="I13" s="9">
        <v>173000000.00</v>
      </c>
      <c r="J13" s="8"/>
      <c r="K13" s="8"/>
      <c r="L13" s="8"/>
      <c r="M13" s="9"/>
      <c r="N13" s="9"/>
      <c r="O13" s="8"/>
      <c r="P13" s="8"/>
      <c r="Q13" s="10"/>
      <c r="R13" s="10"/>
      <c r="S13" s="10"/>
      <c r="T13" s="10"/>
      <c r="U13" s="10"/>
      <c r="V13" s="10"/>
      <c r="W13" s="10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9"/>
      <c r="AT13" s="9"/>
      <c r="AU13" s="8"/>
      <c r="AV13" s="8"/>
      <c r="AW13" s="8"/>
      <c r="AX13" s="8"/>
    </row>
    <row r="14" ht="12.75" customHeight="1">
      <c r="A14" s="8"/>
      <c r="B14" s="8"/>
      <c r="C14" t="inlineStr" s="8">
        <is>
          <t>110</t>
        </is>
      </c>
      <c r="D14" s="9">
        <v>40.70</v>
      </c>
      <c r="E14" s="8"/>
      <c r="F14" s="8"/>
      <c r="G14" s="8"/>
      <c r="H14" s="8"/>
      <c r="I14" s="9">
        <v>173000000.00</v>
      </c>
      <c r="J14" s="8"/>
      <c r="K14" s="8"/>
      <c r="L14" s="8"/>
      <c r="M14" s="9"/>
      <c r="N14" s="9"/>
      <c r="O14" s="8"/>
      <c r="P14" s="8"/>
      <c r="Q14" s="10"/>
      <c r="R14" s="10"/>
      <c r="S14" s="10"/>
      <c r="T14" s="10"/>
      <c r="U14" s="10"/>
      <c r="V14" s="10"/>
      <c r="W14" s="10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9"/>
      <c r="AT14" s="9"/>
      <c r="AU14" s="8"/>
      <c r="AV14" s="8"/>
      <c r="AW14" s="8"/>
      <c r="AX14" s="8"/>
    </row>
    <row r="15" ht="12.75" customHeight="1">
      <c r="A15" s="8"/>
      <c r="B15" s="8"/>
      <c r="C15" t="inlineStr" s="8">
        <is>
          <t>201</t>
        </is>
      </c>
      <c r="D15" s="9">
        <v>41.03</v>
      </c>
      <c r="E15" s="8"/>
      <c r="F15" s="8"/>
      <c r="G15" s="8"/>
      <c r="H15" s="8"/>
      <c r="I15" s="9">
        <v>173000000.00</v>
      </c>
      <c r="J15" s="8"/>
      <c r="K15" s="8"/>
      <c r="L15" s="8"/>
      <c r="M15" s="9"/>
      <c r="N15" s="9"/>
      <c r="O15" s="8"/>
      <c r="P15" s="8"/>
      <c r="Q15" s="10"/>
      <c r="R15" s="10"/>
      <c r="S15" s="10"/>
      <c r="T15" s="10"/>
      <c r="U15" s="10"/>
      <c r="V15" s="10"/>
      <c r="W15" s="10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9"/>
      <c r="AT15" s="9"/>
      <c r="AU15" s="8"/>
      <c r="AV15" s="8"/>
      <c r="AW15" s="8"/>
      <c r="AX15" s="8"/>
    </row>
    <row r="16" ht="12.75" customHeight="1">
      <c r="A16" s="8"/>
      <c r="B16" s="8"/>
      <c r="C16" t="inlineStr" s="8">
        <is>
          <t>202</t>
        </is>
      </c>
      <c r="D16" s="9">
        <v>40.70</v>
      </c>
      <c r="E16" s="8"/>
      <c r="F16" s="8"/>
      <c r="G16" s="8"/>
      <c r="H16" s="8"/>
      <c r="I16" s="9">
        <v>173000000.00</v>
      </c>
      <c r="J16" s="8"/>
      <c r="K16" s="8"/>
      <c r="L16" s="8"/>
      <c r="M16" s="9"/>
      <c r="N16" s="9"/>
      <c r="O16" s="8"/>
      <c r="P16" s="8"/>
      <c r="Q16" s="10"/>
      <c r="R16" s="10"/>
      <c r="S16" s="10"/>
      <c r="T16" s="10"/>
      <c r="U16" s="10"/>
      <c r="V16" s="10"/>
      <c r="W16" s="10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9"/>
      <c r="AT16" s="9"/>
      <c r="AU16" s="8"/>
      <c r="AV16" s="8"/>
      <c r="AW16" s="8"/>
      <c r="AX16" s="8"/>
    </row>
    <row r="17" ht="12.75" customHeight="1">
      <c r="A17" t="inlineStr" s="8">
        <is>
          <t>002010979068</t>
        </is>
      </c>
      <c r="B17" s="8"/>
      <c r="C17" t="inlineStr" s="8">
        <is>
          <t>203</t>
        </is>
      </c>
      <c r="D17" s="9">
        <v>40.70</v>
      </c>
      <c r="E17" t="inlineStr" s="8">
        <is>
          <t>1098310599</t>
        </is>
      </c>
      <c r="F17" t="inlineStr" s="8">
        <is>
          <t>CARDONA CALDERON HARRYSON ANDRES</t>
        </is>
      </c>
      <c r="G17" s="8"/>
      <c r="H17" s="8"/>
      <c r="I17" s="9">
        <v>173000000.00</v>
      </c>
      <c r="J17" s="8"/>
      <c r="K17" t="inlineStr" s="8">
        <is>
          <t>RC195 - RC425 - RC355</t>
        </is>
      </c>
      <c r="L17" t="inlineStr" s="8">
        <is>
          <t>JUL.6/26F - JUL.22/26F - AGO.24/26F</t>
        </is>
      </c>
      <c r="M17" s="9"/>
      <c r="N17" s="9"/>
      <c r="O17" s="8"/>
      <c r="P17" s="8"/>
      <c r="Q17" s="10"/>
      <c r="R17" s="10"/>
      <c r="S17" s="10"/>
      <c r="T17" s="10"/>
      <c r="U17" s="10">
        <f>1000000+1245000</f>
      </c>
      <c r="V17" s="10">
        <v>1250000</v>
      </c>
      <c r="W17" s="10"/>
      <c r="X17" s="9"/>
      <c r="Y17" s="9"/>
      <c r="Z17" s="9"/>
      <c r="AA17" s="9"/>
      <c r="AB17" s="9">
        <f>SUM(M17,N17,Q17,R17,S17,T17,U17,V17,W17,X17,Y17,Z17,AA17)</f>
      </c>
      <c r="AC17" s="9">
        <f>I17-AB17</f>
      </c>
      <c r="AD17" s="9">
        <f>AC17-AE17-AF17-AG17-AH17</f>
      </c>
      <c r="AE17" s="9"/>
      <c r="AF17" s="9"/>
      <c r="AG17" s="9"/>
      <c r="AH17" s="9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9"/>
      <c r="AT17" s="9"/>
      <c r="AU17" t="inlineStr" s="8">
        <is>
          <t>3017307813</t>
        </is>
      </c>
      <c r="AV17" t="inlineStr" s="8">
        <is>
          <t>charryhandre94@gmail.com</t>
        </is>
      </c>
      <c r="AW17" s="8"/>
      <c r="AX17" s="8"/>
    </row>
    <row r="18" ht="12.75" customHeight="1">
      <c r="A18" t="inlineStr" s="8">
        <is>
          <t>002010979022</t>
        </is>
      </c>
      <c r="B18" s="8"/>
      <c r="C18" t="inlineStr" s="8">
        <is>
          <t>204</t>
        </is>
      </c>
      <c r="D18" s="9">
        <v>40.70</v>
      </c>
      <c r="E18" t="inlineStr" s="8">
        <is>
          <t>1067853113</t>
        </is>
      </c>
      <c r="F18" t="inlineStr" s="8">
        <is>
          <t>ARRIETA FERRARI SANDY LEIDY</t>
        </is>
      </c>
      <c r="G18" s="8"/>
      <c r="H18" s="8"/>
      <c r="I18" s="9">
        <v>173000000.00</v>
      </c>
      <c r="J18" s="8"/>
      <c r="K18" t="inlineStr" s="8">
        <is>
          <t>NCR29 - NCR77 - RC196 - RC449 - RC456</t>
        </is>
      </c>
      <c r="L18" t="inlineStr" s="8">
        <is>
          <t>ABR.27/26F - MAY.28/26F - JUL.1/26F - JUL.27/26F - AGO.28/26F</t>
        </is>
      </c>
      <c r="M18" s="9"/>
      <c r="N18" s="9"/>
      <c r="O18" s="8"/>
      <c r="P18" s="8"/>
      <c r="Q18" s="10"/>
      <c r="R18" s="10">
        <v>1000000</v>
      </c>
      <c r="S18" s="10">
        <v>1120000</v>
      </c>
      <c r="T18" s="10"/>
      <c r="U18" s="10">
        <f>1120000+1120000</f>
      </c>
      <c r="V18" s="10">
        <v>1120000</v>
      </c>
      <c r="W18" s="10"/>
      <c r="X18" s="9"/>
      <c r="Y18" s="9"/>
      <c r="Z18" s="9"/>
      <c r="AA18" s="9"/>
      <c r="AB18" s="9">
        <f>SUM(M18,N18,Q18,R18,S18,T18,U18,V18,W18,X18,Y18,Z18,AA18)</f>
      </c>
      <c r="AC18" s="9">
        <f>I18-AB18</f>
      </c>
      <c r="AD18" s="9">
        <f>AC18-AE18-AF18-AG18-AH18</f>
      </c>
      <c r="AE18" s="9"/>
      <c r="AF18" s="9"/>
      <c r="AG18" s="9"/>
      <c r="AH18" s="9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9"/>
      <c r="AT18" s="9"/>
      <c r="AU18" t="inlineStr" s="8">
        <is>
          <t>3215234650</t>
        </is>
      </c>
      <c r="AV18" t="inlineStr" s="8">
        <is>
          <t>slaf29@hotmail.com</t>
        </is>
      </c>
      <c r="AW18" s="8"/>
      <c r="AX18" s="8"/>
    </row>
    <row r="19" ht="12.75" customHeight="1">
      <c r="A19" t="inlineStr" s="8">
        <is>
          <t>002010979031</t>
        </is>
      </c>
      <c r="B19" s="8"/>
      <c r="C19" t="inlineStr" s="8">
        <is>
          <t>205</t>
        </is>
      </c>
      <c r="D19" s="9">
        <v>40.70</v>
      </c>
      <c r="E19" t="inlineStr" s="8">
        <is>
          <t>1094942381</t>
        </is>
      </c>
      <c r="F19" t="inlineStr" s="8">
        <is>
          <t>CHICAIZA BOLIVAR MARICEL ALEJANDRA</t>
        </is>
      </c>
      <c r="G19" s="8"/>
      <c r="H19" s="8"/>
      <c r="I19" s="9">
        <v>173000000.00</v>
      </c>
      <c r="J19" s="8"/>
      <c r="K19" t="inlineStr" s="8">
        <is>
          <t>RC197 - RC077 - RC042</t>
        </is>
      </c>
      <c r="L19" t="inlineStr" s="8">
        <is>
          <t>JUL.2/26F - AGO.3/26F - SEP.1/26F</t>
        </is>
      </c>
      <c r="M19" s="9"/>
      <c r="N19" s="9"/>
      <c r="O19" s="8"/>
      <c r="P19" s="8"/>
      <c r="Q19" s="10"/>
      <c r="R19" s="10"/>
      <c r="S19" s="10"/>
      <c r="T19" s="10"/>
      <c r="U19" s="10">
        <v>1000000</v>
      </c>
      <c r="V19" s="10">
        <v>1200000</v>
      </c>
      <c r="W19" s="10">
        <v>1200000</v>
      </c>
      <c r="X19" s="9"/>
      <c r="Y19" s="9"/>
      <c r="Z19" s="9"/>
      <c r="AA19" s="9"/>
      <c r="AB19" s="9">
        <f>SUM(M19,N19,Q19,R19,S19,T19,U19,V19,W19,X19,Y19,Z19,AA19)</f>
      </c>
      <c r="AC19" s="9">
        <f>I19-AB19</f>
      </c>
      <c r="AD19" s="9">
        <f>AC19-AE19-AF19-AG19-AH19</f>
      </c>
      <c r="AE19" s="9"/>
      <c r="AF19" s="9"/>
      <c r="AG19" s="9"/>
      <c r="AH19" s="9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9"/>
      <c r="AT19" s="9"/>
      <c r="AU19" t="inlineStr" s="8">
        <is>
          <t>34612227719</t>
        </is>
      </c>
      <c r="AV19" t="inlineStr" s="8">
        <is>
          <t>alejandrabolivar2301@gmail.com</t>
        </is>
      </c>
      <c r="AW19" s="8"/>
      <c r="AX19" s="8"/>
    </row>
    <row r="20" ht="12.75" customHeight="1">
      <c r="A20" t="inlineStr" s="8">
        <is>
          <t>002010979040</t>
        </is>
      </c>
      <c r="B20" s="8"/>
      <c r="C20" t="inlineStr" s="8">
        <is>
          <t>206</t>
        </is>
      </c>
      <c r="D20" s="9">
        <v>40.70</v>
      </c>
      <c r="E20" t="inlineStr" s="8">
        <is>
          <t>1128450396</t>
        </is>
      </c>
      <c r="F20" t="inlineStr" s="8">
        <is>
          <t>CORDOBA RAMIREZ MAIKOL DANIEL</t>
        </is>
      </c>
      <c r="G20" t="inlineStr" s="8">
        <is>
          <t>ORTIZ LOPEZ ALLISON ROSSANA</t>
        </is>
      </c>
      <c r="H20" s="8"/>
      <c r="I20" s="9">
        <v>173000000.00</v>
      </c>
      <c r="J20" s="8"/>
      <c r="K20" t="inlineStr" s="8">
        <is>
          <t>NCR112 - RC206 - RC353</t>
        </is>
      </c>
      <c r="L20" t="inlineStr" s="8">
        <is>
          <t>JUN.16/26F - JUL.23/26F - AGO.24/26F</t>
        </is>
      </c>
      <c r="M20" s="9"/>
      <c r="N20" s="9"/>
      <c r="O20" s="8"/>
      <c r="P20" s="8"/>
      <c r="Q20" s="10"/>
      <c r="R20" s="10"/>
      <c r="S20" s="10"/>
      <c r="T20" s="10">
        <v>1000000</v>
      </c>
      <c r="U20" s="10">
        <v>1200000</v>
      </c>
      <c r="V20" s="10">
        <v>1200000</v>
      </c>
      <c r="W20" s="10"/>
      <c r="X20" s="9"/>
      <c r="Y20" s="9"/>
      <c r="Z20" s="9"/>
      <c r="AA20" s="9"/>
      <c r="AB20" s="9">
        <f>SUM(M20,N20,Q20,R20,S20,T20,U20,V20,W20,X20,Y20,Z20,AA20)</f>
      </c>
      <c r="AC20" s="9">
        <f>I20-AB20</f>
      </c>
      <c r="AD20" s="9">
        <f>AC20-AE20-AF20-AG20-AH20</f>
      </c>
      <c r="AE20" s="9"/>
      <c r="AF20" s="9"/>
      <c r="AG20" s="9"/>
      <c r="AH20" s="9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9"/>
      <c r="AT20" s="9"/>
      <c r="AU20" t="inlineStr" s="8">
        <is>
          <t>3017518976</t>
        </is>
      </c>
      <c r="AV20" t="inlineStr" s="8">
        <is>
          <t>maikolcordobaramirez@gmail.com</t>
        </is>
      </c>
      <c r="AW20" s="8"/>
      <c r="AX20" s="8"/>
    </row>
    <row r="21" ht="12.75" customHeight="1">
      <c r="A21" s="8"/>
      <c r="B21" s="8"/>
      <c r="C21" t="inlineStr" s="8">
        <is>
          <t>207</t>
        </is>
      </c>
      <c r="D21" s="9">
        <v>40.80</v>
      </c>
      <c r="E21" s="8"/>
      <c r="F21" s="8"/>
      <c r="G21" s="8"/>
      <c r="H21" s="8"/>
      <c r="I21" s="9">
        <v>173000000.00</v>
      </c>
      <c r="J21" s="8"/>
      <c r="K21" s="8"/>
      <c r="L21" s="8"/>
      <c r="M21" s="9"/>
      <c r="N21" s="9"/>
      <c r="O21" s="8"/>
      <c r="P21" s="8"/>
      <c r="Q21" s="10"/>
      <c r="R21" s="10"/>
      <c r="S21" s="10"/>
      <c r="T21" s="10"/>
      <c r="U21" s="10"/>
      <c r="V21" s="10"/>
      <c r="W21" s="10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9"/>
      <c r="AT21" s="9"/>
      <c r="AU21" s="8"/>
      <c r="AV21" s="8"/>
      <c r="AW21" s="8"/>
      <c r="AX21" s="8"/>
    </row>
    <row r="22" ht="12.75" customHeight="1">
      <c r="A22" t="inlineStr" s="8">
        <is>
          <t>002010979013</t>
        </is>
      </c>
      <c r="B22" s="8"/>
      <c r="C22" t="inlineStr" s="8">
        <is>
          <t>208</t>
        </is>
      </c>
      <c r="D22" s="9">
        <v>40.80</v>
      </c>
      <c r="E22" t="inlineStr" s="8">
        <is>
          <t>9771281</t>
        </is>
      </c>
      <c r="F22" t="inlineStr" s="8">
        <is>
          <t>HERNANDEZ HERNANDEZ ANDRES MAURICIO</t>
        </is>
      </c>
      <c r="G22" s="8"/>
      <c r="H22" s="8"/>
      <c r="I22" s="9">
        <v>173000000.00</v>
      </c>
      <c r="J22" s="8"/>
      <c r="K22" t="inlineStr" s="8">
        <is>
          <t>NCR156 - RC445</t>
        </is>
      </c>
      <c r="L22" t="inlineStr" s="8">
        <is>
          <t>JUN.24/26F - JUL.24/26F</t>
        </is>
      </c>
      <c r="M22" s="9"/>
      <c r="N22" s="9"/>
      <c r="O22" s="8"/>
      <c r="P22" s="8"/>
      <c r="Q22" s="10"/>
      <c r="R22" s="10"/>
      <c r="S22" s="10"/>
      <c r="T22" s="10">
        <v>1047039</v>
      </c>
      <c r="U22" s="10">
        <v>1200000</v>
      </c>
      <c r="V22" s="10"/>
      <c r="W22" s="10"/>
      <c r="X22" s="9"/>
      <c r="Y22" s="9"/>
      <c r="Z22" s="9"/>
      <c r="AA22" s="9"/>
      <c r="AB22" s="9">
        <f>SUM(M22,N22,Q22,R22,S22,T22,U22,V22,W22,X22,Y22,Z22,AA22)</f>
      </c>
      <c r="AC22" s="9">
        <f>I22-AB22</f>
      </c>
      <c r="AD22" s="9">
        <f>AC22-AE22-AF22-AG22-AH22</f>
      </c>
      <c r="AE22" s="9"/>
      <c r="AF22" s="9"/>
      <c r="AG22" s="9"/>
      <c r="AH22" s="9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9"/>
      <c r="AT22" s="9"/>
      <c r="AU22" t="inlineStr" s="8">
        <is>
          <t>3167873737</t>
        </is>
      </c>
      <c r="AV22" t="inlineStr" s="8">
        <is>
          <t>mayriciohernandez468@gmail.com</t>
        </is>
      </c>
      <c r="AW22" s="8"/>
      <c r="AX22" s="8"/>
    </row>
    <row r="23" ht="12.75" customHeight="1">
      <c r="A23" s="8"/>
      <c r="B23" s="8"/>
      <c r="C23" t="inlineStr" s="8">
        <is>
          <t>209</t>
        </is>
      </c>
      <c r="D23" s="9">
        <v>40.70</v>
      </c>
      <c r="E23" s="8"/>
      <c r="F23" s="8"/>
      <c r="G23" s="8"/>
      <c r="H23" s="8"/>
      <c r="I23" s="9">
        <v>173000000.00</v>
      </c>
      <c r="J23" s="8"/>
      <c r="K23" s="8"/>
      <c r="L23" s="8"/>
      <c r="M23" s="9"/>
      <c r="N23" s="9"/>
      <c r="O23" s="8"/>
      <c r="P23" s="8"/>
      <c r="Q23" s="10"/>
      <c r="R23" s="10"/>
      <c r="S23" s="10"/>
      <c r="T23" s="10"/>
      <c r="U23" s="10"/>
      <c r="V23" s="10"/>
      <c r="W23" s="10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9"/>
      <c r="AT23" s="9"/>
      <c r="AU23" s="8"/>
      <c r="AV23" s="8"/>
      <c r="AW23" s="8"/>
      <c r="AX23" s="8"/>
    </row>
    <row r="24" ht="12.75" customHeight="1">
      <c r="A24" s="8"/>
      <c r="B24" s="8"/>
      <c r="C24" t="inlineStr" s="8">
        <is>
          <t>210</t>
        </is>
      </c>
      <c r="D24" s="9">
        <v>40.70</v>
      </c>
      <c r="E24" s="8"/>
      <c r="F24" s="8"/>
      <c r="G24" s="8"/>
      <c r="H24" s="8"/>
      <c r="I24" s="9">
        <v>173000000.00</v>
      </c>
      <c r="J24" s="8"/>
      <c r="K24" s="8"/>
      <c r="L24" s="8"/>
      <c r="M24" s="9"/>
      <c r="N24" s="9"/>
      <c r="O24" s="8"/>
      <c r="P24" s="8"/>
      <c r="Q24" s="10"/>
      <c r="R24" s="10"/>
      <c r="S24" s="10"/>
      <c r="T24" s="10"/>
      <c r="U24" s="10"/>
      <c r="V24" s="10"/>
      <c r="W24" s="10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9"/>
      <c r="AT24" s="9"/>
      <c r="AU24" s="8"/>
      <c r="AV24" s="8"/>
      <c r="AW24" s="8"/>
      <c r="AX24" s="8"/>
    </row>
    <row r="25" ht="12.75" customHeight="1">
      <c r="A25" t="inlineStr" s="8">
        <is>
          <t>002010979095</t>
        </is>
      </c>
      <c r="B25" s="8"/>
      <c r="C25" t="inlineStr" s="8">
        <is>
          <t>301</t>
        </is>
      </c>
      <c r="D25" s="9">
        <v>41.03</v>
      </c>
      <c r="E25" t="inlineStr" s="8">
        <is>
          <t>1125998953</t>
        </is>
      </c>
      <c r="F25" t="inlineStr" s="8">
        <is>
          <t>VALENCIA GONZALEZ MARITZA</t>
        </is>
      </c>
      <c r="G25" s="8"/>
      <c r="H25" s="8"/>
      <c r="I25" s="9">
        <v>173000000.00</v>
      </c>
      <c r="J25" s="8"/>
      <c r="K25" t="inlineStr" s="8">
        <is>
          <t>RC674</t>
        </is>
      </c>
      <c r="L25" t="inlineStr" s="8">
        <is>
          <t>JUL.31/26F</t>
        </is>
      </c>
      <c r="M25" s="9"/>
      <c r="N25" s="9"/>
      <c r="O25" s="8"/>
      <c r="P25" s="8"/>
      <c r="Q25" s="10"/>
      <c r="R25" s="10"/>
      <c r="S25" s="10"/>
      <c r="T25" s="10"/>
      <c r="U25" s="10">
        <v>1000000</v>
      </c>
      <c r="V25" s="10"/>
      <c r="W25" s="10"/>
      <c r="X25" s="9"/>
      <c r="Y25" s="9"/>
      <c r="Z25" s="9"/>
      <c r="AA25" s="9"/>
      <c r="AB25" s="9">
        <f>SUM(M25,N25,Q25,R25,S25,T25,U25,V25,W25,X25,Y25,Z25,AA25)</f>
      </c>
      <c r="AC25" s="9">
        <f>I25-AB25</f>
      </c>
      <c r="AD25" s="9">
        <f>AC25-AE25-AF25-AG25-AH25</f>
      </c>
      <c r="AE25" s="9"/>
      <c r="AF25" s="9"/>
      <c r="AG25" s="9"/>
      <c r="AH25" s="9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9"/>
      <c r="AT25" s="9"/>
      <c r="AU25" t="inlineStr" s="8">
        <is>
          <t>447411966790</t>
        </is>
      </c>
      <c r="AV25" t="inlineStr" s="8">
        <is>
          <t>maritzatqmpe@hotmail.com</t>
        </is>
      </c>
      <c r="AW25" s="8"/>
      <c r="AX25" s="8"/>
    </row>
    <row r="26" ht="12.75" customHeight="1">
      <c r="A26" s="8"/>
      <c r="B26" s="8"/>
      <c r="C26" t="inlineStr" s="8">
        <is>
          <t>302</t>
        </is>
      </c>
      <c r="D26" s="9">
        <v>40.70</v>
      </c>
      <c r="E26" s="8"/>
      <c r="F26" s="8"/>
      <c r="G26" s="8"/>
      <c r="H26" s="8"/>
      <c r="I26" s="9">
        <v>173000000.00</v>
      </c>
      <c r="J26" s="8"/>
      <c r="K26" s="8"/>
      <c r="L26" s="8"/>
      <c r="M26" s="9"/>
      <c r="N26" s="9"/>
      <c r="O26" s="8"/>
      <c r="P26" s="8"/>
      <c r="Q26" s="10"/>
      <c r="R26" s="10"/>
      <c r="S26" s="10"/>
      <c r="T26" s="10"/>
      <c r="U26" s="10"/>
      <c r="V26" s="10"/>
      <c r="W26" s="10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9"/>
      <c r="AT26" s="9"/>
      <c r="AU26" s="8"/>
      <c r="AV26" s="8"/>
      <c r="AW26" s="8"/>
      <c r="AX26" s="8"/>
    </row>
    <row r="27" ht="12.75" customHeight="1">
      <c r="A27" s="8"/>
      <c r="B27" s="8"/>
      <c r="C27" t="inlineStr" s="8">
        <is>
          <t>303</t>
        </is>
      </c>
      <c r="D27" s="9">
        <v>40.70</v>
      </c>
      <c r="E27" s="8"/>
      <c r="F27" s="8"/>
      <c r="G27" s="8"/>
      <c r="H27" s="8"/>
      <c r="I27" s="9">
        <v>173000000.00</v>
      </c>
      <c r="J27" s="8"/>
      <c r="K27" s="8"/>
      <c r="L27" s="8"/>
      <c r="M27" s="9"/>
      <c r="N27" s="9"/>
      <c r="O27" s="8"/>
      <c r="P27" s="8"/>
      <c r="Q27" s="10"/>
      <c r="R27" s="10"/>
      <c r="S27" s="10"/>
      <c r="T27" s="10"/>
      <c r="U27" s="10"/>
      <c r="V27" s="10"/>
      <c r="W27" s="10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9"/>
      <c r="AT27" s="9"/>
      <c r="AU27" s="8"/>
      <c r="AV27" s="8"/>
      <c r="AW27" s="8"/>
      <c r="AX27" s="8"/>
    </row>
    <row r="28" ht="12.75" customHeight="1">
      <c r="A28" t="inlineStr" s="8">
        <is>
          <t>002010979120</t>
        </is>
      </c>
      <c r="B28" s="8"/>
      <c r="C28" t="inlineStr" s="8">
        <is>
          <t>304</t>
        </is>
      </c>
      <c r="D28" s="9">
        <v>40.70</v>
      </c>
      <c r="E28" t="inlineStr" s="8">
        <is>
          <t>1125978107</t>
        </is>
      </c>
      <c r="F28" t="inlineStr" s="8">
        <is>
          <t>CASTILLO RENGIFO GUSTAVO ADOLFO</t>
        </is>
      </c>
      <c r="G28" s="8"/>
      <c r="H28" s="8"/>
      <c r="I28" s="9">
        <v>173000000.00</v>
      </c>
      <c r="J28" s="8"/>
      <c r="K28" t="inlineStr" s="8">
        <is>
          <t>NCR7 - NCR26 - NCR72 - NCR128 - RC507 - RC351</t>
        </is>
      </c>
      <c r="L28" t="inlineStr" s="8">
        <is>
          <t>ABR.6/26F - ABR.21/26F - MAY.26/26F - JUN.23/26F - JUL.28/26F - AGO.24/26F</t>
        </is>
      </c>
      <c r="M28" s="9"/>
      <c r="N28" s="9"/>
      <c r="O28" s="8"/>
      <c r="P28" s="8"/>
      <c r="Q28" s="10"/>
      <c r="R28" s="10">
        <f>1000000+1080000</f>
      </c>
      <c r="S28" s="10">
        <v>1080000</v>
      </c>
      <c r="T28" s="10">
        <v>1080000</v>
      </c>
      <c r="U28" s="10">
        <v>1080000</v>
      </c>
      <c r="V28" s="10">
        <v>1080000</v>
      </c>
      <c r="W28" s="10"/>
      <c r="X28" s="9"/>
      <c r="Y28" s="9"/>
      <c r="Z28" s="9"/>
      <c r="AA28" s="9"/>
      <c r="AB28" s="9">
        <f>SUM(M28,N28,Q28,R28,S28,T28,U28,V28,W28,X28,Y28,Z28,AA28)</f>
      </c>
      <c r="AC28" s="9">
        <f>I28-AB28</f>
      </c>
      <c r="AD28" s="9">
        <f>AC28-AE28-AF28-AG28-AH28</f>
      </c>
      <c r="AE28" s="9"/>
      <c r="AF28" s="9"/>
      <c r="AG28" s="9"/>
      <c r="AH28" s="9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9"/>
      <c r="AT28" s="9"/>
      <c r="AU28" t="inlineStr" s="8">
        <is>
          <t>4075355777</t>
        </is>
      </c>
      <c r="AV28" t="inlineStr" s="8">
        <is>
          <t>gc3312410@gmail.com</t>
        </is>
      </c>
      <c r="AW28" s="8"/>
      <c r="AX28" s="8"/>
    </row>
    <row r="29" ht="12.75" customHeight="1">
      <c r="A29" t="inlineStr" s="8">
        <is>
          <t>002010979139</t>
        </is>
      </c>
      <c r="B29" s="8"/>
      <c r="C29" t="inlineStr" s="8">
        <is>
          <t>305</t>
        </is>
      </c>
      <c r="D29" s="9">
        <v>40.70</v>
      </c>
      <c r="E29" t="inlineStr" s="8">
        <is>
          <t>1094900162</t>
        </is>
      </c>
      <c r="F29" t="inlineStr" s="8">
        <is>
          <t>VILLADA ALVAREZ JENNIFER</t>
        </is>
      </c>
      <c r="G29" s="8"/>
      <c r="H29" s="8"/>
      <c r="I29" s="9">
        <v>173000000.00</v>
      </c>
      <c r="J29" s="8"/>
      <c r="K29" t="inlineStr" s="8">
        <is>
          <t>NCR118 - RC198 - RC542 - RC045</t>
        </is>
      </c>
      <c r="L29" t="inlineStr" s="8">
        <is>
          <t>JUN.17/26F - JUL.2/26F - JUL.29/26F - SEP.1/26F</t>
        </is>
      </c>
      <c r="M29" s="9"/>
      <c r="N29" s="9"/>
      <c r="O29" s="8"/>
      <c r="P29" s="8"/>
      <c r="Q29" s="10"/>
      <c r="R29" s="10"/>
      <c r="S29" s="10"/>
      <c r="T29" s="10">
        <v>1000000</v>
      </c>
      <c r="U29" s="10">
        <f>1200000+1200000</f>
      </c>
      <c r="V29" s="10"/>
      <c r="W29" s="10">
        <v>1000000</v>
      </c>
      <c r="X29" s="9"/>
      <c r="Y29" s="9"/>
      <c r="Z29" s="9"/>
      <c r="AA29" s="9"/>
      <c r="AB29" s="9">
        <f>SUM(M29,N29,Q29,R29,S29,T29,U29,V29,W29,X29,Y29,Z29,AA29)</f>
      </c>
      <c r="AC29" s="9">
        <f>I29-AB29</f>
      </c>
      <c r="AD29" s="9">
        <f>AC29-AE29-AF29-AG29-AH29</f>
      </c>
      <c r="AE29" s="9"/>
      <c r="AF29" s="9"/>
      <c r="AG29" s="9"/>
      <c r="AH29" s="9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9"/>
      <c r="AT29" s="9"/>
      <c r="AU29" t="inlineStr" s="8">
        <is>
          <t>3147522111</t>
        </is>
      </c>
      <c r="AV29" t="inlineStr" s="8">
        <is>
          <t>jvajenniffer@hotmail.com</t>
        </is>
      </c>
      <c r="AW29" s="8"/>
      <c r="AX29" s="8"/>
    </row>
    <row r="30" ht="12.75" customHeight="1">
      <c r="A30" t="inlineStr" s="8">
        <is>
          <t>002010979148</t>
        </is>
      </c>
      <c r="B30" s="8"/>
      <c r="C30" t="inlineStr" s="8">
        <is>
          <t>306</t>
        </is>
      </c>
      <c r="D30" s="9">
        <v>40.70</v>
      </c>
      <c r="E30" t="inlineStr" s="8">
        <is>
          <t>1097039546</t>
        </is>
      </c>
      <c r="F30" t="inlineStr" s="8">
        <is>
          <t>GOMEZ GOMEZ LEIDY YOHANA</t>
        </is>
      </c>
      <c r="G30" s="8"/>
      <c r="H30" s="8"/>
      <c r="I30" s="9">
        <v>173000000.00</v>
      </c>
      <c r="J30" s="8"/>
      <c r="K30" t="inlineStr" s="8">
        <is>
          <t>NCR28 - NCR73 - NCR129 - RC447</t>
        </is>
      </c>
      <c r="L30" t="inlineStr" s="8">
        <is>
          <t>ABR.24/26F - MAY.26/26F - JUN.24/26F - JUL.24/26F</t>
        </is>
      </c>
      <c r="M30" s="9"/>
      <c r="N30" s="9"/>
      <c r="O30" s="8"/>
      <c r="P30" s="8"/>
      <c r="Q30" s="10"/>
      <c r="R30" s="10">
        <v>1000000</v>
      </c>
      <c r="S30" s="10">
        <v>1120000</v>
      </c>
      <c r="T30" s="10">
        <v>1120000</v>
      </c>
      <c r="U30" s="10">
        <v>1200000</v>
      </c>
      <c r="V30" s="10"/>
      <c r="W30" s="10"/>
      <c r="X30" s="9"/>
      <c r="Y30" s="9"/>
      <c r="Z30" s="9"/>
      <c r="AA30" s="9"/>
      <c r="AB30" s="9">
        <f>SUM(M30,N30,Q30,R30,S30,T30,U30,V30,W30,X30,Y30,Z30,AA30)</f>
      </c>
      <c r="AC30" s="9">
        <f>I30-AB30</f>
      </c>
      <c r="AD30" s="9">
        <f>AC30-AE30-AF30-AG30-AH30</f>
      </c>
      <c r="AE30" s="9"/>
      <c r="AF30" s="9"/>
      <c r="AG30" s="9"/>
      <c r="AH30" s="9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9"/>
      <c r="AT30" s="9"/>
      <c r="AU30" t="inlineStr" s="8">
        <is>
          <t>3012952524</t>
        </is>
      </c>
      <c r="AV30" t="inlineStr" s="8">
        <is>
          <t>gomezgomezleidyjhoana@gmail.com</t>
        </is>
      </c>
      <c r="AW30" s="8"/>
      <c r="AX30" s="8"/>
    </row>
    <row r="31" ht="12.75" customHeight="1">
      <c r="A31" t="inlineStr" s="8">
        <is>
          <t>002010979157</t>
        </is>
      </c>
      <c r="B31" s="8"/>
      <c r="C31" t="inlineStr" s="8">
        <is>
          <t>307</t>
        </is>
      </c>
      <c r="D31" s="9">
        <v>40.80</v>
      </c>
      <c r="E31" t="inlineStr" s="8">
        <is>
          <t>24807185</t>
        </is>
      </c>
      <c r="F31" t="inlineStr" s="8">
        <is>
          <t>ISAZA OROZCO YOLANDA</t>
        </is>
      </c>
      <c r="G31" s="8"/>
      <c r="H31" s="8"/>
      <c r="I31" s="9">
        <v>173000000.00</v>
      </c>
      <c r="J31" s="8"/>
      <c r="K31" t="inlineStr" s="8">
        <is>
          <t>NCR23 - NCR38 - NCR100 - RC199 - RC200 - RC078 - RC078</t>
        </is>
      </c>
      <c r="L31" t="inlineStr" s="8">
        <is>
          <t>ABR.20/26F - ABR.30/26F - JUN.2/26F - JUL.2/26F - JUL.6/26F - AGO.3/26F - SEP.2/26F</t>
        </is>
      </c>
      <c r="M31" s="9"/>
      <c r="N31" s="9"/>
      <c r="O31" s="8"/>
      <c r="P31" s="8"/>
      <c r="Q31" s="10"/>
      <c r="R31" s="10">
        <f>1000000+1120000</f>
      </c>
      <c r="S31" s="10"/>
      <c r="T31" s="10">
        <v>1120000</v>
      </c>
      <c r="U31" s="10">
        <f>120000+1000000</f>
      </c>
      <c r="V31" s="10">
        <v>1120000</v>
      </c>
      <c r="W31" s="10">
        <v>1120000</v>
      </c>
      <c r="X31" s="9"/>
      <c r="Y31" s="9"/>
      <c r="Z31" s="9"/>
      <c r="AA31" s="9"/>
      <c r="AB31" s="9">
        <f>SUM(M31,N31,Q31,R31,S31,T31,U31,V31,W31,X31,Y31,Z31,AA31)</f>
      </c>
      <c r="AC31" s="9">
        <f>I31-AB31</f>
      </c>
      <c r="AD31" s="9">
        <f>AC31-AE31-AF31-AG31-AH31</f>
      </c>
      <c r="AE31" s="9"/>
      <c r="AF31" s="9"/>
      <c r="AG31" s="9"/>
      <c r="AH31" s="9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9"/>
      <c r="AT31" s="9"/>
      <c r="AU31" t="inlineStr" s="8">
        <is>
          <t>34635250373</t>
        </is>
      </c>
      <c r="AV31" t="inlineStr" s="8">
        <is>
          <t>yolienred@gmail.com</t>
        </is>
      </c>
      <c r="AW31" s="8"/>
      <c r="AX31" s="8"/>
    </row>
    <row r="32" ht="12.75" customHeight="1">
      <c r="A32" t="inlineStr" s="8">
        <is>
          <t>002010979166</t>
        </is>
      </c>
      <c r="B32" s="8"/>
      <c r="C32" t="inlineStr" s="8">
        <is>
          <t>308</t>
        </is>
      </c>
      <c r="D32" s="9">
        <v>40.80</v>
      </c>
      <c r="E32" t="inlineStr" s="8">
        <is>
          <t>1099684003</t>
        </is>
      </c>
      <c r="F32" t="inlineStr" s="8">
        <is>
          <t>BENITEZ LONDOÑO KELLY TATIANA</t>
        </is>
      </c>
      <c r="G32" t="inlineStr" s="8">
        <is>
          <t>LOPEZ SUAREZ SEBASTIAN</t>
        </is>
      </c>
      <c r="H32" s="8"/>
      <c r="I32" s="9">
        <v>173000000.00</v>
      </c>
      <c r="J32" s="8"/>
      <c r="K32" t="inlineStr" s="8">
        <is>
          <t>NCR11 - NCR52 - NCR95 - RC201 - RC079 - RC041</t>
        </is>
      </c>
      <c r="L32" t="inlineStr" s="8">
        <is>
          <t>ABR.7/26F - MAY.5/26F - JUN.1/26F - JUL.1/26F - AGO.3/26F - SEP.1/26F</t>
        </is>
      </c>
      <c r="M32" s="9"/>
      <c r="N32" s="9"/>
      <c r="O32" s="8"/>
      <c r="P32" s="8"/>
      <c r="Q32" s="10"/>
      <c r="R32" s="10">
        <v>1000000</v>
      </c>
      <c r="S32" s="10">
        <v>1083800</v>
      </c>
      <c r="T32" s="10">
        <v>1083000</v>
      </c>
      <c r="U32" s="10">
        <v>1083000</v>
      </c>
      <c r="V32" s="10">
        <v>1081000</v>
      </c>
      <c r="W32" s="10">
        <v>1100000</v>
      </c>
      <c r="X32" s="9"/>
      <c r="Y32" s="9"/>
      <c r="Z32" s="9"/>
      <c r="AA32" s="9"/>
      <c r="AB32" s="9">
        <f>SUM(M32,N32,Q32,R32,S32,T32,U32,V32,W32,X32,Y32,Z32,AA32)</f>
      </c>
      <c r="AC32" s="9">
        <f>I32-AB32</f>
      </c>
      <c r="AD32" s="9">
        <f>AC32-AE32-AF32-AG32-AH32</f>
      </c>
      <c r="AE32" s="9"/>
      <c r="AF32" s="9"/>
      <c r="AG32" s="9"/>
      <c r="AH32" s="9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9"/>
      <c r="AT32" s="9"/>
      <c r="AU32" t="inlineStr" s="8">
        <is>
          <t>624072792</t>
        </is>
      </c>
      <c r="AV32" t="inlineStr" s="8">
        <is>
          <t>kellylond2098@outlook.com</t>
        </is>
      </c>
      <c r="AW32" s="8"/>
      <c r="AX32" s="8"/>
    </row>
    <row r="33" ht="12.75" customHeight="1">
      <c r="A33" s="8"/>
      <c r="B33" s="8"/>
      <c r="C33" t="inlineStr" s="8">
        <is>
          <t>309</t>
        </is>
      </c>
      <c r="D33" s="9">
        <v>40.70</v>
      </c>
      <c r="E33" s="8"/>
      <c r="F33" s="8"/>
      <c r="G33" s="8"/>
      <c r="H33" s="8"/>
      <c r="I33" s="9">
        <v>173000000.00</v>
      </c>
      <c r="J33" s="8"/>
      <c r="K33" s="8"/>
      <c r="L33" s="8"/>
      <c r="M33" s="9"/>
      <c r="N33" s="9"/>
      <c r="O33" s="8"/>
      <c r="P33" s="8"/>
      <c r="Q33" s="10"/>
      <c r="R33" s="10"/>
      <c r="S33" s="10"/>
      <c r="T33" s="10"/>
      <c r="U33" s="10"/>
      <c r="V33" s="10"/>
      <c r="W33" s="10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9"/>
      <c r="AT33" s="9"/>
      <c r="AU33" s="8"/>
      <c r="AV33" s="8"/>
      <c r="AW33" s="8"/>
      <c r="AX33" s="8"/>
    </row>
    <row r="34" ht="12.75" customHeight="1">
      <c r="A34" s="8"/>
      <c r="B34" s="8"/>
      <c r="C34" t="inlineStr" s="8">
        <is>
          <t>310</t>
        </is>
      </c>
      <c r="D34" s="9">
        <v>40.70</v>
      </c>
      <c r="E34" s="8"/>
      <c r="F34" s="8"/>
      <c r="G34" s="8"/>
      <c r="H34" s="8"/>
      <c r="I34" s="9">
        <v>173000000.00</v>
      </c>
      <c r="J34" s="8"/>
      <c r="K34" s="8"/>
      <c r="L34" s="8"/>
      <c r="M34" s="9"/>
      <c r="N34" s="9"/>
      <c r="O34" s="8"/>
      <c r="P34" s="8"/>
      <c r="Q34" s="10"/>
      <c r="R34" s="10"/>
      <c r="S34" s="10"/>
      <c r="T34" s="10"/>
      <c r="U34" s="10"/>
      <c r="V34" s="10"/>
      <c r="W34" s="10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9"/>
      <c r="AT34" s="9"/>
      <c r="AU34" s="8"/>
      <c r="AV34" s="8"/>
      <c r="AW34" s="8"/>
      <c r="AX34" s="8"/>
    </row>
    <row r="35" ht="12.75" customHeight="1">
      <c r="A35" s="8"/>
      <c r="B35" s="8"/>
      <c r="C35" t="inlineStr" s="8">
        <is>
          <t>401</t>
        </is>
      </c>
      <c r="D35" s="9">
        <v>41.03</v>
      </c>
      <c r="E35" s="8"/>
      <c r="F35" s="8"/>
      <c r="G35" s="8"/>
      <c r="H35" s="8"/>
      <c r="I35" s="9">
        <v>173000000.00</v>
      </c>
      <c r="J35" s="8"/>
      <c r="K35" s="8"/>
      <c r="L35" s="8"/>
      <c r="M35" s="9"/>
      <c r="N35" s="9"/>
      <c r="O35" s="8"/>
      <c r="P35" s="8"/>
      <c r="Q35" s="10"/>
      <c r="R35" s="10"/>
      <c r="S35" s="10"/>
      <c r="T35" s="10"/>
      <c r="U35" s="10"/>
      <c r="V35" s="10"/>
      <c r="W35" s="10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9"/>
      <c r="AT35" s="9"/>
      <c r="AU35" s="8"/>
      <c r="AV35" s="8"/>
      <c r="AW35" s="8"/>
      <c r="AX35" s="8"/>
    </row>
    <row r="36" ht="12.75" customHeight="1">
      <c r="A36" s="8"/>
      <c r="B36" s="8"/>
      <c r="C36" t="inlineStr" s="8">
        <is>
          <t>402</t>
        </is>
      </c>
      <c r="D36" s="9">
        <v>40.70</v>
      </c>
      <c r="E36" s="8"/>
      <c r="F36" s="8"/>
      <c r="G36" s="8"/>
      <c r="H36" s="8"/>
      <c r="I36" s="9">
        <v>173000000.00</v>
      </c>
      <c r="J36" s="8"/>
      <c r="K36" s="8"/>
      <c r="L36" s="8"/>
      <c r="M36" s="9"/>
      <c r="N36" s="9"/>
      <c r="O36" s="8"/>
      <c r="P36" s="8"/>
      <c r="Q36" s="10"/>
      <c r="R36" s="10"/>
      <c r="S36" s="10"/>
      <c r="T36" s="10"/>
      <c r="U36" s="10"/>
      <c r="V36" s="10"/>
      <c r="W36" s="10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9"/>
      <c r="AT36" s="9"/>
      <c r="AU36" s="8"/>
      <c r="AV36" s="8"/>
      <c r="AW36" s="8"/>
      <c r="AX36" s="8"/>
    </row>
    <row r="37" ht="12.75" customHeight="1">
      <c r="A37" s="8"/>
      <c r="B37" s="8"/>
      <c r="C37" t="inlineStr" s="8">
        <is>
          <t>403</t>
        </is>
      </c>
      <c r="D37" s="9">
        <v>40.70</v>
      </c>
      <c r="E37" s="8"/>
      <c r="F37" s="8"/>
      <c r="G37" s="8"/>
      <c r="H37" s="8"/>
      <c r="I37" s="9">
        <v>173000000.00</v>
      </c>
      <c r="J37" s="8"/>
      <c r="K37" s="8"/>
      <c r="L37" s="8"/>
      <c r="M37" s="9"/>
      <c r="N37" s="9"/>
      <c r="O37" s="8"/>
      <c r="P37" s="8"/>
      <c r="Q37" s="10"/>
      <c r="R37" s="10"/>
      <c r="S37" s="10"/>
      <c r="T37" s="10"/>
      <c r="U37" s="10"/>
      <c r="V37" s="10"/>
      <c r="W37" s="10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9"/>
      <c r="AT37" s="9"/>
      <c r="AU37" s="8"/>
      <c r="AV37" s="8"/>
      <c r="AW37" s="8"/>
      <c r="AX37" s="8"/>
    </row>
    <row r="38" ht="12.75" customHeight="1">
      <c r="A38" t="inlineStr" s="8">
        <is>
          <t>002010979228</t>
        </is>
      </c>
      <c r="B38" s="8"/>
      <c r="C38" t="inlineStr" s="8">
        <is>
          <t>404</t>
        </is>
      </c>
      <c r="D38" s="9">
        <v>40.70</v>
      </c>
      <c r="E38" t="inlineStr" s="8">
        <is>
          <t>41924817</t>
        </is>
      </c>
      <c r="F38" t="inlineStr" s="8">
        <is>
          <t>GARCIA ARDILA MARTA LUCIA</t>
        </is>
      </c>
      <c r="G38" s="8"/>
      <c r="H38" s="8"/>
      <c r="I38" s="9">
        <v>173000000.00</v>
      </c>
      <c r="J38" s="8"/>
      <c r="K38" t="inlineStr" s="8">
        <is>
          <t>NCR65 - NCR143 - RC602 - RC391</t>
        </is>
      </c>
      <c r="L38" t="inlineStr" s="8">
        <is>
          <t>MAY.20/26F - JUN.30/26F - JUL.30/26F - AGO.26/26F</t>
        </is>
      </c>
      <c r="M38" s="9"/>
      <c r="N38" s="9"/>
      <c r="O38" s="8"/>
      <c r="P38" s="8"/>
      <c r="Q38" s="10"/>
      <c r="R38" s="10"/>
      <c r="S38" s="10">
        <v>1000000</v>
      </c>
      <c r="T38" s="10">
        <v>1000000</v>
      </c>
      <c r="U38" s="10">
        <v>1150000</v>
      </c>
      <c r="V38" s="10">
        <v>1150000</v>
      </c>
      <c r="W38" s="10"/>
      <c r="X38" s="9"/>
      <c r="Y38" s="9"/>
      <c r="Z38" s="9"/>
      <c r="AA38" s="9"/>
      <c r="AB38" s="9">
        <f>SUM(M38,N38,Q38,R38,S38,T38,U38,V38,W38,X38,Y38,Z38,AA38)</f>
      </c>
      <c r="AC38" s="9">
        <f>I38-AB38</f>
      </c>
      <c r="AD38" s="9">
        <f>AC38-AE38-AF38-AG38-AH38</f>
      </c>
      <c r="AE38" s="9"/>
      <c r="AF38" s="9"/>
      <c r="AG38" s="9"/>
      <c r="AH38" s="9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9"/>
      <c r="AT38" s="9"/>
      <c r="AU38" t="inlineStr" s="8">
        <is>
          <t>34642701936</t>
        </is>
      </c>
      <c r="AV38" t="inlineStr" s="8">
        <is>
          <t>edahianag@icloud.com</t>
        </is>
      </c>
      <c r="AW38" s="8"/>
      <c r="AX38" s="8"/>
    </row>
    <row r="39" ht="12.75" customHeight="1">
      <c r="A39" t="inlineStr" s="8">
        <is>
          <t>002010979237</t>
        </is>
      </c>
      <c r="B39" s="8"/>
      <c r="C39" t="inlineStr" s="8">
        <is>
          <t>405</t>
        </is>
      </c>
      <c r="D39" s="9">
        <v>40.70</v>
      </c>
      <c r="E39" t="inlineStr" s="8">
        <is>
          <t>79903332</t>
        </is>
      </c>
      <c r="F39" t="inlineStr" s="8">
        <is>
          <t>GONZALEZ MEJIA GIOVANNY</t>
        </is>
      </c>
      <c r="G39" s="8"/>
      <c r="H39" s="8"/>
      <c r="I39" s="9">
        <v>173000000.00</v>
      </c>
      <c r="J39" s="8"/>
      <c r="K39" t="inlineStr" s="8">
        <is>
          <t>NCR5 - NCR9 - NCR57 - NCR107 - RC202 - RC157 - RC168</t>
        </is>
      </c>
      <c r="L39" t="inlineStr" s="8">
        <is>
          <t>MAR.31/26F - ABR.6/26F - MAY.8/26F - JUN.5/26F - JUL.6/26F - AGO.5/26F - SEP.7/26F</t>
        </is>
      </c>
      <c r="M39" s="9"/>
      <c r="N39" s="9"/>
      <c r="O39" s="8"/>
      <c r="P39" s="8"/>
      <c r="Q39" s="10">
        <v>1000000</v>
      </c>
      <c r="R39" s="10">
        <v>1050000</v>
      </c>
      <c r="S39" s="10">
        <v>1050000</v>
      </c>
      <c r="T39" s="10">
        <v>1050000</v>
      </c>
      <c r="U39" s="10">
        <v>1050000</v>
      </c>
      <c r="V39" s="10">
        <v>1050000</v>
      </c>
      <c r="W39" s="10">
        <v>1050000</v>
      </c>
      <c r="X39" s="9"/>
      <c r="Y39" s="9"/>
      <c r="Z39" s="9"/>
      <c r="AA39" s="9"/>
      <c r="AB39" s="9">
        <f>SUM(M39,N39,Q39,R39,S39,T39,U39,V39,W39,X39,Y39,Z39,AA39)</f>
      </c>
      <c r="AC39" s="9">
        <f>I39-AB39</f>
      </c>
      <c r="AD39" s="9">
        <f>AC39-AE39-AF39-AG39-AH39</f>
      </c>
      <c r="AE39" s="9"/>
      <c r="AF39" s="9"/>
      <c r="AG39" s="9"/>
      <c r="AH39" s="9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9"/>
      <c r="AT39" s="9"/>
      <c r="AU39" t="inlineStr" s="8">
        <is>
          <t>3113399349</t>
        </is>
      </c>
      <c r="AV39" t="inlineStr" s="8">
        <is>
          <t>speery46@hotmail.com</t>
        </is>
      </c>
      <c r="AW39" s="8"/>
      <c r="AX39" s="8"/>
    </row>
    <row r="40" ht="12.75" customHeight="1">
      <c r="A40" t="inlineStr" s="8">
        <is>
          <t>002010979246</t>
        </is>
      </c>
      <c r="B40" s="8"/>
      <c r="C40" t="inlineStr" s="8">
        <is>
          <t>406</t>
        </is>
      </c>
      <c r="D40" s="9">
        <v>40.70</v>
      </c>
      <c r="E40" t="inlineStr" s="8">
        <is>
          <t>1014273286</t>
        </is>
      </c>
      <c r="F40" t="inlineStr" s="8">
        <is>
          <t>ARIAS PINZON JOSE MANEL</t>
        </is>
      </c>
      <c r="G40" s="8"/>
      <c r="H40" s="8"/>
      <c r="I40" s="9">
        <v>173000000.00</v>
      </c>
      <c r="J40" s="8"/>
      <c r="K40" t="inlineStr" s="8">
        <is>
          <t>NCR130 - NCR132 - RC608 - RC571</t>
        </is>
      </c>
      <c r="L40" t="inlineStr" s="8">
        <is>
          <t>JUN.1/26F - JUN.26/26F - JUL.30/26F - AGO.31/26F</t>
        </is>
      </c>
      <c r="M40" s="9"/>
      <c r="N40" s="9"/>
      <c r="O40" s="8"/>
      <c r="P40" s="8"/>
      <c r="Q40" s="10"/>
      <c r="R40" s="10"/>
      <c r="S40" s="10"/>
      <c r="T40" s="10">
        <f>1000000+1000000</f>
      </c>
      <c r="U40" s="10">
        <v>1000000</v>
      </c>
      <c r="V40" s="10">
        <v>1000000</v>
      </c>
      <c r="W40" s="10"/>
      <c r="X40" s="9"/>
      <c r="Y40" s="9"/>
      <c r="Z40" s="9"/>
      <c r="AA40" s="9"/>
      <c r="AB40" s="9">
        <f>SUM(M40,N40,Q40,R40,S40,T40,U40,V40,W40,X40,Y40,Z40,AA40)</f>
      </c>
      <c r="AC40" s="9">
        <f>I40-AB40</f>
      </c>
      <c r="AD40" s="9">
        <f>AC40-AE40-AF40-AG40-AH40</f>
      </c>
      <c r="AE40" s="9"/>
      <c r="AF40" s="9"/>
      <c r="AG40" s="9"/>
      <c r="AH40" s="9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9"/>
      <c r="AT40" s="9"/>
      <c r="AU40" t="inlineStr" s="8">
        <is>
          <t>3232206823</t>
        </is>
      </c>
      <c r="AV40" t="inlineStr" s="8">
        <is>
          <t>joseariaspinzon.96@gmail.com</t>
        </is>
      </c>
      <c r="AW40" s="8"/>
      <c r="AX40" s="8"/>
    </row>
    <row r="41" ht="12.75" customHeight="1">
      <c r="A41" s="8"/>
      <c r="B41" s="8"/>
      <c r="C41" t="inlineStr" s="8">
        <is>
          <t>407</t>
        </is>
      </c>
      <c r="D41" s="9">
        <v>40.80</v>
      </c>
      <c r="E41" s="8"/>
      <c r="F41" s="8"/>
      <c r="G41" s="8"/>
      <c r="H41" s="8"/>
      <c r="I41" s="9">
        <v>173000000.00</v>
      </c>
      <c r="J41" s="8"/>
      <c r="K41" s="8"/>
      <c r="L41" s="8"/>
      <c r="M41" s="9"/>
      <c r="N41" s="9"/>
      <c r="O41" s="8"/>
      <c r="P41" s="8"/>
      <c r="Q41" s="10"/>
      <c r="R41" s="10"/>
      <c r="S41" s="10"/>
      <c r="T41" s="10"/>
      <c r="U41" s="10"/>
      <c r="V41" s="10"/>
      <c r="W41" s="10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9"/>
      <c r="AT41" s="9"/>
      <c r="AU41" s="8"/>
      <c r="AV41" s="8"/>
      <c r="AW41" s="8"/>
      <c r="AX41" s="8"/>
    </row>
    <row r="42" ht="12.75" customHeight="1">
      <c r="A42" t="inlineStr" s="8">
        <is>
          <t>002010979264</t>
        </is>
      </c>
      <c r="B42" s="8"/>
      <c r="C42" t="inlineStr" s="8">
        <is>
          <t>408</t>
        </is>
      </c>
      <c r="D42" s="9">
        <v>40.80</v>
      </c>
      <c r="E42" t="inlineStr" s="8">
        <is>
          <t>1062322320</t>
        </is>
      </c>
      <c r="F42" t="inlineStr" s="8">
        <is>
          <t>SANCLEMENTE BALANTA MONICA</t>
        </is>
      </c>
      <c r="G42" s="8"/>
      <c r="H42" s="8"/>
      <c r="I42" s="9">
        <v>173000000.00</v>
      </c>
      <c r="J42" s="8"/>
      <c r="K42" t="inlineStr" s="8">
        <is>
          <t>NCR24 - NCR78 - NCR119 - RC260 - RC323</t>
        </is>
      </c>
      <c r="L42" t="inlineStr" s="8">
        <is>
          <t>ABR.20/26F - MAY.28/26F - JUN.17/26F - JUL.8/26F - AGO.20/26F</t>
        </is>
      </c>
      <c r="M42" s="9"/>
      <c r="N42" s="9"/>
      <c r="O42" s="8"/>
      <c r="P42" s="8"/>
      <c r="Q42" s="10"/>
      <c r="R42" s="10">
        <v>1000000</v>
      </c>
      <c r="S42" s="10">
        <v>10800000</v>
      </c>
      <c r="T42" s="10">
        <v>760000</v>
      </c>
      <c r="U42" s="10">
        <v>760000</v>
      </c>
      <c r="V42" s="10">
        <v>760000</v>
      </c>
      <c r="W42" s="10"/>
      <c r="X42" s="9"/>
      <c r="Y42" s="9"/>
      <c r="Z42" s="9"/>
      <c r="AA42" s="9"/>
      <c r="AB42" s="9">
        <f>SUM(M42,N42,Q42,R42,S42,T42,U42,V42,W42,X42,Y42,Z42,AA42)</f>
      </c>
      <c r="AC42" s="9">
        <f>I42-AB42</f>
      </c>
      <c r="AD42" s="9">
        <f>AC42-AE42-AF42-AG42-AH42</f>
      </c>
      <c r="AE42" s="9"/>
      <c r="AF42" s="9"/>
      <c r="AG42" s="9"/>
      <c r="AH42" s="9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9"/>
      <c r="AT42" s="9"/>
      <c r="AU42" t="inlineStr" s="8">
        <is>
          <t>3145104836</t>
        </is>
      </c>
      <c r="AV42" t="inlineStr" s="8">
        <is>
          <t>monicasancle18@gmail.com</t>
        </is>
      </c>
      <c r="AW42" s="8"/>
      <c r="AX42" s="8"/>
    </row>
    <row r="43" ht="12.75" customHeight="1">
      <c r="A43" s="8"/>
      <c r="B43" s="8"/>
      <c r="C43" t="inlineStr" s="8">
        <is>
          <t>409</t>
        </is>
      </c>
      <c r="D43" s="9">
        <v>40.70</v>
      </c>
      <c r="E43" s="8"/>
      <c r="F43" s="8"/>
      <c r="G43" s="8"/>
      <c r="H43" s="8"/>
      <c r="I43" s="9">
        <v>173000000.00</v>
      </c>
      <c r="J43" s="8"/>
      <c r="K43" s="8"/>
      <c r="L43" s="8"/>
      <c r="M43" s="9"/>
      <c r="N43" s="9"/>
      <c r="O43" s="8"/>
      <c r="P43" s="8"/>
      <c r="Q43" s="10"/>
      <c r="R43" s="10"/>
      <c r="S43" s="10"/>
      <c r="T43" s="10"/>
      <c r="U43" s="10"/>
      <c r="V43" s="10"/>
      <c r="W43" s="10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9"/>
      <c r="AT43" s="9"/>
      <c r="AU43" s="8"/>
      <c r="AV43" s="8"/>
      <c r="AW43" s="8"/>
      <c r="AX43" s="8"/>
    </row>
    <row r="44" ht="12.75" customHeight="1">
      <c r="A44" s="8"/>
      <c r="B44" s="8"/>
      <c r="C44" t="inlineStr" s="8">
        <is>
          <t>410</t>
        </is>
      </c>
      <c r="D44" s="9">
        <v>40.70</v>
      </c>
      <c r="E44" s="8"/>
      <c r="F44" s="8"/>
      <c r="G44" s="8"/>
      <c r="H44" s="8"/>
      <c r="I44" s="9">
        <v>173000000.00</v>
      </c>
      <c r="J44" s="8"/>
      <c r="K44" s="8"/>
      <c r="L44" s="8"/>
      <c r="M44" s="9"/>
      <c r="N44" s="9"/>
      <c r="O44" s="8"/>
      <c r="P44" s="8"/>
      <c r="Q44" s="10"/>
      <c r="R44" s="10"/>
      <c r="S44" s="10"/>
      <c r="T44" s="10"/>
      <c r="U44" s="10"/>
      <c r="V44" s="10"/>
      <c r="W44" s="10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9"/>
      <c r="AT44" s="9"/>
      <c r="AU44" s="8"/>
      <c r="AV44" s="8"/>
      <c r="AW44" s="8"/>
      <c r="AX44" s="8"/>
    </row>
    <row r="45" ht="12.75" customHeight="1">
      <c r="A45" s="8"/>
      <c r="B45" s="8"/>
      <c r="C45" t="inlineStr" s="8">
        <is>
          <t>501</t>
        </is>
      </c>
      <c r="D45" s="9">
        <v>41.03</v>
      </c>
      <c r="E45" s="8"/>
      <c r="F45" s="8"/>
      <c r="G45" s="8"/>
      <c r="H45" s="8"/>
      <c r="I45" s="9">
        <v>173000000.00</v>
      </c>
      <c r="J45" s="8"/>
      <c r="K45" s="8"/>
      <c r="L45" s="8"/>
      <c r="M45" s="9"/>
      <c r="N45" s="9"/>
      <c r="O45" s="8"/>
      <c r="P45" s="8"/>
      <c r="Q45" s="10"/>
      <c r="R45" s="10"/>
      <c r="S45" s="10"/>
      <c r="T45" s="10"/>
      <c r="U45" s="10"/>
      <c r="V45" s="10"/>
      <c r="W45" s="10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9"/>
      <c r="AT45" s="9"/>
      <c r="AU45" s="8"/>
      <c r="AV45" s="8"/>
      <c r="AW45" s="8"/>
      <c r="AX45" s="8"/>
    </row>
    <row r="46" ht="12.75" customHeight="1">
      <c r="A46" s="8"/>
      <c r="B46" s="8"/>
      <c r="C46" t="inlineStr" s="8">
        <is>
          <t>502</t>
        </is>
      </c>
      <c r="D46" s="9">
        <v>40.70</v>
      </c>
      <c r="E46" s="8"/>
      <c r="F46" s="8"/>
      <c r="G46" s="8"/>
      <c r="H46" s="8"/>
      <c r="I46" s="9">
        <v>173000000.00</v>
      </c>
      <c r="J46" s="8"/>
      <c r="K46" s="8"/>
      <c r="L46" s="8"/>
      <c r="M46" s="9"/>
      <c r="N46" s="9"/>
      <c r="O46" s="8"/>
      <c r="P46" s="8"/>
      <c r="Q46" s="10"/>
      <c r="R46" s="10"/>
      <c r="S46" s="10"/>
      <c r="T46" s="10"/>
      <c r="U46" s="10"/>
      <c r="V46" s="10"/>
      <c r="W46" s="10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9"/>
      <c r="AT46" s="9"/>
      <c r="AU46" s="8"/>
      <c r="AV46" s="8"/>
      <c r="AW46" s="8"/>
      <c r="AX46" s="8"/>
    </row>
    <row r="47" ht="12.75" customHeight="1">
      <c r="A47" s="8"/>
      <c r="B47" s="8"/>
      <c r="C47" t="inlineStr" s="8">
        <is>
          <t>503</t>
        </is>
      </c>
      <c r="D47" s="9">
        <v>40.70</v>
      </c>
      <c r="E47" s="8"/>
      <c r="F47" s="8"/>
      <c r="G47" s="8"/>
      <c r="H47" s="8"/>
      <c r="I47" s="9">
        <v>173000000.00</v>
      </c>
      <c r="J47" s="8"/>
      <c r="K47" s="8"/>
      <c r="L47" s="8"/>
      <c r="M47" s="9"/>
      <c r="N47" s="9"/>
      <c r="O47" s="8"/>
      <c r="P47" s="8"/>
      <c r="Q47" s="10"/>
      <c r="R47" s="10"/>
      <c r="S47" s="10"/>
      <c r="T47" s="10"/>
      <c r="U47" s="10"/>
      <c r="V47" s="10"/>
      <c r="W47" s="10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9"/>
      <c r="AT47" s="9"/>
      <c r="AU47" s="8"/>
      <c r="AV47" s="8"/>
      <c r="AW47" s="8"/>
      <c r="AX47" s="8"/>
    </row>
    <row r="48" ht="12.75" customHeight="1">
      <c r="A48" t="inlineStr" s="8">
        <is>
          <t>002010979326</t>
        </is>
      </c>
      <c r="B48" s="8"/>
      <c r="C48" t="inlineStr" s="8">
        <is>
          <t>504</t>
        </is>
      </c>
      <c r="D48" s="9">
        <v>40.70</v>
      </c>
      <c r="E48" t="inlineStr" s="8">
        <is>
          <t>1094936412</t>
        </is>
      </c>
      <c r="F48" t="inlineStr" s="8">
        <is>
          <t>CARDONA MARIN PAULA ANDREA</t>
        </is>
      </c>
      <c r="G48" s="8"/>
      <c r="H48" s="8"/>
      <c r="I48" s="9">
        <v>173000000.00</v>
      </c>
      <c r="J48" s="8"/>
      <c r="K48" t="inlineStr" s="8">
        <is>
          <t>NCR56 - NCR115 - RC373 - RC288</t>
        </is>
      </c>
      <c r="L48" t="inlineStr" s="8">
        <is>
          <t>MAY.7/26F - JUN.16/26F - JUL.17/26F - AGO.18/26F</t>
        </is>
      </c>
      <c r="M48" s="9"/>
      <c r="N48" s="9"/>
      <c r="O48" s="8"/>
      <c r="P48" s="8"/>
      <c r="Q48" s="10"/>
      <c r="R48" s="10"/>
      <c r="S48" s="10">
        <v>1000000</v>
      </c>
      <c r="T48" s="10">
        <v>540000</v>
      </c>
      <c r="U48" s="10">
        <v>540000</v>
      </c>
      <c r="V48" s="10">
        <v>540000</v>
      </c>
      <c r="W48" s="10"/>
      <c r="X48" s="9"/>
      <c r="Y48" s="9"/>
      <c r="Z48" s="9"/>
      <c r="AA48" s="9"/>
      <c r="AB48" s="9">
        <f>SUM(M48,N48,Q48,R48,S48,T48,U48,V48,W48,X48,Y48,Z48,AA48)</f>
      </c>
      <c r="AC48" s="9">
        <f>I48-AB48</f>
      </c>
      <c r="AD48" s="9">
        <f>AC48-AE48-AF48-AG48-AH48</f>
      </c>
      <c r="AE48" s="9"/>
      <c r="AF48" s="9"/>
      <c r="AG48" s="9"/>
      <c r="AH48" s="9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9"/>
      <c r="AT48" s="9"/>
      <c r="AU48" t="inlineStr" s="8">
        <is>
          <t>3142667328</t>
        </is>
      </c>
      <c r="AV48" t="inlineStr" s="8">
        <is>
          <t>pcardona.1215@gmail.com</t>
        </is>
      </c>
      <c r="AW48" s="8"/>
      <c r="AX48" s="8"/>
    </row>
    <row r="49" ht="12.75" customHeight="1">
      <c r="A49" t="inlineStr" s="8">
        <is>
          <t>002010979335</t>
        </is>
      </c>
      <c r="B49" s="8"/>
      <c r="C49" t="inlineStr" s="8">
        <is>
          <t>505</t>
        </is>
      </c>
      <c r="D49" s="9">
        <v>40.70</v>
      </c>
      <c r="E49" t="inlineStr" s="8">
        <is>
          <t>1005096364</t>
        </is>
      </c>
      <c r="F49" t="inlineStr" s="8">
        <is>
          <t>OSORIO RAMIREZ CRISTIAN CAMILO</t>
        </is>
      </c>
      <c r="G49" s="8"/>
      <c r="H49" s="8"/>
      <c r="I49" s="9">
        <v>173000000.00</v>
      </c>
      <c r="J49" s="8"/>
      <c r="K49" t="inlineStr" s="8">
        <is>
          <t>NCR74 - NCR114 - RC402 - RC156 - RC112</t>
        </is>
      </c>
      <c r="L49" t="inlineStr" s="8">
        <is>
          <t>MAY.26/26F - JUN.16/26F - JUL.21/26F - AGO.5/26F - SEP.3/26F</t>
        </is>
      </c>
      <c r="M49" s="9"/>
      <c r="N49" s="9"/>
      <c r="O49" s="8"/>
      <c r="P49" s="8"/>
      <c r="Q49" s="10"/>
      <c r="R49" s="10"/>
      <c r="S49" s="10">
        <v>1114805</v>
      </c>
      <c r="T49" s="10">
        <v>800000</v>
      </c>
      <c r="U49" s="10">
        <v>685195</v>
      </c>
      <c r="V49" s="10">
        <v>800000</v>
      </c>
      <c r="W49" s="10">
        <v>800000</v>
      </c>
      <c r="X49" s="9"/>
      <c r="Y49" s="9"/>
      <c r="Z49" s="9"/>
      <c r="AA49" s="9"/>
      <c r="AB49" s="9">
        <f>SUM(M49,N49,Q49,R49,S49,T49,U49,V49,W49,X49,Y49,Z49,AA49)</f>
      </c>
      <c r="AC49" s="9">
        <f>I49-AB49</f>
      </c>
      <c r="AD49" s="9">
        <f>AC49-AE49-AF49-AG49-AH49</f>
      </c>
      <c r="AE49" s="9"/>
      <c r="AF49" s="9"/>
      <c r="AG49" s="9"/>
      <c r="AH49" s="9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9"/>
      <c r="AT49" s="9"/>
      <c r="AU49" t="inlineStr" s="8">
        <is>
          <t>34607672753</t>
        </is>
      </c>
      <c r="AV49" t="inlineStr" s="8">
        <is>
          <t>cris300oso@gmail.com</t>
        </is>
      </c>
      <c r="AW49" s="8"/>
      <c r="AX49" s="8"/>
    </row>
    <row r="50" ht="12.75" customHeight="1">
      <c r="A50" t="inlineStr" s="8">
        <is>
          <t>002010979344</t>
        </is>
      </c>
      <c r="B50" s="8"/>
      <c r="C50" t="inlineStr" s="8">
        <is>
          <t>506</t>
        </is>
      </c>
      <c r="D50" s="9">
        <v>40.70</v>
      </c>
      <c r="E50" t="inlineStr" s="8">
        <is>
          <t>1094910206</t>
        </is>
      </c>
      <c r="F50" t="inlineStr" s="8">
        <is>
          <t>VILLADA ALVAREZ KATHERINE</t>
        </is>
      </c>
      <c r="G50" s="8"/>
      <c r="H50" s="8"/>
      <c r="I50" s="9">
        <v>173000000.00</v>
      </c>
      <c r="J50" s="8"/>
      <c r="K50" t="inlineStr" s="8">
        <is>
          <t>NCR120 - RC203 - RC080 - RC137</t>
        </is>
      </c>
      <c r="L50" t="inlineStr" s="8">
        <is>
          <t>JUN.17/26F - JUL.3/26F - AGO.3/26F - SEP.4/26F</t>
        </is>
      </c>
      <c r="M50" s="9"/>
      <c r="N50" s="9"/>
      <c r="O50" s="8"/>
      <c r="P50" s="8"/>
      <c r="Q50" s="10"/>
      <c r="R50" s="10"/>
      <c r="S50" s="10"/>
      <c r="T50" s="10">
        <v>1000000</v>
      </c>
      <c r="U50" s="10">
        <v>1200000</v>
      </c>
      <c r="V50" s="10">
        <v>1200000</v>
      </c>
      <c r="W50" s="10">
        <v>1200000</v>
      </c>
      <c r="X50" s="9"/>
      <c r="Y50" s="9"/>
      <c r="Z50" s="9"/>
      <c r="AA50" s="9"/>
      <c r="AB50" s="9">
        <f>SUM(M50,N50,Q50,R50,S50,T50,U50,V50,W50,X50,Y50,Z50,AA50)</f>
      </c>
      <c r="AC50" s="9">
        <f>I50-AB50</f>
      </c>
      <c r="AD50" s="9">
        <f>AC50-AE50-AF50-AG50-AH50</f>
      </c>
      <c r="AE50" s="9"/>
      <c r="AF50" s="9"/>
      <c r="AG50" s="9"/>
      <c r="AH50" s="9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9"/>
      <c r="AT50" s="9"/>
      <c r="AU50" t="inlineStr" s="8">
        <is>
          <t>3128420740</t>
        </is>
      </c>
      <c r="AV50" t="inlineStr" s="8">
        <is>
          <t>jkvillada7@gmail.com</t>
        </is>
      </c>
      <c r="AW50" s="8"/>
      <c r="AX50" s="8"/>
    </row>
    <row r="51" ht="12.75" customHeight="1">
      <c r="A51" t="inlineStr" s="8">
        <is>
          <t>002010979353</t>
        </is>
      </c>
      <c r="B51" s="8"/>
      <c r="C51" t="inlineStr" s="8">
        <is>
          <t>507</t>
        </is>
      </c>
      <c r="D51" s="9">
        <v>40.80</v>
      </c>
      <c r="E51" t="inlineStr" s="8">
        <is>
          <t>1094949462</t>
        </is>
      </c>
      <c r="F51" t="inlineStr" s="8">
        <is>
          <t>CASAS RODRIGUEZ JUAN JOSE</t>
        </is>
      </c>
      <c r="G51" s="8"/>
      <c r="H51" s="8"/>
      <c r="I51" s="9">
        <v>173000000.00</v>
      </c>
      <c r="J51" s="8"/>
      <c r="K51" t="inlineStr" s="8">
        <is>
          <t>NCR16 - NCR86 - NCR148 - RC607 - RC572</t>
        </is>
      </c>
      <c r="L51" t="inlineStr" s="8">
        <is>
          <t>ABR.15/26F - MAY.29/26F - JUN.30/26F - JUL.30/26F - AGO.31/26F</t>
        </is>
      </c>
      <c r="M51" s="9"/>
      <c r="N51" s="9"/>
      <c r="O51" s="8"/>
      <c r="P51" s="8"/>
      <c r="Q51" s="10"/>
      <c r="R51" s="10">
        <v>1000000</v>
      </c>
      <c r="S51" s="10">
        <v>1120000</v>
      </c>
      <c r="T51" s="10">
        <v>1120000</v>
      </c>
      <c r="U51" s="10">
        <v>1120090</v>
      </c>
      <c r="V51" s="10">
        <v>1120000</v>
      </c>
      <c r="W51" s="10"/>
      <c r="X51" s="9"/>
      <c r="Y51" s="9"/>
      <c r="Z51" s="9"/>
      <c r="AA51" s="9"/>
      <c r="AB51" s="9">
        <f>SUM(M51,N51,Q51,R51,S51,T51,U51,V51,W51,X51,Y51,Z51,AA51)</f>
      </c>
      <c r="AC51" s="9">
        <f>I51-AB51</f>
      </c>
      <c r="AD51" s="9">
        <f>AC51-AE51-AF51-AG51-AH51</f>
      </c>
      <c r="AE51" s="9"/>
      <c r="AF51" s="9"/>
      <c r="AG51" s="9"/>
      <c r="AH51" s="9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9"/>
      <c r="AT51" s="9"/>
      <c r="AU51" t="inlineStr" s="8">
        <is>
          <t>3204361294</t>
        </is>
      </c>
      <c r="AV51" t="inlineStr" s="8">
        <is>
          <t>juanjo95@outlook.com.ar</t>
        </is>
      </c>
      <c r="AW51" s="8"/>
      <c r="AX51" s="8"/>
    </row>
    <row r="52" ht="12.75" customHeight="1">
      <c r="A52" t="inlineStr" s="8">
        <is>
          <t>002010979362</t>
        </is>
      </c>
      <c r="B52" s="8"/>
      <c r="C52" t="inlineStr" s="8">
        <is>
          <t>508</t>
        </is>
      </c>
      <c r="D52" s="9">
        <v>40.80</v>
      </c>
      <c r="E52" t="inlineStr" s="8">
        <is>
          <t>1004995634</t>
        </is>
      </c>
      <c r="F52" t="inlineStr" s="8">
        <is>
          <t>GRAJALES JIMENEZ ANGIE PAOLA</t>
        </is>
      </c>
      <c r="G52" s="8"/>
      <c r="H52" s="8"/>
      <c r="I52" s="9">
        <v>173000000.00</v>
      </c>
      <c r="J52" s="8"/>
      <c r="K52" t="inlineStr" s="8">
        <is>
          <t>NCR69 - NCR150 - RC573</t>
        </is>
      </c>
      <c r="L52" t="inlineStr" s="8">
        <is>
          <t>MAY.21/26F - JUN.30/26F - AGO.31/26F</t>
        </is>
      </c>
      <c r="M52" s="9"/>
      <c r="N52" s="9"/>
      <c r="O52" s="8"/>
      <c r="P52" s="8"/>
      <c r="Q52" s="10"/>
      <c r="R52" s="10"/>
      <c r="S52" s="10">
        <v>2000000</v>
      </c>
      <c r="T52" s="10">
        <v>1200000</v>
      </c>
      <c r="U52" s="10"/>
      <c r="V52" s="10">
        <v>1200000</v>
      </c>
      <c r="W52" s="10"/>
      <c r="X52" s="9"/>
      <c r="Y52" s="9"/>
      <c r="Z52" s="9"/>
      <c r="AA52" s="9"/>
      <c r="AB52" s="9">
        <f>SUM(M52,N52,Q52,R52,S52,T52,U52,V52,W52,X52,Y52,Z52,AA52)</f>
      </c>
      <c r="AC52" s="9">
        <f>I52-AB52</f>
      </c>
      <c r="AD52" s="9">
        <f>AC52-AE52-AF52-AG52-AH52</f>
      </c>
      <c r="AE52" s="9"/>
      <c r="AF52" s="9"/>
      <c r="AG52" s="9"/>
      <c r="AH52" s="9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9"/>
      <c r="AT52" s="9"/>
      <c r="AU52" t="inlineStr" s="8">
        <is>
          <t>19088803832</t>
        </is>
      </c>
      <c r="AV52" t="inlineStr" s="8">
        <is>
          <t>angie.grajales09@gmail.com</t>
        </is>
      </c>
      <c r="AW52" s="8"/>
      <c r="AX52" s="8"/>
    </row>
    <row r="53" ht="12.75" customHeight="1">
      <c r="A53" s="8"/>
      <c r="B53" s="8"/>
      <c r="C53" t="inlineStr" s="8">
        <is>
          <t>509</t>
        </is>
      </c>
      <c r="D53" s="9">
        <v>40.70</v>
      </c>
      <c r="E53" s="8"/>
      <c r="F53" s="8"/>
      <c r="G53" s="8"/>
      <c r="H53" s="8"/>
      <c r="I53" s="9">
        <v>173000000.00</v>
      </c>
      <c r="J53" s="8"/>
      <c r="K53" s="8"/>
      <c r="L53" s="8"/>
      <c r="M53" s="9"/>
      <c r="N53" s="9"/>
      <c r="O53" s="8"/>
      <c r="P53" s="8"/>
      <c r="Q53" s="10"/>
      <c r="R53" s="10"/>
      <c r="S53" s="10"/>
      <c r="T53" s="10"/>
      <c r="U53" s="10"/>
      <c r="V53" s="10"/>
      <c r="W53" s="10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9"/>
      <c r="AT53" s="9"/>
      <c r="AU53" s="8"/>
      <c r="AV53" s="8"/>
      <c r="AW53" s="8"/>
      <c r="AX53" s="8"/>
    </row>
    <row r="54" ht="12.75" customHeight="1">
      <c r="A54" s="8"/>
      <c r="B54" s="8"/>
      <c r="C54" t="inlineStr" s="8">
        <is>
          <t>510</t>
        </is>
      </c>
      <c r="D54" s="9">
        <v>40.70</v>
      </c>
      <c r="E54" s="8"/>
      <c r="F54" s="8"/>
      <c r="G54" s="8"/>
      <c r="H54" s="8"/>
      <c r="I54" s="9">
        <v>173000000.00</v>
      </c>
      <c r="J54" s="8"/>
      <c r="K54" s="8"/>
      <c r="L54" s="8"/>
      <c r="M54" s="9"/>
      <c r="N54" s="9"/>
      <c r="O54" s="8"/>
      <c r="P54" s="8"/>
      <c r="Q54" s="10"/>
      <c r="R54" s="10"/>
      <c r="S54" s="10"/>
      <c r="T54" s="10"/>
      <c r="U54" s="10"/>
      <c r="V54" s="10"/>
      <c r="W54" s="10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9"/>
      <c r="AT54" s="9"/>
      <c r="AU54" s="8"/>
      <c r="AV54" s="8"/>
      <c r="AW54" s="8"/>
      <c r="AX54" s="8"/>
    </row>
    <row r="55" ht="12.75" customHeight="1">
      <c r="A55" t="inlineStr" s="8">
        <is>
          <t>002010979399</t>
        </is>
      </c>
      <c r="B55" s="8"/>
      <c r="C55" t="inlineStr" s="8">
        <is>
          <t>601</t>
        </is>
      </c>
      <c r="D55" s="9">
        <v>41.03</v>
      </c>
      <c r="E55" t="inlineStr" s="8">
        <is>
          <t>1011089383</t>
        </is>
      </c>
      <c r="F55" t="inlineStr" s="8">
        <is>
          <t>PARRA MONTAÑO YAIR ALBERTO</t>
        </is>
      </c>
      <c r="G55" t="inlineStr" s="8">
        <is>
          <t>PEREZ CAMARGO KAREN DAYANA</t>
        </is>
      </c>
      <c r="H55" s="8"/>
      <c r="I55" s="9">
        <v>173000000.00</v>
      </c>
      <c r="J55" s="8"/>
      <c r="K55" t="inlineStr" s="8">
        <is>
          <t>RC285</t>
        </is>
      </c>
      <c r="L55" t="inlineStr" s="8">
        <is>
          <t>AGO.18/26F</t>
        </is>
      </c>
      <c r="M55" s="9"/>
      <c r="N55" s="9"/>
      <c r="O55" s="8"/>
      <c r="P55" s="8"/>
      <c r="Q55" s="10"/>
      <c r="R55" s="10"/>
      <c r="S55" s="10"/>
      <c r="T55" s="10"/>
      <c r="U55" s="10"/>
      <c r="V55" s="10">
        <v>1000000</v>
      </c>
      <c r="W55" s="10"/>
      <c r="X55" s="9"/>
      <c r="Y55" s="9"/>
      <c r="Z55" s="9"/>
      <c r="AA55" s="9"/>
      <c r="AB55" s="9">
        <f>SUM(M55,N55,Q55,R55,S55,T55,U55,V55,W55,X55,Y55,Z55,AA55)</f>
      </c>
      <c r="AC55" s="9">
        <f>I55-AB55</f>
      </c>
      <c r="AD55" s="9">
        <f>AC55-AE55-AF55-AG55-AH55</f>
      </c>
      <c r="AE55" s="9"/>
      <c r="AF55" s="9"/>
      <c r="AG55" s="9"/>
      <c r="AH55" s="9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9"/>
      <c r="AT55" s="9"/>
      <c r="AU55" t="inlineStr" s="8">
        <is>
          <t>3152877875</t>
        </is>
      </c>
      <c r="AV55" t="inlineStr" s="8">
        <is>
          <t>yair13parra@gmail.com</t>
        </is>
      </c>
      <c r="AW55" s="8"/>
      <c r="AX55" s="8"/>
    </row>
    <row r="56" ht="12.75" customHeight="1">
      <c r="A56" s="8"/>
      <c r="B56" s="8"/>
      <c r="C56" t="inlineStr" s="8">
        <is>
          <t>602</t>
        </is>
      </c>
      <c r="D56" s="9">
        <v>40.70</v>
      </c>
      <c r="E56" s="8"/>
      <c r="F56" s="8"/>
      <c r="G56" s="8"/>
      <c r="H56" s="8"/>
      <c r="I56" s="9">
        <v>173000000.00</v>
      </c>
      <c r="J56" s="8"/>
      <c r="K56" s="8"/>
      <c r="L56" s="8"/>
      <c r="M56" s="9"/>
      <c r="N56" s="9"/>
      <c r="O56" s="8"/>
      <c r="P56" s="8"/>
      <c r="Q56" s="10"/>
      <c r="R56" s="10"/>
      <c r="S56" s="10"/>
      <c r="T56" s="10"/>
      <c r="U56" s="10"/>
      <c r="V56" s="10"/>
      <c r="W56" s="10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9"/>
      <c r="AT56" s="9"/>
      <c r="AU56" s="8"/>
      <c r="AV56" s="8"/>
      <c r="AW56" s="8"/>
      <c r="AX56" s="8"/>
    </row>
    <row r="57" ht="12.75" customHeight="1">
      <c r="A57" s="8"/>
      <c r="B57" s="8"/>
      <c r="C57" t="inlineStr" s="8">
        <is>
          <t>603</t>
        </is>
      </c>
      <c r="D57" s="9">
        <v>40.70</v>
      </c>
      <c r="E57" s="8"/>
      <c r="F57" s="8"/>
      <c r="G57" s="8"/>
      <c r="H57" s="8"/>
      <c r="I57" s="9">
        <v>173000000.00</v>
      </c>
      <c r="J57" s="8"/>
      <c r="K57" s="8"/>
      <c r="L57" s="8"/>
      <c r="M57" s="9"/>
      <c r="N57" s="9"/>
      <c r="O57" s="8"/>
      <c r="P57" s="8"/>
      <c r="Q57" s="10"/>
      <c r="R57" s="10"/>
      <c r="S57" s="10"/>
      <c r="T57" s="10"/>
      <c r="U57" s="10"/>
      <c r="V57" s="10"/>
      <c r="W57" s="10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9"/>
      <c r="AT57" s="9"/>
      <c r="AU57" s="8"/>
      <c r="AV57" s="8"/>
      <c r="AW57" s="8"/>
      <c r="AX57" s="8"/>
    </row>
    <row r="58" ht="12.75" customHeight="1">
      <c r="A58" t="inlineStr" s="8">
        <is>
          <t>002010979424</t>
        </is>
      </c>
      <c r="B58" s="8"/>
      <c r="C58" t="inlineStr" s="8">
        <is>
          <t>604</t>
        </is>
      </c>
      <c r="D58" s="9">
        <v>40.70</v>
      </c>
      <c r="E58" t="inlineStr" s="8">
        <is>
          <t>41939455</t>
        </is>
      </c>
      <c r="F58" t="inlineStr" s="8">
        <is>
          <t>LLANOS SANDRA MILENA</t>
        </is>
      </c>
      <c r="G58" s="8"/>
      <c r="H58" s="8"/>
      <c r="I58" s="9">
        <v>173000000.00</v>
      </c>
      <c r="J58" s="8"/>
      <c r="K58" t="inlineStr" s="8">
        <is>
          <t>NCR21 - NCR66 - NCR126 - RC446 - RC337</t>
        </is>
      </c>
      <c r="L58" t="inlineStr" s="8">
        <is>
          <t>ABR.17/26F - MAY.20/26F - JUN.19/26F - JUL.24/26F - AGO.21/26F</t>
        </is>
      </c>
      <c r="M58" s="9"/>
      <c r="N58" s="9"/>
      <c r="O58" s="8"/>
      <c r="P58" s="8"/>
      <c r="Q58" s="10"/>
      <c r="R58" s="10">
        <v>1000000</v>
      </c>
      <c r="S58" s="10">
        <v>800000</v>
      </c>
      <c r="T58" s="10">
        <v>800000</v>
      </c>
      <c r="U58" s="10">
        <v>800000</v>
      </c>
      <c r="V58" s="10">
        <v>800000</v>
      </c>
      <c r="W58" s="10"/>
      <c r="X58" s="9"/>
      <c r="Y58" s="9"/>
      <c r="Z58" s="9"/>
      <c r="AA58" s="9"/>
      <c r="AB58" s="9">
        <f>SUM(M58,N58,Q58,R58,S58,T58,U58,V58,W58,X58,Y58,Z58,AA58)</f>
      </c>
      <c r="AC58" s="9">
        <f>I58-AB58</f>
      </c>
      <c r="AD58" s="9">
        <f>AC58-AE58-AF58-AG58-AH58</f>
      </c>
      <c r="AE58" s="9"/>
      <c r="AF58" s="9"/>
      <c r="AG58" s="9"/>
      <c r="AH58" s="9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9"/>
      <c r="AT58" s="9"/>
      <c r="AU58" t="inlineStr" s="8">
        <is>
          <t>3162580504</t>
        </is>
      </c>
      <c r="AV58" t="inlineStr" s="8">
        <is>
          <t>sandrallanos884@gmail.com</t>
        </is>
      </c>
      <c r="AW58" s="8"/>
      <c r="AX58" s="8"/>
    </row>
    <row r="59" ht="12.75" customHeight="1">
      <c r="A59" t="inlineStr" s="8">
        <is>
          <t>002010979433</t>
        </is>
      </c>
      <c r="B59" s="8"/>
      <c r="C59" t="inlineStr" s="8">
        <is>
          <t>605</t>
        </is>
      </c>
      <c r="D59" s="9">
        <v>40.70</v>
      </c>
      <c r="E59" t="inlineStr" s="8">
        <is>
          <t>52915208</t>
        </is>
      </c>
      <c r="F59" t="inlineStr" s="8">
        <is>
          <t>GOMEZ REINA ANDREA CAROLINA</t>
        </is>
      </c>
      <c r="G59" s="8"/>
      <c r="H59" s="8"/>
      <c r="I59" s="9">
        <v>173000000.00</v>
      </c>
      <c r="J59" s="8"/>
      <c r="K59" t="inlineStr" s="8">
        <is>
          <t>RC354</t>
        </is>
      </c>
      <c r="L59" t="inlineStr" s="8">
        <is>
          <t>AGO.24/26F</t>
        </is>
      </c>
      <c r="M59" s="9"/>
      <c r="N59" s="9"/>
      <c r="O59" s="8"/>
      <c r="P59" s="8"/>
      <c r="Q59" s="10"/>
      <c r="R59" s="10"/>
      <c r="S59" s="10"/>
      <c r="T59" s="10"/>
      <c r="U59" s="10"/>
      <c r="V59" s="10">
        <v>1000000</v>
      </c>
      <c r="W59" s="10"/>
      <c r="X59" s="9"/>
      <c r="Y59" s="9"/>
      <c r="Z59" s="9"/>
      <c r="AA59" s="9"/>
      <c r="AB59" s="9">
        <f>SUM(M59,N59,Q59,R59,S59,T59,U59,V59,W59,X59,Y59,Z59,AA59)</f>
      </c>
      <c r="AC59" s="9">
        <f>I59-AB59</f>
      </c>
      <c r="AD59" s="9">
        <f>AC59-AE59-AF59-AG59-AH59</f>
      </c>
      <c r="AE59" s="9"/>
      <c r="AF59" s="9"/>
      <c r="AG59" s="9"/>
      <c r="AH59" s="9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9"/>
      <c r="AT59" s="9"/>
      <c r="AU59" t="inlineStr" s="8">
        <is>
          <t>16787328330</t>
        </is>
      </c>
      <c r="AV59" t="inlineStr" s="8">
        <is>
          <t>andcaro84@gmail.com</t>
        </is>
      </c>
      <c r="AW59" s="8"/>
      <c r="AX59" s="8"/>
    </row>
    <row r="60" ht="12.75" customHeight="1">
      <c r="A60" t="inlineStr" s="8">
        <is>
          <t>002010979442</t>
        </is>
      </c>
      <c r="B60" s="8"/>
      <c r="C60" t="inlineStr" s="8">
        <is>
          <t>606</t>
        </is>
      </c>
      <c r="D60" s="9">
        <v>40.70</v>
      </c>
      <c r="E60" t="inlineStr" s="8">
        <is>
          <t>1094976461</t>
        </is>
      </c>
      <c r="F60" t="inlineStr" s="8">
        <is>
          <t>QUINTERO OVALLE LAURA VALENTINA</t>
        </is>
      </c>
      <c r="G60" s="8"/>
      <c r="H60" s="8"/>
      <c r="I60" s="9">
        <v>173000000.00</v>
      </c>
      <c r="J60" s="8"/>
      <c r="K60" t="inlineStr" s="8">
        <is>
          <t>NCR70 - NCR153 - NCR154 - RC311 - RC209</t>
        </is>
      </c>
      <c r="L60" t="inlineStr" s="8">
        <is>
          <t>MAY.21/26F - JUN.30/26F - JUN.30/26F - JUL.14/26F - AGO.11/26F</t>
        </is>
      </c>
      <c r="M60" s="9"/>
      <c r="N60" s="9"/>
      <c r="O60" s="8"/>
      <c r="P60" s="8"/>
      <c r="Q60" s="10"/>
      <c r="R60" s="10"/>
      <c r="S60" s="10">
        <v>1000000</v>
      </c>
      <c r="T60" s="10">
        <f>1500000+500000</f>
      </c>
      <c r="U60" s="10">
        <v>500000</v>
      </c>
      <c r="V60" s="10">
        <v>500000</v>
      </c>
      <c r="W60" s="10"/>
      <c r="X60" s="9"/>
      <c r="Y60" s="9"/>
      <c r="Z60" s="9"/>
      <c r="AA60" s="9"/>
      <c r="AB60" s="9">
        <f>SUM(M60,N60,Q60,R60,S60,T60,U60,V60,W60,X60,Y60,Z60,AA60)</f>
      </c>
      <c r="AC60" s="9">
        <f>I60-AB60</f>
      </c>
      <c r="AD60" s="9">
        <f>AC60-AE60-AF60-AG60-AH60</f>
      </c>
      <c r="AE60" s="9"/>
      <c r="AF60" s="9"/>
      <c r="AG60" s="9"/>
      <c r="AH60" s="9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9"/>
      <c r="AT60" s="9"/>
      <c r="AU60" t="inlineStr" s="8">
        <is>
          <t>3154121701</t>
        </is>
      </c>
      <c r="AV60" t="inlineStr" s="8">
        <is>
          <t>lavaqo@gmail.com</t>
        </is>
      </c>
      <c r="AW60" s="8"/>
      <c r="AX60" s="8"/>
    </row>
    <row r="61" ht="12.75" customHeight="1">
      <c r="A61" s="8"/>
      <c r="B61" s="8"/>
      <c r="C61" t="inlineStr" s="8">
        <is>
          <t>607</t>
        </is>
      </c>
      <c r="D61" s="9">
        <v>40.80</v>
      </c>
      <c r="E61" s="8"/>
      <c r="F61" s="8"/>
      <c r="G61" s="8"/>
      <c r="H61" s="8"/>
      <c r="I61" s="9">
        <v>173000000.00</v>
      </c>
      <c r="J61" s="8"/>
      <c r="K61" s="8"/>
      <c r="L61" s="8"/>
      <c r="M61" s="9"/>
      <c r="N61" s="9"/>
      <c r="O61" s="8"/>
      <c r="P61" s="8"/>
      <c r="Q61" s="10"/>
      <c r="R61" s="10"/>
      <c r="S61" s="10"/>
      <c r="T61" s="10"/>
      <c r="U61" s="10"/>
      <c r="V61" s="10"/>
      <c r="W61" s="10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9"/>
      <c r="AT61" s="9"/>
      <c r="AU61" s="8"/>
      <c r="AV61" s="8"/>
      <c r="AW61" s="8"/>
      <c r="AX61" s="8"/>
    </row>
    <row r="62" ht="12.75" customHeight="1">
      <c r="A62" t="inlineStr" s="8">
        <is>
          <t>002010979460</t>
        </is>
      </c>
      <c r="B62" s="8"/>
      <c r="C62" t="inlineStr" s="8">
        <is>
          <t>608</t>
        </is>
      </c>
      <c r="D62" s="9">
        <v>40.80</v>
      </c>
      <c r="E62" t="inlineStr" s="8">
        <is>
          <t>1090277165</t>
        </is>
      </c>
      <c r="F62" t="inlineStr" s="8">
        <is>
          <t>ZULUAGA CHICAIZA MARIAPAZ</t>
        </is>
      </c>
      <c r="G62" s="8"/>
      <c r="H62" s="8"/>
      <c r="I62" s="9">
        <v>173000000.00</v>
      </c>
      <c r="J62" s="8"/>
      <c r="K62" t="inlineStr" s="8">
        <is>
          <t>NCR67 - RC204 - RC081 - RC138</t>
        </is>
      </c>
      <c r="L62" t="inlineStr" s="8">
        <is>
          <t>MAY.20/26F - JUL.3/26F - AGO.3/26F - SEP.4/26F</t>
        </is>
      </c>
      <c r="M62" s="9"/>
      <c r="N62" s="9"/>
      <c r="O62" s="8"/>
      <c r="P62" s="8"/>
      <c r="Q62" s="10"/>
      <c r="R62" s="10"/>
      <c r="S62" s="10">
        <v>1000000</v>
      </c>
      <c r="T62" s="10"/>
      <c r="U62" s="10">
        <v>1120000</v>
      </c>
      <c r="V62" s="10">
        <v>1120000</v>
      </c>
      <c r="W62" s="10">
        <v>1120000</v>
      </c>
      <c r="X62" s="9"/>
      <c r="Y62" s="9"/>
      <c r="Z62" s="9"/>
      <c r="AA62" s="9"/>
      <c r="AB62" s="9">
        <f>SUM(M62,N62,Q62,R62,S62,T62,U62,V62,W62,X62,Y62,Z62,AA62)</f>
      </c>
      <c r="AC62" s="9">
        <f>I62-AB62</f>
      </c>
      <c r="AD62" s="9">
        <f>AC62-AE62-AF62-AG62-AH62</f>
      </c>
      <c r="AE62" s="9"/>
      <c r="AF62" s="9"/>
      <c r="AG62" s="9"/>
      <c r="AH62" s="9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9"/>
      <c r="AT62" s="9"/>
      <c r="AU62" t="inlineStr" s="8">
        <is>
          <t>3025357925</t>
        </is>
      </c>
      <c r="AV62" t="inlineStr" s="8">
        <is>
          <t>mzuluagachicaiza@gmail.com</t>
        </is>
      </c>
      <c r="AW62" s="8"/>
      <c r="AX62" s="8"/>
    </row>
    <row r="63" ht="12.75" customHeight="1">
      <c r="A63" s="8"/>
      <c r="B63" s="8"/>
      <c r="C63" t="inlineStr" s="8">
        <is>
          <t>609</t>
        </is>
      </c>
      <c r="D63" s="9">
        <v>40.70</v>
      </c>
      <c r="E63" s="8"/>
      <c r="F63" s="8"/>
      <c r="G63" s="8"/>
      <c r="H63" s="8"/>
      <c r="I63" s="9">
        <v>173000000.00</v>
      </c>
      <c r="J63" s="8"/>
      <c r="K63" s="8"/>
      <c r="L63" s="8"/>
      <c r="M63" s="9"/>
      <c r="N63" s="9"/>
      <c r="O63" s="8"/>
      <c r="P63" s="8"/>
      <c r="Q63" s="10"/>
      <c r="R63" s="10"/>
      <c r="S63" s="10"/>
      <c r="T63" s="10"/>
      <c r="U63" s="10"/>
      <c r="V63" s="10"/>
      <c r="W63" s="10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9"/>
      <c r="AT63" s="9"/>
      <c r="AU63" s="8"/>
      <c r="AV63" s="8"/>
      <c r="AW63" s="8"/>
      <c r="AX63" s="8"/>
    </row>
    <row r="64" ht="12.75" customHeight="1">
      <c r="A64" s="8"/>
      <c r="B64" s="8"/>
      <c r="C64" t="inlineStr" s="8">
        <is>
          <t>610</t>
        </is>
      </c>
      <c r="D64" s="9">
        <v>40.70</v>
      </c>
      <c r="E64" s="8"/>
      <c r="F64" s="8"/>
      <c r="G64" s="8"/>
      <c r="H64" s="8"/>
      <c r="I64" s="9">
        <v>173000000.00</v>
      </c>
      <c r="J64" s="8"/>
      <c r="K64" s="8"/>
      <c r="L64" s="8"/>
      <c r="M64" s="9"/>
      <c r="N64" s="9"/>
      <c r="O64" s="8"/>
      <c r="P64" s="8"/>
      <c r="Q64" s="10"/>
      <c r="R64" s="10"/>
      <c r="S64" s="10"/>
      <c r="T64" s="10"/>
      <c r="U64" s="10"/>
      <c r="V64" s="10"/>
      <c r="W64" s="10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9"/>
      <c r="AT64" s="9"/>
      <c r="AU64" s="8"/>
      <c r="AV64" s="8"/>
      <c r="AW64" s="8"/>
      <c r="AX64" s="8"/>
    </row>
    <row r="65" ht="12.75" customHeight="1">
      <c r="A65" s="8"/>
      <c r="B65" s="8"/>
      <c r="C65" t="inlineStr" s="8">
        <is>
          <t>701</t>
        </is>
      </c>
      <c r="D65" s="9">
        <v>41.03</v>
      </c>
      <c r="E65" s="8"/>
      <c r="F65" s="8"/>
      <c r="G65" s="8"/>
      <c r="H65" s="8"/>
      <c r="I65" s="9">
        <v>173000000.00</v>
      </c>
      <c r="J65" s="8"/>
      <c r="K65" s="8"/>
      <c r="L65" s="8"/>
      <c r="M65" s="9"/>
      <c r="N65" s="9"/>
      <c r="O65" s="8"/>
      <c r="P65" s="8"/>
      <c r="Q65" s="10"/>
      <c r="R65" s="10"/>
      <c r="S65" s="10"/>
      <c r="T65" s="10"/>
      <c r="U65" s="10"/>
      <c r="V65" s="10"/>
      <c r="W65" s="10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9"/>
      <c r="AT65" s="9"/>
      <c r="AU65" s="8"/>
      <c r="AV65" s="8"/>
      <c r="AW65" s="8"/>
      <c r="AX65" s="8"/>
    </row>
    <row r="66" ht="12.75" customHeight="1">
      <c r="A66" s="8"/>
      <c r="B66" s="8"/>
      <c r="C66" t="inlineStr" s="8">
        <is>
          <t>702</t>
        </is>
      </c>
      <c r="D66" s="9">
        <v>40.70</v>
      </c>
      <c r="E66" s="8"/>
      <c r="F66" s="8"/>
      <c r="G66" s="8"/>
      <c r="H66" s="8"/>
      <c r="I66" s="9">
        <v>173000000.00</v>
      </c>
      <c r="J66" s="8"/>
      <c r="K66" s="8"/>
      <c r="L66" s="8"/>
      <c r="M66" s="9"/>
      <c r="N66" s="9"/>
      <c r="O66" s="8"/>
      <c r="P66" s="8"/>
      <c r="Q66" s="10"/>
      <c r="R66" s="10"/>
      <c r="S66" s="10"/>
      <c r="T66" s="10"/>
      <c r="U66" s="10"/>
      <c r="V66" s="10"/>
      <c r="W66" s="10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9"/>
      <c r="AT66" s="9"/>
      <c r="AU66" s="8"/>
      <c r="AV66" s="8"/>
      <c r="AW66" s="8"/>
      <c r="AX66" s="8"/>
    </row>
    <row r="67" ht="12.75" customHeight="1">
      <c r="A67" s="8"/>
      <c r="B67" s="8"/>
      <c r="C67" t="inlineStr" s="8">
        <is>
          <t>703</t>
        </is>
      </c>
      <c r="D67" s="9">
        <v>40.70</v>
      </c>
      <c r="E67" s="8"/>
      <c r="F67" s="8"/>
      <c r="G67" s="8"/>
      <c r="H67" s="8"/>
      <c r="I67" s="9">
        <v>173000000.00</v>
      </c>
      <c r="J67" s="8"/>
      <c r="K67" s="8"/>
      <c r="L67" s="8"/>
      <c r="M67" s="9"/>
      <c r="N67" s="9"/>
      <c r="O67" s="8"/>
      <c r="P67" s="8"/>
      <c r="Q67" s="10"/>
      <c r="R67" s="10"/>
      <c r="S67" s="10"/>
      <c r="T67" s="10"/>
      <c r="U67" s="10"/>
      <c r="V67" s="10"/>
      <c r="W67" s="10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9"/>
      <c r="AT67" s="9"/>
      <c r="AU67" s="8"/>
      <c r="AV67" s="8"/>
      <c r="AW67" s="8"/>
      <c r="AX67" s="8"/>
    </row>
    <row r="68" ht="12.75" customHeight="1">
      <c r="A68" s="8"/>
      <c r="B68" s="8"/>
      <c r="C68" t="inlineStr" s="8">
        <is>
          <t>704</t>
        </is>
      </c>
      <c r="D68" s="9">
        <v>40.70</v>
      </c>
      <c r="E68" s="8"/>
      <c r="F68" s="8"/>
      <c r="G68" s="8"/>
      <c r="H68" s="8"/>
      <c r="I68" s="9">
        <v>173000000.00</v>
      </c>
      <c r="J68" s="8"/>
      <c r="K68" s="8"/>
      <c r="L68" s="8"/>
      <c r="M68" s="9"/>
      <c r="N68" s="9"/>
      <c r="O68" s="8"/>
      <c r="P68" s="8"/>
      <c r="Q68" s="10"/>
      <c r="R68" s="10"/>
      <c r="S68" s="10"/>
      <c r="T68" s="10"/>
      <c r="U68" s="10"/>
      <c r="V68" s="10"/>
      <c r="W68" s="10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9"/>
      <c r="AT68" s="9"/>
      <c r="AU68" s="8"/>
      <c r="AV68" s="8"/>
      <c r="AW68" s="8"/>
      <c r="AX68" s="8"/>
    </row>
    <row r="69" ht="12.75" customHeight="1">
      <c r="A69" s="8"/>
      <c r="B69" s="8"/>
      <c r="C69" t="inlineStr" s="8">
        <is>
          <t>705</t>
        </is>
      </c>
      <c r="D69" s="9">
        <v>40.70</v>
      </c>
      <c r="E69" s="8"/>
      <c r="F69" s="8"/>
      <c r="G69" s="8"/>
      <c r="H69" s="8"/>
      <c r="I69" s="9">
        <v>173000000.00</v>
      </c>
      <c r="J69" s="8"/>
      <c r="K69" s="8"/>
      <c r="L69" s="8"/>
      <c r="M69" s="9"/>
      <c r="N69" s="9"/>
      <c r="O69" s="8"/>
      <c r="P69" s="8"/>
      <c r="Q69" s="10"/>
      <c r="R69" s="10"/>
      <c r="S69" s="10"/>
      <c r="T69" s="10"/>
      <c r="U69" s="10"/>
      <c r="V69" s="10"/>
      <c r="W69" s="10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9"/>
      <c r="AT69" s="9"/>
      <c r="AU69" s="8"/>
      <c r="AV69" s="8"/>
      <c r="AW69" s="8"/>
      <c r="AX69" s="8"/>
    </row>
    <row r="70" ht="12.75" customHeight="1">
      <c r="A70" s="8"/>
      <c r="B70" s="8"/>
      <c r="C70" t="inlineStr" s="8">
        <is>
          <t>706</t>
        </is>
      </c>
      <c r="D70" s="9">
        <v>40.70</v>
      </c>
      <c r="E70" s="8"/>
      <c r="F70" s="8"/>
      <c r="G70" s="8"/>
      <c r="H70" s="8"/>
      <c r="I70" s="9">
        <v>173000000.00</v>
      </c>
      <c r="J70" s="8"/>
      <c r="K70" s="8"/>
      <c r="L70" s="8"/>
      <c r="M70" s="9"/>
      <c r="N70" s="9"/>
      <c r="O70" s="8"/>
      <c r="P70" s="8"/>
      <c r="Q70" s="10"/>
      <c r="R70" s="10"/>
      <c r="S70" s="10"/>
      <c r="T70" s="10"/>
      <c r="U70" s="10"/>
      <c r="V70" s="10"/>
      <c r="W70" s="10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9"/>
      <c r="AT70" s="9"/>
      <c r="AU70" s="8"/>
      <c r="AV70" s="8"/>
      <c r="AW70" s="8"/>
      <c r="AX70" s="8"/>
    </row>
    <row r="71" ht="12.75" customHeight="1">
      <c r="A71" t="inlineStr" s="8">
        <is>
          <t>002010979558</t>
        </is>
      </c>
      <c r="B71" s="8"/>
      <c r="C71" t="inlineStr" s="8">
        <is>
          <t>707</t>
        </is>
      </c>
      <c r="D71" s="9">
        <v>40.80</v>
      </c>
      <c r="E71" t="inlineStr" s="8">
        <is>
          <t>1005233585</t>
        </is>
      </c>
      <c r="F71" t="inlineStr" s="8">
        <is>
          <t>MARIN JARAMILLO ANGELICA MARIA</t>
        </is>
      </c>
      <c r="G71" s="8"/>
      <c r="H71" s="8"/>
      <c r="I71" s="9">
        <v>173000000.00</v>
      </c>
      <c r="J71" s="8"/>
      <c r="K71" t="inlineStr" s="8">
        <is>
          <t>NCR61 - NCR147 - RC185 - RC574</t>
        </is>
      </c>
      <c r="L71" t="inlineStr" s="8">
        <is>
          <t>MAY.13/26F - JUN.30/26F - AGO.6/26F - AGO.31/26F</t>
        </is>
      </c>
      <c r="M71" s="9"/>
      <c r="N71" s="9"/>
      <c r="O71" s="8"/>
      <c r="P71" s="8"/>
      <c r="Q71" s="10"/>
      <c r="R71" s="10"/>
      <c r="S71" s="10">
        <v>1000000</v>
      </c>
      <c r="T71" s="10">
        <v>1158000</v>
      </c>
      <c r="U71" s="10"/>
      <c r="V71" s="10">
        <f>1158000+1158000</f>
      </c>
      <c r="W71" s="10"/>
      <c r="X71" s="9"/>
      <c r="Y71" s="9"/>
      <c r="Z71" s="9"/>
      <c r="AA71" s="9"/>
      <c r="AB71" s="9">
        <f>SUM(M71,N71,Q71,R71,S71,T71,U71,V71,W71,X71,Y71,Z71,AA71)</f>
      </c>
      <c r="AC71" s="9">
        <f>I71-AB71</f>
      </c>
      <c r="AD71" s="9">
        <f>AC71-AE71-AF71-AG71-AH71</f>
      </c>
      <c r="AE71" s="9"/>
      <c r="AF71" s="9"/>
      <c r="AG71" s="9"/>
      <c r="AH71" s="9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9"/>
      <c r="AT71" s="9"/>
      <c r="AU71" t="inlineStr" s="8">
        <is>
          <t>3052136396</t>
        </is>
      </c>
      <c r="AV71" t="inlineStr" s="8">
        <is>
          <t>angelicamj1409@gmail.com</t>
        </is>
      </c>
      <c r="AW71" s="8"/>
      <c r="AX71" s="8"/>
    </row>
    <row r="72" ht="12.75" customHeight="1">
      <c r="A72" t="inlineStr" s="8">
        <is>
          <t>002010979567</t>
        </is>
      </c>
      <c r="B72" s="8"/>
      <c r="C72" t="inlineStr" s="8">
        <is>
          <t>708</t>
        </is>
      </c>
      <c r="D72" s="9">
        <v>40.80</v>
      </c>
      <c r="E72" t="inlineStr" s="8">
        <is>
          <t>30318603</t>
        </is>
      </c>
      <c r="F72" t="inlineStr" s="8">
        <is>
          <t>CASTRO SANCHEZ RUBIELA</t>
        </is>
      </c>
      <c r="G72" s="8"/>
      <c r="H72" s="8"/>
      <c r="I72" s="9">
        <v>173000000.00</v>
      </c>
      <c r="J72" s="8"/>
      <c r="K72" t="inlineStr" s="8">
        <is>
          <t>NCR102 - NCR142 - RC604 - RC575</t>
        </is>
      </c>
      <c r="L72" t="inlineStr" s="8">
        <is>
          <t>JUN.2/26F - JUN.30/26F - JUL.30/26F - AGO.31/26F</t>
        </is>
      </c>
      <c r="M72" s="9"/>
      <c r="N72" s="9"/>
      <c r="O72" s="8"/>
      <c r="P72" s="8"/>
      <c r="Q72" s="10"/>
      <c r="R72" s="10"/>
      <c r="S72" s="10"/>
      <c r="T72" s="10">
        <f>1000000+1000000</f>
      </c>
      <c r="U72" s="10">
        <v>1000000</v>
      </c>
      <c r="V72" s="10">
        <v>1000000</v>
      </c>
      <c r="W72" s="10"/>
      <c r="X72" s="9"/>
      <c r="Y72" s="9"/>
      <c r="Z72" s="9"/>
      <c r="AA72" s="9"/>
      <c r="AB72" s="9">
        <f>SUM(M72,N72,Q72,R72,S72,T72,U72,V72,W72,X72,Y72,Z72,AA72)</f>
      </c>
      <c r="AC72" s="9">
        <f>I72-AB72</f>
      </c>
      <c r="AD72" s="9">
        <f>AC72-AE72-AF72-AG72-AH72</f>
      </c>
      <c r="AE72" s="9"/>
      <c r="AF72" s="9"/>
      <c r="AG72" s="9"/>
      <c r="AH72" s="9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9"/>
      <c r="AT72" s="9"/>
      <c r="AU72" t="inlineStr" s="8">
        <is>
          <t>3234377764</t>
        </is>
      </c>
      <c r="AV72" t="inlineStr" s="8">
        <is>
          <t>jdsierrac1509@gmail.com</t>
        </is>
      </c>
      <c r="AW72" s="8"/>
      <c r="AX72" s="8"/>
    </row>
    <row r="73" ht="12.75" customHeight="1">
      <c r="A73" s="8"/>
      <c r="B73" s="8"/>
      <c r="C73" t="inlineStr" s="8">
        <is>
          <t>709</t>
        </is>
      </c>
      <c r="D73" s="9">
        <v>40.70</v>
      </c>
      <c r="E73" s="8"/>
      <c r="F73" s="8"/>
      <c r="G73" s="8"/>
      <c r="H73" s="8"/>
      <c r="I73" s="9">
        <v>173000000.00</v>
      </c>
      <c r="J73" s="8"/>
      <c r="K73" s="8"/>
      <c r="L73" s="8"/>
      <c r="M73" s="9"/>
      <c r="N73" s="9"/>
      <c r="O73" s="8"/>
      <c r="P73" s="8"/>
      <c r="Q73" s="10"/>
      <c r="R73" s="10"/>
      <c r="S73" s="10"/>
      <c r="T73" s="10"/>
      <c r="U73" s="10"/>
      <c r="V73" s="10"/>
      <c r="W73" s="10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9"/>
      <c r="AT73" s="9"/>
      <c r="AU73" s="8"/>
      <c r="AV73" s="8"/>
      <c r="AW73" s="8"/>
      <c r="AX73" s="8"/>
    </row>
    <row r="74" ht="12.75" customHeight="1">
      <c r="A74" s="8"/>
      <c r="B74" s="8"/>
      <c r="C74" t="inlineStr" s="8">
        <is>
          <t>710</t>
        </is>
      </c>
      <c r="D74" s="9">
        <v>40.70</v>
      </c>
      <c r="E74" s="8"/>
      <c r="F74" s="8"/>
      <c r="G74" s="8"/>
      <c r="H74" s="8"/>
      <c r="I74" s="9">
        <v>173000000.00</v>
      </c>
      <c r="J74" s="8"/>
      <c r="K74" s="8"/>
      <c r="L74" s="8"/>
      <c r="M74" s="9"/>
      <c r="N74" s="9"/>
      <c r="O74" s="8"/>
      <c r="P74" s="8"/>
      <c r="Q74" s="10"/>
      <c r="R74" s="10"/>
      <c r="S74" s="10"/>
      <c r="T74" s="10"/>
      <c r="U74" s="10"/>
      <c r="V74" s="10"/>
      <c r="W74" s="10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9"/>
      <c r="AT74" s="9"/>
      <c r="AU74" s="8"/>
      <c r="AV74" s="8"/>
      <c r="AW74" s="8"/>
      <c r="AX74" s="8"/>
    </row>
    <row r="75" ht="12.75" customHeight="1">
      <c r="A75" s="8"/>
      <c r="B75" s="8"/>
      <c r="C75" t="inlineStr" s="8">
        <is>
          <t>801</t>
        </is>
      </c>
      <c r="D75" s="9">
        <v>41.03</v>
      </c>
      <c r="E75" s="8"/>
      <c r="F75" s="8"/>
      <c r="G75" s="8"/>
      <c r="H75" s="8"/>
      <c r="I75" s="9">
        <v>173000000.00</v>
      </c>
      <c r="J75" s="8"/>
      <c r="K75" s="8"/>
      <c r="L75" s="8"/>
      <c r="M75" s="9"/>
      <c r="N75" s="9"/>
      <c r="O75" s="8"/>
      <c r="P75" s="8"/>
      <c r="Q75" s="10"/>
      <c r="R75" s="10"/>
      <c r="S75" s="10"/>
      <c r="T75" s="10"/>
      <c r="U75" s="10"/>
      <c r="V75" s="10"/>
      <c r="W75" s="10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9"/>
      <c r="AT75" s="9"/>
      <c r="AU75" s="8"/>
      <c r="AV75" s="8"/>
      <c r="AW75" s="8"/>
      <c r="AX75" s="8"/>
    </row>
    <row r="76" ht="12.75" customHeight="1">
      <c r="A76" s="8"/>
      <c r="B76" s="8"/>
      <c r="C76" t="inlineStr" s="8">
        <is>
          <t>802</t>
        </is>
      </c>
      <c r="D76" s="9">
        <v>40.70</v>
      </c>
      <c r="E76" s="8"/>
      <c r="F76" s="8"/>
      <c r="G76" s="8"/>
      <c r="H76" s="8"/>
      <c r="I76" s="9">
        <v>173000000.00</v>
      </c>
      <c r="J76" s="8"/>
      <c r="K76" s="8"/>
      <c r="L76" s="8"/>
      <c r="M76" s="9"/>
      <c r="N76" s="9"/>
      <c r="O76" s="8"/>
      <c r="P76" s="8"/>
      <c r="Q76" s="10"/>
      <c r="R76" s="10"/>
      <c r="S76" s="10"/>
      <c r="T76" s="10"/>
      <c r="U76" s="10"/>
      <c r="V76" s="10"/>
      <c r="W76" s="10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9"/>
      <c r="AT76" s="9"/>
      <c r="AU76" s="8"/>
      <c r="AV76" s="8"/>
      <c r="AW76" s="8"/>
      <c r="AX76" s="8"/>
    </row>
    <row r="77" ht="12.75" customHeight="1">
      <c r="A77" t="inlineStr" s="8">
        <is>
          <t>002010979610</t>
        </is>
      </c>
      <c r="B77" s="8"/>
      <c r="C77" t="inlineStr" s="8">
        <is>
          <t>803</t>
        </is>
      </c>
      <c r="D77" s="9">
        <v>40.70</v>
      </c>
      <c r="E77" t="inlineStr" s="8">
        <is>
          <t>1094963941</t>
        </is>
      </c>
      <c r="F77" t="inlineStr" s="8">
        <is>
          <t>SANCHEZ GIRALDO JORGE MARIO</t>
        </is>
      </c>
      <c r="G77" s="8"/>
      <c r="H77" s="8"/>
      <c r="I77" s="9">
        <v>173000000.00</v>
      </c>
      <c r="J77" s="8"/>
      <c r="K77" t="inlineStr" s="8">
        <is>
          <t>NCR116 - RC205 - RC082</t>
        </is>
      </c>
      <c r="L77" t="inlineStr" s="8">
        <is>
          <t>JUN.17/26F - JUL.1/26F - AGO.3/26F</t>
        </is>
      </c>
      <c r="M77" s="9"/>
      <c r="N77" s="9"/>
      <c r="O77" s="8"/>
      <c r="P77" s="8"/>
      <c r="Q77" s="10"/>
      <c r="R77" s="10"/>
      <c r="S77" s="10"/>
      <c r="T77" s="10">
        <v>1000000</v>
      </c>
      <c r="U77" s="10">
        <v>1200000</v>
      </c>
      <c r="V77" s="10">
        <v>1200000</v>
      </c>
      <c r="W77" s="10"/>
      <c r="X77" s="9"/>
      <c r="Y77" s="9"/>
      <c r="Z77" s="9"/>
      <c r="AA77" s="9"/>
      <c r="AB77" s="9">
        <f>SUM(M77,N77,Q77,R77,S77,T77,U77,V77,W77,X77,Y77,Z77,AA77)</f>
      </c>
      <c r="AC77" s="9">
        <f>I77-AB77</f>
      </c>
      <c r="AD77" s="9">
        <f>AC77-AE77-AF77-AG77-AH77</f>
      </c>
      <c r="AE77" s="9"/>
      <c r="AF77" s="9"/>
      <c r="AG77" s="9"/>
      <c r="AH77" s="9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9"/>
      <c r="AT77" s="9"/>
      <c r="AU77" t="inlineStr" s="8">
        <is>
          <t>3116351537</t>
        </is>
      </c>
      <c r="AV77" t="inlineStr" s="8">
        <is>
          <t>jorgemariosanchez@gmail.com</t>
        </is>
      </c>
      <c r="AW77" s="8"/>
      <c r="AX77" s="8"/>
    </row>
    <row r="78" ht="12.75" customHeight="1">
      <c r="A78" t="inlineStr" s="8">
        <is>
          <t>002010979629</t>
        </is>
      </c>
      <c r="B78" s="8"/>
      <c r="C78" t="inlineStr" s="8">
        <is>
          <t>804</t>
        </is>
      </c>
      <c r="D78" s="9">
        <v>40.70</v>
      </c>
      <c r="E78" t="inlineStr" s="8">
        <is>
          <t>93370606</t>
        </is>
      </c>
      <c r="F78" t="inlineStr" s="8">
        <is>
          <t>LEON MENDEZ JAIME</t>
        </is>
      </c>
      <c r="G78" s="8"/>
      <c r="H78" s="8"/>
      <c r="I78" s="9">
        <v>173000000.00</v>
      </c>
      <c r="J78" s="8"/>
      <c r="K78" t="inlineStr" s="8">
        <is>
          <t>RC335</t>
        </is>
      </c>
      <c r="L78" t="inlineStr" s="8">
        <is>
          <t>AGO.21/26F</t>
        </is>
      </c>
      <c r="M78" s="9"/>
      <c r="N78" s="9"/>
      <c r="O78" s="8"/>
      <c r="P78" s="8"/>
      <c r="Q78" s="10"/>
      <c r="R78" s="10"/>
      <c r="S78" s="10"/>
      <c r="T78" s="10"/>
      <c r="U78" s="10"/>
      <c r="V78" s="10">
        <v>1000000</v>
      </c>
      <c r="W78" s="10"/>
      <c r="X78" s="9"/>
      <c r="Y78" s="9"/>
      <c r="Z78" s="9"/>
      <c r="AA78" s="9"/>
      <c r="AB78" s="9">
        <f>SUM(M78,N78,Q78,R78,S78,T78,U78,V78,W78,X78,Y78,Z78,AA78)</f>
      </c>
      <c r="AC78" s="9">
        <f>I78-AB78</f>
      </c>
      <c r="AD78" s="9">
        <f>AC78-AE78-AF78-AG78-AH78</f>
      </c>
      <c r="AE78" s="9"/>
      <c r="AF78" s="9"/>
      <c r="AG78" s="9"/>
      <c r="AH78" s="9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9"/>
      <c r="AT78" s="9"/>
      <c r="AU78" t="inlineStr" s="8">
        <is>
          <t>3113399082</t>
        </is>
      </c>
      <c r="AV78" t="inlineStr" s="8">
        <is>
          <t>jaime_leon_ie@yahoo.es</t>
        </is>
      </c>
      <c r="AW78" s="8"/>
      <c r="AX78" s="8"/>
    </row>
    <row r="79" ht="12.75" customHeight="1">
      <c r="A79" t="inlineStr" s="8">
        <is>
          <t>002010979638</t>
        </is>
      </c>
      <c r="B79" s="8"/>
      <c r="C79" t="inlineStr" s="8">
        <is>
          <t>805</t>
        </is>
      </c>
      <c r="D79" s="9">
        <v>40.70</v>
      </c>
      <c r="E79" t="inlineStr" s="8">
        <is>
          <t>1115188928</t>
        </is>
      </c>
      <c r="F79" t="inlineStr" s="8">
        <is>
          <t>DIAZ LOPEZ JORGE MARIO</t>
        </is>
      </c>
      <c r="G79" s="8"/>
      <c r="H79" s="8"/>
      <c r="I79" s="9">
        <v>173000000.00</v>
      </c>
      <c r="J79" s="8"/>
      <c r="K79" t="inlineStr" s="8">
        <is>
          <t>NCR64 - NCR79 - NCR138 - RC450 - RC407</t>
        </is>
      </c>
      <c r="L79" t="inlineStr" s="8">
        <is>
          <t>MAY.19/26F - MAY.28/26F - JUN.30/26F - JUL.27/26F - AGO.27/26F</t>
        </is>
      </c>
      <c r="M79" s="9"/>
      <c r="N79" s="9"/>
      <c r="O79" s="8"/>
      <c r="P79" s="8"/>
      <c r="Q79" s="10"/>
      <c r="R79" s="10"/>
      <c r="S79" s="10">
        <f>1000000+800000</f>
      </c>
      <c r="T79" s="10">
        <v>800000</v>
      </c>
      <c r="U79" s="10">
        <v>800000</v>
      </c>
      <c r="V79" s="10">
        <v>800000</v>
      </c>
      <c r="W79" s="10"/>
      <c r="X79" s="9"/>
      <c r="Y79" s="9"/>
      <c r="Z79" s="9"/>
      <c r="AA79" s="9"/>
      <c r="AB79" s="9">
        <f>SUM(M79,N79,Q79,R79,S79,T79,U79,V79,W79,X79,Y79,Z79,AA79)</f>
      </c>
      <c r="AC79" s="9">
        <f>I79-AB79</f>
      </c>
      <c r="AD79" s="9">
        <f>AC79-AE79-AF79-AG79-AH79</f>
      </c>
      <c r="AE79" s="9"/>
      <c r="AF79" s="9"/>
      <c r="AG79" s="9"/>
      <c r="AH79" s="9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9"/>
      <c r="AT79" s="9"/>
      <c r="AU79" t="inlineStr" s="8">
        <is>
          <t>56979153542</t>
        </is>
      </c>
      <c r="AV79" t="inlineStr" s="8">
        <is>
          <t>jorgetvdiazfr@gmail.com</t>
        </is>
      </c>
      <c r="AW79" s="8"/>
      <c r="AX79" s="8"/>
    </row>
    <row r="80" ht="12.75" customHeight="1">
      <c r="A80" s="8"/>
      <c r="B80" s="8"/>
      <c r="C80" t="inlineStr" s="8">
        <is>
          <t>806</t>
        </is>
      </c>
      <c r="D80" s="9">
        <v>40.70</v>
      </c>
      <c r="E80" s="8"/>
      <c r="F80" s="8"/>
      <c r="G80" s="8"/>
      <c r="H80" s="8"/>
      <c r="I80" s="9">
        <v>173000000.00</v>
      </c>
      <c r="J80" s="8"/>
      <c r="K80" s="8"/>
      <c r="L80" s="8"/>
      <c r="M80" s="9"/>
      <c r="N80" s="9"/>
      <c r="O80" s="8"/>
      <c r="P80" s="8"/>
      <c r="Q80" s="10"/>
      <c r="R80" s="10"/>
      <c r="S80" s="10"/>
      <c r="T80" s="10"/>
      <c r="U80" s="10"/>
      <c r="V80" s="10"/>
      <c r="W80" s="10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9"/>
      <c r="AT80" s="9"/>
      <c r="AU80" s="8"/>
      <c r="AV80" s="8"/>
      <c r="AW80" s="8"/>
      <c r="AX80" s="8"/>
    </row>
    <row r="81" ht="12.75" customHeight="1">
      <c r="A81" t="inlineStr" s="8">
        <is>
          <t>002010979656</t>
        </is>
      </c>
      <c r="B81" s="8"/>
      <c r="C81" t="inlineStr" s="8">
        <is>
          <t>807</t>
        </is>
      </c>
      <c r="D81" s="9">
        <v>40.80</v>
      </c>
      <c r="E81" t="inlineStr" s="8">
        <is>
          <t>1094881649</t>
        </is>
      </c>
      <c r="F81" t="inlineStr" s="8">
        <is>
          <t>BRITO ECHEVERRI LISETH CAROLINA</t>
        </is>
      </c>
      <c r="G81" s="8"/>
      <c r="H81" s="8"/>
      <c r="I81" s="9">
        <v>173000000.00</v>
      </c>
      <c r="J81" s="8"/>
      <c r="K81" t="inlineStr" s="8">
        <is>
          <t>NCR17 - NCR71 - NCR127 - RC434 - RC307</t>
        </is>
      </c>
      <c r="L81" t="inlineStr" s="8">
        <is>
          <t>ABR.15/26F - MAY.22/26F - JUN.22/26F - JUL.23/26F - AGO.19/26F</t>
        </is>
      </c>
      <c r="M81" s="9"/>
      <c r="N81" s="9"/>
      <c r="O81" s="8"/>
      <c r="P81" s="8"/>
      <c r="Q81" s="10"/>
      <c r="R81" s="10">
        <v>1000000</v>
      </c>
      <c r="S81" s="10">
        <v>720000</v>
      </c>
      <c r="T81" s="10">
        <v>720000</v>
      </c>
      <c r="U81" s="10">
        <v>720000</v>
      </c>
      <c r="V81" s="10">
        <v>720000</v>
      </c>
      <c r="W81" s="10"/>
      <c r="X81" s="9"/>
      <c r="Y81" s="9"/>
      <c r="Z81" s="9"/>
      <c r="AA81" s="9"/>
      <c r="AB81" s="9">
        <f>SUM(M81,N81,Q81,R81,S81,T81,U81,V81,W81,X81,Y81,Z81,AA81)</f>
      </c>
      <c r="AC81" s="9">
        <f>I81-AB81</f>
      </c>
      <c r="AD81" s="9">
        <f>AC81-AE81-AF81-AG81-AH81</f>
      </c>
      <c r="AE81" s="9"/>
      <c r="AF81" s="9"/>
      <c r="AG81" s="9"/>
      <c r="AH81" s="9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9"/>
      <c r="AT81" s="9"/>
      <c r="AU81" t="inlineStr" s="8">
        <is>
          <t>3183542726</t>
        </is>
      </c>
      <c r="AV81" t="inlineStr" s="8">
        <is>
          <t>carolinaecheverry04@gmail.com</t>
        </is>
      </c>
      <c r="AW81" s="8"/>
      <c r="AX81" s="8"/>
    </row>
    <row r="82" ht="12.75" customHeight="1">
      <c r="A82" t="inlineStr" s="8">
        <is>
          <t>002010979665</t>
        </is>
      </c>
      <c r="B82" s="8"/>
      <c r="C82" t="inlineStr" s="8">
        <is>
          <t>808</t>
        </is>
      </c>
      <c r="D82" s="9">
        <v>40.80</v>
      </c>
      <c r="E82" t="inlineStr" s="8">
        <is>
          <t>1094951497</t>
        </is>
      </c>
      <c r="F82" t="inlineStr" s="8">
        <is>
          <t>HERNANDEZ GRAJALES MARIA VANESSA</t>
        </is>
      </c>
      <c r="G82" s="8"/>
      <c r="H82" s="8"/>
      <c r="I82" s="9">
        <v>173000000.00</v>
      </c>
      <c r="J82" s="8"/>
      <c r="K82" s="8"/>
      <c r="L82" s="8"/>
      <c r="M82" s="9"/>
      <c r="N82" s="9"/>
      <c r="O82" s="8"/>
      <c r="P82" s="8"/>
      <c r="Q82" s="10"/>
      <c r="R82" s="10"/>
      <c r="S82" s="10"/>
      <c r="T82" s="10"/>
      <c r="U82" s="10"/>
      <c r="V82" s="10"/>
      <c r="W82" s="10"/>
      <c r="X82" s="9"/>
      <c r="Y82" s="9"/>
      <c r="Z82" s="9"/>
      <c r="AA82" s="9"/>
      <c r="AB82" s="9">
        <f>SUM(M82,N82,Q82,R82,S82,T82,U82,V82,W82,X82,Y82,Z82,AA82)</f>
      </c>
      <c r="AC82" s="9">
        <f>I82-AB82</f>
      </c>
      <c r="AD82" s="9">
        <f>AC82-AE82-AF82-AG82-AH82</f>
      </c>
      <c r="AE82" s="9"/>
      <c r="AF82" s="9"/>
      <c r="AG82" s="9"/>
      <c r="AH82" s="9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9"/>
      <c r="AT82" s="9"/>
      <c r="AU82" s="8"/>
      <c r="AV82" s="8"/>
      <c r="AW82" s="8"/>
      <c r="AX82" s="8"/>
    </row>
    <row r="83" ht="12.75" customHeight="1">
      <c r="A83" s="8"/>
      <c r="B83" s="8"/>
      <c r="C83" t="inlineStr" s="8">
        <is>
          <t>809</t>
        </is>
      </c>
      <c r="D83" s="9">
        <v>40.70</v>
      </c>
      <c r="E83" s="8"/>
      <c r="F83" s="8"/>
      <c r="G83" s="8"/>
      <c r="H83" s="8"/>
      <c r="I83" s="9">
        <v>173000000.00</v>
      </c>
      <c r="J83" s="8"/>
      <c r="K83" s="8"/>
      <c r="L83" s="8"/>
      <c r="M83" s="9"/>
      <c r="N83" s="9"/>
      <c r="O83" s="8"/>
      <c r="P83" s="8"/>
      <c r="Q83" s="10"/>
      <c r="R83" s="10"/>
      <c r="S83" s="10"/>
      <c r="T83" s="10"/>
      <c r="U83" s="10"/>
      <c r="V83" s="10"/>
      <c r="W83" s="10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9"/>
      <c r="AT83" s="9"/>
      <c r="AU83" s="8"/>
      <c r="AV83" s="8"/>
      <c r="AW83" s="8"/>
      <c r="AX83" s="8"/>
    </row>
    <row r="84" ht="12.75" customHeight="1">
      <c r="A84" s="8"/>
      <c r="B84" s="8"/>
      <c r="C84" t="inlineStr" s="8">
        <is>
          <t>810</t>
        </is>
      </c>
      <c r="D84" s="9">
        <v>40.70</v>
      </c>
      <c r="E84" s="8"/>
      <c r="F84" s="8"/>
      <c r="G84" s="8"/>
      <c r="H84" s="8"/>
      <c r="I84" s="9">
        <v>173000000.00</v>
      </c>
      <c r="J84" s="8"/>
      <c r="K84" s="8"/>
      <c r="L84" s="8"/>
      <c r="M84" s="9"/>
      <c r="N84" s="9"/>
      <c r="O84" s="8"/>
      <c r="P84" s="8"/>
      <c r="Q84" s="10"/>
      <c r="R84" s="10"/>
      <c r="S84" s="10"/>
      <c r="T84" s="10"/>
      <c r="U84" s="10"/>
      <c r="V84" s="10"/>
      <c r="W84" s="10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9"/>
      <c r="AT84" s="9"/>
      <c r="AU84" s="8"/>
      <c r="AV84" s="8"/>
      <c r="AW84" s="8"/>
      <c r="AX84" s="8"/>
    </row>
    <row r="85" ht="12.75" customHeight="1">
      <c r="A85" s="8"/>
      <c r="B85" s="8"/>
      <c r="C85" t="inlineStr" s="8">
        <is>
          <t>901</t>
        </is>
      </c>
      <c r="D85" s="9">
        <v>41.03</v>
      </c>
      <c r="E85" s="8"/>
      <c r="F85" s="8"/>
      <c r="G85" s="8"/>
      <c r="H85" s="8"/>
      <c r="I85" s="9">
        <v>173000000.00</v>
      </c>
      <c r="J85" s="8"/>
      <c r="K85" s="8"/>
      <c r="L85" s="8"/>
      <c r="M85" s="9"/>
      <c r="N85" s="9"/>
      <c r="O85" s="8"/>
      <c r="P85" s="8"/>
      <c r="Q85" s="10"/>
      <c r="R85" s="10"/>
      <c r="S85" s="10"/>
      <c r="T85" s="10"/>
      <c r="U85" s="10"/>
      <c r="V85" s="10"/>
      <c r="W85" s="10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9"/>
      <c r="AT85" s="9"/>
      <c r="AU85" s="8"/>
      <c r="AV85" s="8"/>
      <c r="AW85" s="8"/>
      <c r="AX85" s="8"/>
    </row>
    <row r="86" ht="12.75" customHeight="1">
      <c r="A86" s="8"/>
      <c r="B86" s="8"/>
      <c r="C86" t="inlineStr" s="8">
        <is>
          <t>902</t>
        </is>
      </c>
      <c r="D86" s="9">
        <v>40.70</v>
      </c>
      <c r="E86" s="8"/>
      <c r="F86" s="8"/>
      <c r="G86" s="8"/>
      <c r="H86" s="8"/>
      <c r="I86" s="9">
        <v>173000000.00</v>
      </c>
      <c r="J86" s="8"/>
      <c r="K86" s="8"/>
      <c r="L86" s="8"/>
      <c r="M86" s="9"/>
      <c r="N86" s="9"/>
      <c r="O86" s="8"/>
      <c r="P86" s="8"/>
      <c r="Q86" s="10"/>
      <c r="R86" s="10"/>
      <c r="S86" s="10"/>
      <c r="T86" s="10"/>
      <c r="U86" s="10"/>
      <c r="V86" s="10"/>
      <c r="W86" s="10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9"/>
      <c r="AT86" s="9"/>
      <c r="AU86" s="8"/>
      <c r="AV86" s="8"/>
      <c r="AW86" s="8"/>
      <c r="AX86" s="8"/>
    </row>
    <row r="87" ht="12.75" customHeight="1">
      <c r="A87" t="inlineStr" s="8">
        <is>
          <t>002010979718</t>
        </is>
      </c>
      <c r="B87" s="8"/>
      <c r="C87" t="inlineStr" s="8">
        <is>
          <t>903</t>
        </is>
      </c>
      <c r="D87" s="9">
        <v>40.70</v>
      </c>
      <c r="E87" t="inlineStr" s="8">
        <is>
          <t>41792210</t>
        </is>
      </c>
      <c r="F87" t="inlineStr" s="8">
        <is>
          <t>QUINTERO BALANQUERA CECILIA</t>
        </is>
      </c>
      <c r="G87" s="8"/>
      <c r="H87" s="8"/>
      <c r="I87" s="9">
        <v>173000000.00</v>
      </c>
      <c r="J87" s="8"/>
      <c r="K87" t="inlineStr" s="8">
        <is>
          <t>NCR122 - NCR124 - RC371 - RC324</t>
        </is>
      </c>
      <c r="L87" t="inlineStr" s="8">
        <is>
          <t>JUN.18/26F - JUN.19/26F - JUL.17/26F - AGO.20/26F</t>
        </is>
      </c>
      <c r="M87" s="9"/>
      <c r="N87" s="9"/>
      <c r="O87" s="8"/>
      <c r="P87" s="8"/>
      <c r="Q87" s="10"/>
      <c r="R87" s="10"/>
      <c r="S87" s="10"/>
      <c r="T87" s="10">
        <f>1050479+1160000</f>
      </c>
      <c r="U87" s="10">
        <v>1160000</v>
      </c>
      <c r="V87" s="10">
        <v>1160000</v>
      </c>
      <c r="W87" s="10"/>
      <c r="X87" s="9"/>
      <c r="Y87" s="9"/>
      <c r="Z87" s="9"/>
      <c r="AA87" s="9"/>
      <c r="AB87" s="9">
        <f>SUM(M87,N87,Q87,R87,S87,T87,U87,V87,W87,X87,Y87,Z87,AA87)</f>
      </c>
      <c r="AC87" s="9">
        <f>I87-AB87</f>
      </c>
      <c r="AD87" s="9">
        <f>AC87-AE87-AF87-AG87-AH87</f>
      </c>
      <c r="AE87" s="9"/>
      <c r="AF87" s="9"/>
      <c r="AG87" s="9"/>
      <c r="AH87" s="9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9"/>
      <c r="AT87" s="9"/>
      <c r="AU87" t="inlineStr" s="8">
        <is>
          <t>17702944641</t>
        </is>
      </c>
      <c r="AV87" t="inlineStr" s="8">
        <is>
          <t>camaqui9192@gmail.com</t>
        </is>
      </c>
      <c r="AW87" s="8"/>
      <c r="AX87" s="8"/>
    </row>
    <row r="88" ht="12.75" customHeight="1">
      <c r="A88" t="inlineStr" s="8">
        <is>
          <t>002010979727</t>
        </is>
      </c>
      <c r="B88" s="8"/>
      <c r="C88" t="inlineStr" s="8">
        <is>
          <t>904</t>
        </is>
      </c>
      <c r="D88" s="9">
        <v>40.70</v>
      </c>
      <c r="E88" t="inlineStr" s="8">
        <is>
          <t>1112767293</t>
        </is>
      </c>
      <c r="F88" t="inlineStr" s="8">
        <is>
          <t>CARVAJAL JENNIFER CIFUENTES</t>
        </is>
      </c>
      <c r="G88" s="8"/>
      <c r="H88" s="8"/>
      <c r="I88" s="9">
        <v>173000000.00</v>
      </c>
      <c r="J88" s="8"/>
      <c r="K88" t="inlineStr" s="8">
        <is>
          <t>NCR15 - NCR42 - NCR91 - NCR140 - RC540 - RC576</t>
        </is>
      </c>
      <c r="L88" t="inlineStr" s="8">
        <is>
          <t>ABR.10/26F - ABR.30/26F - JUN.1/26F - JUN.30/26F - JUL.29/26F - AGO.31/26F</t>
        </is>
      </c>
      <c r="M88" s="9"/>
      <c r="N88" s="9"/>
      <c r="O88" s="8"/>
      <c r="P88" s="8"/>
      <c r="Q88" s="10"/>
      <c r="R88" s="10">
        <f>1000000+1200000</f>
      </c>
      <c r="S88" s="10"/>
      <c r="T88" s="10">
        <f>1200000+1200000</f>
      </c>
      <c r="U88" s="10">
        <v>1200000</v>
      </c>
      <c r="V88" s="10">
        <v>1200000</v>
      </c>
      <c r="W88" s="10"/>
      <c r="X88" s="9"/>
      <c r="Y88" s="9"/>
      <c r="Z88" s="9"/>
      <c r="AA88" s="9"/>
      <c r="AB88" s="9">
        <f>SUM(M88,N88,Q88,R88,S88,T88,U88,V88,W88,X88,Y88,Z88,AA88)</f>
      </c>
      <c r="AC88" s="9">
        <f>I88-AB88</f>
      </c>
      <c r="AD88" s="9">
        <f>AC88-AE88-AF88-AG88-AH88</f>
      </c>
      <c r="AE88" s="9"/>
      <c r="AF88" s="9"/>
      <c r="AG88" s="9"/>
      <c r="AH88" s="9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9"/>
      <c r="AT88" s="9"/>
      <c r="AU88" s="8"/>
      <c r="AV88" s="8"/>
      <c r="AW88" s="8"/>
      <c r="AX88" s="8"/>
    </row>
    <row r="89" ht="12.75" customHeight="1">
      <c r="A89" t="inlineStr" s="8">
        <is>
          <t>002010979736</t>
        </is>
      </c>
      <c r="B89" s="8"/>
      <c r="C89" t="inlineStr" s="8">
        <is>
          <t>905</t>
        </is>
      </c>
      <c r="D89" s="9">
        <v>40.70</v>
      </c>
      <c r="E89" t="inlineStr" s="8">
        <is>
          <t>1012464843</t>
        </is>
      </c>
      <c r="F89" t="inlineStr" s="8">
        <is>
          <t>RAMIREZ SIERRA SAHIAM</t>
        </is>
      </c>
      <c r="G89" s="8"/>
      <c r="H89" s="8"/>
      <c r="I89" s="9">
        <v>173000000.00</v>
      </c>
      <c r="J89" s="8"/>
      <c r="K89" t="inlineStr" s="8">
        <is>
          <t>RC206 - RC207 - RC366</t>
        </is>
      </c>
      <c r="L89" t="inlineStr" s="8">
        <is>
          <t>JUL.2/26F - JUL.3/26F - AGO.25/26F</t>
        </is>
      </c>
      <c r="M89" s="9"/>
      <c r="N89" s="9"/>
      <c r="O89" s="8"/>
      <c r="P89" s="8"/>
      <c r="Q89" s="10"/>
      <c r="R89" s="10"/>
      <c r="S89" s="10"/>
      <c r="T89" s="10"/>
      <c r="U89" s="10">
        <f>8000000+2000000</f>
      </c>
      <c r="V89" s="10">
        <v>2733000</v>
      </c>
      <c r="W89" s="10"/>
      <c r="X89" s="9"/>
      <c r="Y89" s="9"/>
      <c r="Z89" s="9"/>
      <c r="AA89" s="9"/>
      <c r="AB89" s="9">
        <f>SUM(M89,N89,Q89,R89,S89,T89,U89,V89,W89,X89,Y89,Z89,AA89)</f>
      </c>
      <c r="AC89" s="9">
        <f>I89-AB89</f>
      </c>
      <c r="AD89" s="9">
        <f>AC89-AE89-AF89-AG89-AH89</f>
      </c>
      <c r="AE89" s="9"/>
      <c r="AF89" s="9"/>
      <c r="AG89" s="9"/>
      <c r="AH89" s="9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9"/>
      <c r="AT89" s="9"/>
      <c r="AU89" t="inlineStr" s="8">
        <is>
          <t>3217024914</t>
        </is>
      </c>
      <c r="AV89" t="inlineStr" s="8">
        <is>
          <t>sahiamramirezsierra@gmail.com</t>
        </is>
      </c>
      <c r="AW89" s="8"/>
      <c r="AX89" s="8"/>
    </row>
    <row r="90" ht="12.75" customHeight="1">
      <c r="A90" t="inlineStr" s="8">
        <is>
          <t>002010979745</t>
        </is>
      </c>
      <c r="B90" s="8"/>
      <c r="C90" t="inlineStr" s="8">
        <is>
          <t>906</t>
        </is>
      </c>
      <c r="D90" s="9">
        <v>40.70</v>
      </c>
      <c r="E90" t="inlineStr" s="8">
        <is>
          <t>1094948585</t>
        </is>
      </c>
      <c r="F90" t="inlineStr" s="8">
        <is>
          <t>MORENO ARBELAEZ JOHANN SEBASTIAN</t>
        </is>
      </c>
      <c r="G90" s="8"/>
      <c r="H90" s="8"/>
      <c r="I90" s="9">
        <v>173000000.00</v>
      </c>
      <c r="J90" s="8"/>
      <c r="K90" t="inlineStr" s="8">
        <is>
          <t>RC263 - RC673 - RC577</t>
        </is>
      </c>
      <c r="L90" t="inlineStr" s="8">
        <is>
          <t>JUL.9/26F - JUL.31/26F - AGO.31/26F</t>
        </is>
      </c>
      <c r="M90" s="9"/>
      <c r="N90" s="9"/>
      <c r="O90" s="8"/>
      <c r="P90" s="8"/>
      <c r="Q90" s="10"/>
      <c r="R90" s="10"/>
      <c r="S90" s="10"/>
      <c r="T90" s="10"/>
      <c r="U90" s="10">
        <f>1000000+1244000</f>
      </c>
      <c r="V90" s="10">
        <v>1244000</v>
      </c>
      <c r="W90" s="10"/>
      <c r="X90" s="9"/>
      <c r="Y90" s="9"/>
      <c r="Z90" s="9"/>
      <c r="AA90" s="9"/>
      <c r="AB90" s="9">
        <f>SUM(M90,N90,Q90,R90,S90,T90,U90,V90,W90,X90,Y90,Z90,AA90)</f>
      </c>
      <c r="AC90" s="9">
        <f>I90-AB90</f>
      </c>
      <c r="AD90" s="9">
        <f>AC90-AE90-AF90-AG90-AH90</f>
      </c>
      <c r="AE90" s="9"/>
      <c r="AF90" s="9"/>
      <c r="AG90" s="9"/>
      <c r="AH90" s="9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9"/>
      <c r="AT90" s="9"/>
      <c r="AU90" t="inlineStr" s="8">
        <is>
          <t>3027579476</t>
        </is>
      </c>
      <c r="AV90" t="inlineStr" s="8">
        <is>
          <t>jsmorenoarbelaez@gmail.com</t>
        </is>
      </c>
      <c r="AW90" s="8"/>
      <c r="AX90" s="8"/>
    </row>
    <row r="91" ht="12.75" customHeight="1">
      <c r="A91" t="inlineStr" s="8">
        <is>
          <t>002010979754</t>
        </is>
      </c>
      <c r="B91" s="8"/>
      <c r="C91" t="inlineStr" s="8">
        <is>
          <t>907</t>
        </is>
      </c>
      <c r="D91" s="9">
        <v>40.80</v>
      </c>
      <c r="E91" t="inlineStr" s="8">
        <is>
          <t>41792210</t>
        </is>
      </c>
      <c r="F91" t="inlineStr" s="8">
        <is>
          <t>QUINTERO BALANQUERA CECILIA</t>
        </is>
      </c>
      <c r="G91" s="8"/>
      <c r="H91" s="8"/>
      <c r="I91" s="9">
        <v>173000000.00</v>
      </c>
      <c r="J91" s="8"/>
      <c r="K91" t="inlineStr" s="8">
        <is>
          <t>NCR83 - NCR125 - RC372 - RC325</t>
        </is>
      </c>
      <c r="L91" t="inlineStr" s="8">
        <is>
          <t>MAY.29/26F - JUN.19/26F - JUL.17/26F - AGO.20/26F</t>
        </is>
      </c>
      <c r="M91" s="9"/>
      <c r="N91" s="9"/>
      <c r="O91" s="8"/>
      <c r="P91" s="8"/>
      <c r="Q91" s="10"/>
      <c r="R91" s="10"/>
      <c r="S91" s="10">
        <v>1000000</v>
      </c>
      <c r="T91" s="10">
        <v>1160000</v>
      </c>
      <c r="U91" s="10">
        <v>1160000</v>
      </c>
      <c r="V91" s="10">
        <v>1160000</v>
      </c>
      <c r="W91" s="10"/>
      <c r="X91" s="9"/>
      <c r="Y91" s="9"/>
      <c r="Z91" s="9"/>
      <c r="AA91" s="9"/>
      <c r="AB91" s="9">
        <f>SUM(M91,N91,Q91,R91,S91,T91,U91,V91,W91,X91,Y91,Z91,AA91)</f>
      </c>
      <c r="AC91" s="9">
        <f>I91-AB91</f>
      </c>
      <c r="AD91" s="9">
        <f>AC91-AE91-AF91-AG91-AH91</f>
      </c>
      <c r="AE91" s="9"/>
      <c r="AF91" s="9"/>
      <c r="AG91" s="9"/>
      <c r="AH91" s="9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9"/>
      <c r="AT91" s="9"/>
      <c r="AU91" t="inlineStr" s="8">
        <is>
          <t>17702944641</t>
        </is>
      </c>
      <c r="AV91" t="inlineStr" s="8">
        <is>
          <t>camaqui9192@gmail.com</t>
        </is>
      </c>
      <c r="AW91" s="8"/>
      <c r="AX91" s="8"/>
    </row>
    <row r="92" ht="12.75" customHeight="1">
      <c r="A92" t="inlineStr" s="8">
        <is>
          <t>002010979763</t>
        </is>
      </c>
      <c r="B92" s="8"/>
      <c r="C92" t="inlineStr" s="8">
        <is>
          <t>908</t>
        </is>
      </c>
      <c r="D92" s="9">
        <v>40.80</v>
      </c>
      <c r="E92" t="inlineStr" s="8">
        <is>
          <t>93415139</t>
        </is>
      </c>
      <c r="F92" t="inlineStr" s="8">
        <is>
          <t>CASTAÑEDA MONTEALEGRE CESAR ALBERTO</t>
        </is>
      </c>
      <c r="G92" s="8"/>
      <c r="H92" s="8"/>
      <c r="I92" s="9">
        <v>173000000.00</v>
      </c>
      <c r="J92" s="8"/>
      <c r="K92" t="inlineStr" s="8">
        <is>
          <t>NCR58 - NCR117 - RC337 - RC455</t>
        </is>
      </c>
      <c r="L92" t="inlineStr" s="8">
        <is>
          <t>MAY.11/26F - JUN.17/26F - JUL.15/26F - AGO.28/26F</t>
        </is>
      </c>
      <c r="M92" s="9"/>
      <c r="N92" s="9"/>
      <c r="O92" s="8"/>
      <c r="P92" s="8"/>
      <c r="Q92" s="10"/>
      <c r="R92" s="10"/>
      <c r="S92" s="10">
        <v>2122000</v>
      </c>
      <c r="T92" s="10">
        <v>700000</v>
      </c>
      <c r="U92" s="10">
        <v>1628000</v>
      </c>
      <c r="V92" s="10">
        <v>1331250</v>
      </c>
      <c r="W92" s="10"/>
      <c r="X92" s="9"/>
      <c r="Y92" s="9"/>
      <c r="Z92" s="9"/>
      <c r="AA92" s="9"/>
      <c r="AB92" s="9">
        <f>SUM(M92,N92,Q92,R92,S92,T92,U92,V92,W92,X92,Y92,Z92,AA92)</f>
      </c>
      <c r="AC92" s="9">
        <f>I92-AB92</f>
      </c>
      <c r="AD92" s="9">
        <f>AC92-AE92-AF92-AG92-AH92</f>
      </c>
      <c r="AE92" s="9"/>
      <c r="AF92" s="9"/>
      <c r="AG92" s="9"/>
      <c r="AH92" s="9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9"/>
      <c r="AT92" s="9"/>
      <c r="AU92" t="inlineStr" s="8">
        <is>
          <t>17325229453</t>
        </is>
      </c>
      <c r="AV92" t="inlineStr" s="8">
        <is>
          <t>lituango@hotmail.com</t>
        </is>
      </c>
      <c r="AW92" s="8"/>
      <c r="AX92" s="8"/>
    </row>
    <row r="93" ht="12.75" customHeight="1">
      <c r="A93" s="8"/>
      <c r="B93" s="8"/>
      <c r="C93" t="inlineStr" s="8">
        <is>
          <t>909</t>
        </is>
      </c>
      <c r="D93" s="9">
        <v>40.70</v>
      </c>
      <c r="E93" s="8"/>
      <c r="F93" s="8"/>
      <c r="G93" s="8"/>
      <c r="H93" s="8"/>
      <c r="I93" s="9">
        <v>173000000.00</v>
      </c>
      <c r="J93" s="8"/>
      <c r="K93" s="8"/>
      <c r="L93" s="8"/>
      <c r="M93" s="9"/>
      <c r="N93" s="9"/>
      <c r="O93" s="8"/>
      <c r="P93" s="8"/>
      <c r="Q93" s="10"/>
      <c r="R93" s="10"/>
      <c r="S93" s="10"/>
      <c r="T93" s="10"/>
      <c r="U93" s="10"/>
      <c r="V93" s="10"/>
      <c r="W93" s="10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9"/>
      <c r="AT93" s="9"/>
      <c r="AU93" s="8"/>
      <c r="AV93" s="8"/>
      <c r="AW93" s="8"/>
      <c r="AX93" s="8"/>
    </row>
    <row r="94" ht="12.75" customHeight="1">
      <c r="A94" s="8"/>
      <c r="B94" s="8"/>
      <c r="C94" t="inlineStr" s="8">
        <is>
          <t>910</t>
        </is>
      </c>
      <c r="D94" s="9">
        <v>40.70</v>
      </c>
      <c r="E94" s="8"/>
      <c r="F94" s="8"/>
      <c r="G94" s="8"/>
      <c r="H94" s="8"/>
      <c r="I94" s="9">
        <v>173000000.00</v>
      </c>
      <c r="J94" s="8"/>
      <c r="K94" s="8"/>
      <c r="L94" s="8"/>
      <c r="M94" s="9"/>
      <c r="N94" s="9"/>
      <c r="O94" s="8"/>
      <c r="P94" s="8"/>
      <c r="Q94" s="10"/>
      <c r="R94" s="10"/>
      <c r="S94" s="10"/>
      <c r="T94" s="10"/>
      <c r="U94" s="10"/>
      <c r="V94" s="10"/>
      <c r="W94" s="10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9"/>
      <c r="AT94" s="9"/>
      <c r="AU94" s="8"/>
      <c r="AV94" s="8"/>
      <c r="AW94" s="8"/>
      <c r="AX94" s="8"/>
    </row>
    <row r="95" ht="12.75" customHeight="1">
      <c r="A95" s="8"/>
      <c r="B95" s="8"/>
      <c r="C95" t="inlineStr" s="8">
        <is>
          <t>1001</t>
        </is>
      </c>
      <c r="D95" s="9">
        <v>41.03</v>
      </c>
      <c r="E95" s="8"/>
      <c r="F95" s="8"/>
      <c r="G95" s="8"/>
      <c r="H95" s="8"/>
      <c r="I95" s="9">
        <v>173000000.00</v>
      </c>
      <c r="J95" s="8"/>
      <c r="K95" s="8"/>
      <c r="L95" s="8"/>
      <c r="M95" s="9"/>
      <c r="N95" s="9"/>
      <c r="O95" s="8"/>
      <c r="P95" s="8"/>
      <c r="Q95" s="10"/>
      <c r="R95" s="10"/>
      <c r="S95" s="10"/>
      <c r="T95" s="10"/>
      <c r="U95" s="10"/>
      <c r="V95" s="10"/>
      <c r="W95" s="10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9"/>
      <c r="AT95" s="9"/>
      <c r="AU95" s="8"/>
      <c r="AV95" s="8"/>
      <c r="AW95" s="8"/>
      <c r="AX95" s="8"/>
    </row>
    <row r="96" ht="12.75" customHeight="1">
      <c r="A96" s="8"/>
      <c r="B96" s="8"/>
      <c r="C96" t="inlineStr" s="8">
        <is>
          <t>1002</t>
        </is>
      </c>
      <c r="D96" s="9">
        <v>40.70</v>
      </c>
      <c r="E96" s="8"/>
      <c r="F96" s="8"/>
      <c r="G96" s="8"/>
      <c r="H96" s="8"/>
      <c r="I96" s="9">
        <v>173000000.00</v>
      </c>
      <c r="J96" s="8"/>
      <c r="K96" s="8"/>
      <c r="L96" s="8"/>
      <c r="M96" s="9"/>
      <c r="N96" s="9"/>
      <c r="O96" s="8"/>
      <c r="P96" s="8"/>
      <c r="Q96" s="10"/>
      <c r="R96" s="10"/>
      <c r="S96" s="10"/>
      <c r="T96" s="10"/>
      <c r="U96" s="10"/>
      <c r="V96" s="10"/>
      <c r="W96" s="10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9"/>
      <c r="AT96" s="9"/>
      <c r="AU96" s="8"/>
      <c r="AV96" s="8"/>
      <c r="AW96" s="8"/>
      <c r="AX96" s="8"/>
    </row>
    <row r="97" ht="12.75" customHeight="1">
      <c r="A97" t="inlineStr" s="8">
        <is>
          <t>002010979816</t>
        </is>
      </c>
      <c r="B97" s="8"/>
      <c r="C97" t="inlineStr" s="8">
        <is>
          <t>1003</t>
        </is>
      </c>
      <c r="D97" s="9">
        <v>40.70</v>
      </c>
      <c r="E97" t="inlineStr" s="8">
        <is>
          <t>1113309680</t>
        </is>
      </c>
      <c r="F97" t="inlineStr" s="8">
        <is>
          <t>OSORIO BEDOYA CARLOS ANDRES</t>
        </is>
      </c>
      <c r="G97" s="8"/>
      <c r="H97" s="8"/>
      <c r="I97" s="9">
        <v>173000000.00</v>
      </c>
      <c r="J97" s="8"/>
      <c r="K97" t="inlineStr" s="8">
        <is>
          <t>NCR30 - NCR92 - NCR139 - RC578</t>
        </is>
      </c>
      <c r="L97" t="inlineStr" s="8">
        <is>
          <t>ABR.27/26F - JUN.1/26F - JUN.30/26F - AGO.31/26F</t>
        </is>
      </c>
      <c r="M97" s="9"/>
      <c r="N97" s="9"/>
      <c r="O97" s="8"/>
      <c r="P97" s="8"/>
      <c r="Q97" s="10"/>
      <c r="R97" s="10">
        <v>1000000</v>
      </c>
      <c r="S97" s="10"/>
      <c r="T97" s="10">
        <f>1120000+2240000</f>
      </c>
      <c r="U97" s="10"/>
      <c r="V97" s="10">
        <v>1120000</v>
      </c>
      <c r="W97" s="10"/>
      <c r="X97" s="9"/>
      <c r="Y97" s="9"/>
      <c r="Z97" s="9"/>
      <c r="AA97" s="9"/>
      <c r="AB97" s="9">
        <f>SUM(M97,N97,Q97,R97,S97,T97,U97,V97,W97,X97,Y97,Z97,AA97)</f>
      </c>
      <c r="AC97" s="9">
        <f>I97-AB97</f>
      </c>
      <c r="AD97" s="9">
        <f>AC97-AE97-AF97-AG97-AH97</f>
      </c>
      <c r="AE97" s="9"/>
      <c r="AF97" s="9"/>
      <c r="AG97" s="9"/>
      <c r="AH97" s="9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9"/>
      <c r="AT97" s="9"/>
      <c r="AU97" t="inlineStr" s="8">
        <is>
          <t>3105265131</t>
        </is>
      </c>
      <c r="AV97" t="inlineStr" s="8">
        <is>
          <t>andresosorio5131@gmail.com</t>
        </is>
      </c>
      <c r="AW97" s="8"/>
      <c r="AX97" s="8"/>
    </row>
    <row r="98" ht="12.75" customHeight="1">
      <c r="A98" t="inlineStr" s="8">
        <is>
          <t>002010979825</t>
        </is>
      </c>
      <c r="B98" s="8"/>
      <c r="C98" t="inlineStr" s="8">
        <is>
          <t>1004</t>
        </is>
      </c>
      <c r="D98" s="9">
        <v>40.70</v>
      </c>
      <c r="E98" t="inlineStr" s="8">
        <is>
          <t>1072639666</t>
        </is>
      </c>
      <c r="F98" t="inlineStr" s="8">
        <is>
          <t>BOGOTA DIAZ EDGAR ALEXANDER</t>
        </is>
      </c>
      <c r="G98" s="8"/>
      <c r="H98" s="8"/>
      <c r="I98" s="9">
        <v>173000000.00</v>
      </c>
      <c r="J98" s="8"/>
      <c r="K98" t="inlineStr" s="8">
        <is>
          <t>NCR19 - NCR37 - NCR87 - RC208 - RC083 - RC579</t>
        </is>
      </c>
      <c r="L98" t="inlineStr" s="8">
        <is>
          <t>ABR.16/26F - ABR.30/26F - JUN.1/26F - JUL.1/26F - AGO.3/26F - AGO.31/26F</t>
        </is>
      </c>
      <c r="M98" s="9"/>
      <c r="N98" s="9"/>
      <c r="O98" s="8"/>
      <c r="P98" s="8"/>
      <c r="Q98" s="10"/>
      <c r="R98" s="10">
        <f>1000000+1100000</f>
      </c>
      <c r="S98" s="10"/>
      <c r="T98" s="10">
        <v>1100000</v>
      </c>
      <c r="U98" s="10">
        <v>1101000</v>
      </c>
      <c r="V98" s="10">
        <f>1001000+1101000</f>
      </c>
      <c r="W98" s="10"/>
      <c r="X98" s="9"/>
      <c r="Y98" s="9"/>
      <c r="Z98" s="9"/>
      <c r="AA98" s="9"/>
      <c r="AB98" s="9">
        <f>SUM(M98,N98,Q98,R98,S98,T98,U98,V98,W98,X98,Y98,Z98,AA98)</f>
      </c>
      <c r="AC98" s="9">
        <f>I98-AB98</f>
      </c>
      <c r="AD98" s="9">
        <f>AC98-AE98-AF98-AG98-AH98</f>
      </c>
      <c r="AE98" s="9"/>
      <c r="AF98" s="9"/>
      <c r="AG98" s="9"/>
      <c r="AH98" s="9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9"/>
      <c r="AT98" s="9"/>
      <c r="AU98" t="inlineStr" s="8">
        <is>
          <t>3102636440</t>
        </is>
      </c>
      <c r="AV98" t="inlineStr" s="8">
        <is>
          <t>abogotad@hotmail.com</t>
        </is>
      </c>
      <c r="AW98" s="8"/>
      <c r="AX98" s="8"/>
    </row>
    <row r="99" ht="12.75" customHeight="1">
      <c r="A99" t="inlineStr" s="8">
        <is>
          <t>002010979834</t>
        </is>
      </c>
      <c r="B99" s="8"/>
      <c r="C99" t="inlineStr" s="8">
        <is>
          <t>1005</t>
        </is>
      </c>
      <c r="D99" s="9">
        <v>40.70</v>
      </c>
      <c r="E99" t="inlineStr" s="8">
        <is>
          <t>41928920</t>
        </is>
      </c>
      <c r="F99" t="inlineStr" s="8">
        <is>
          <t>ANGARITA OSPINA MARTHA LILIANA</t>
        </is>
      </c>
      <c r="G99" s="8"/>
      <c r="H99" s="8"/>
      <c r="I99" s="9">
        <v>173000000.00</v>
      </c>
      <c r="J99" s="8"/>
      <c r="K99" t="inlineStr" s="8">
        <is>
          <t>NCR1 - NCR47 - NCR89 - NCR144 - RC084 - RC040</t>
        </is>
      </c>
      <c r="L99" t="inlineStr" s="8">
        <is>
          <t>MAR.31/26F - MAY.4/26F - JUN.1/26F - JUN.30/26F - AGO.3/26F - SEP.1/26F</t>
        </is>
      </c>
      <c r="M99" s="9"/>
      <c r="N99" s="9"/>
      <c r="O99" s="8"/>
      <c r="P99" s="8"/>
      <c r="Q99" s="10">
        <v>1000000</v>
      </c>
      <c r="R99" s="10"/>
      <c r="S99" s="10">
        <v>500000</v>
      </c>
      <c r="T99" s="10">
        <f>500000+3400000</f>
      </c>
      <c r="U99" s="10"/>
      <c r="V99" s="10">
        <v>500000</v>
      </c>
      <c r="W99" s="10">
        <v>500000</v>
      </c>
      <c r="X99" s="9"/>
      <c r="Y99" s="9"/>
      <c r="Z99" s="9"/>
      <c r="AA99" s="9"/>
      <c r="AB99" s="9">
        <f>SUM(M99,N99,Q99,R99,S99,T99,U99,V99,W99,X99,Y99,Z99,AA99)</f>
      </c>
      <c r="AC99" s="9">
        <f>I99-AB99</f>
      </c>
      <c r="AD99" s="9">
        <f>AC99-AE99-AF99-AG99-AH99</f>
      </c>
      <c r="AE99" s="9"/>
      <c r="AF99" s="9"/>
      <c r="AG99" s="9"/>
      <c r="AH99" s="9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9"/>
      <c r="AT99" s="9"/>
      <c r="AU99" t="inlineStr" s="8">
        <is>
          <t>3127414702</t>
        </is>
      </c>
      <c r="AV99" t="inlineStr" s="8">
        <is>
          <t>sanzangarita500@gmail.com</t>
        </is>
      </c>
      <c r="AW99" s="8"/>
      <c r="AX99" s="8"/>
    </row>
    <row r="100" ht="12.75" customHeight="1">
      <c r="A100" t="inlineStr" s="8">
        <is>
          <t>002010979843</t>
        </is>
      </c>
      <c r="B100" s="8"/>
      <c r="C100" t="inlineStr" s="8">
        <is>
          <t>1006</t>
        </is>
      </c>
      <c r="D100" s="9">
        <v>40.70</v>
      </c>
      <c r="E100" t="inlineStr" s="8">
        <is>
          <t>1013673145</t>
        </is>
      </c>
      <c r="F100" t="inlineStr" s="8">
        <is>
          <t>VARGAS BARRETO TANIA VALENTINA</t>
        </is>
      </c>
      <c r="G100" s="8"/>
      <c r="H100" s="8"/>
      <c r="I100" s="9">
        <v>173000000.00</v>
      </c>
      <c r="J100" s="8"/>
      <c r="K100" t="inlineStr" s="8">
        <is>
          <t>NCR18 - NCR99 - NCR136 - RC085 - RC109</t>
        </is>
      </c>
      <c r="L100" t="inlineStr" s="8">
        <is>
          <t>ABR.16/26F - JUN.2/26F - JUN.30/26F - AGO.3/26F - SEP.3/26F</t>
        </is>
      </c>
      <c r="M100" s="9"/>
      <c r="N100" s="9"/>
      <c r="O100" s="8"/>
      <c r="P100" s="8"/>
      <c r="Q100" s="10"/>
      <c r="R100" s="10">
        <v>1000000</v>
      </c>
      <c r="S100" s="10"/>
      <c r="T100" s="10">
        <f>1080000+1080000</f>
      </c>
      <c r="U100" s="10"/>
      <c r="V100" s="10">
        <v>1080000</v>
      </c>
      <c r="W100" s="10">
        <v>1080000</v>
      </c>
      <c r="X100" s="9"/>
      <c r="Y100" s="9"/>
      <c r="Z100" s="9"/>
      <c r="AA100" s="9"/>
      <c r="AB100" s="9">
        <f>SUM(M100,N100,Q100,R100,S100,T100,U100,V100,W100,X100,Y100,Z100,AA100)</f>
      </c>
      <c r="AC100" s="9">
        <f>I100-AB100</f>
      </c>
      <c r="AD100" s="9">
        <f>AC100-AE100-AF100-AG100-AH100</f>
      </c>
      <c r="AE100" s="9"/>
      <c r="AF100" s="9"/>
      <c r="AG100" s="9"/>
      <c r="AH100" s="9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9"/>
      <c r="AT100" s="9"/>
      <c r="AU100" t="inlineStr" s="8">
        <is>
          <t>3502280106</t>
        </is>
      </c>
      <c r="AV100" t="inlineStr" s="8">
        <is>
          <t>28valentina.vb@gmail.com</t>
        </is>
      </c>
      <c r="AW100" s="8"/>
      <c r="AX100" s="8"/>
    </row>
    <row r="101" ht="12.75" customHeight="1">
      <c r="A101" t="inlineStr" s="8">
        <is>
          <t>002010979852</t>
        </is>
      </c>
      <c r="B101" s="8"/>
      <c r="C101" t="inlineStr" s="8">
        <is>
          <t>1007</t>
        </is>
      </c>
      <c r="D101" s="9">
        <v>40.80</v>
      </c>
      <c r="E101" t="inlineStr" s="8">
        <is>
          <t>1094971745</t>
        </is>
      </c>
      <c r="F101" t="inlineStr" s="8">
        <is>
          <t>CASAS RODRIGUEZ NICOLAS</t>
        </is>
      </c>
      <c r="G101" s="8"/>
      <c r="H101" s="8"/>
      <c r="I101" s="9">
        <v>173000000.00</v>
      </c>
      <c r="J101" s="8"/>
      <c r="K101" t="inlineStr" s="8">
        <is>
          <t>NCR22 - NCR82 - NCR149 - RC616 - RC580</t>
        </is>
      </c>
      <c r="L101" t="inlineStr" s="8">
        <is>
          <t>ABR.17/26F - MAY.29/26F - JUN.29/26F - JUL.30/26F - AGO.31/26F</t>
        </is>
      </c>
      <c r="M101" s="9"/>
      <c r="N101" s="9"/>
      <c r="O101" s="8"/>
      <c r="P101" s="8"/>
      <c r="Q101" s="10"/>
      <c r="R101" s="10">
        <v>1000000</v>
      </c>
      <c r="S101" s="10">
        <v>1120000</v>
      </c>
      <c r="T101" s="10">
        <v>1120000</v>
      </c>
      <c r="U101" s="10">
        <v>1120000</v>
      </c>
      <c r="V101" s="10">
        <v>1120000</v>
      </c>
      <c r="W101" s="10"/>
      <c r="X101" s="9"/>
      <c r="Y101" s="9"/>
      <c r="Z101" s="9"/>
      <c r="AA101" s="9"/>
      <c r="AB101" s="9">
        <f>SUM(M101,N101,Q101,R101,S101,T101,U101,V101,W101,X101,Y101,Z101,AA101)</f>
      </c>
      <c r="AC101" s="9">
        <f>I101-AB101</f>
      </c>
      <c r="AD101" s="9">
        <f>AC101-AE101-AF101-AG101-AH101</f>
      </c>
      <c r="AE101" s="9"/>
      <c r="AF101" s="9"/>
      <c r="AG101" s="9"/>
      <c r="AH101" s="9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9"/>
      <c r="AT101" s="9"/>
      <c r="AU101" t="inlineStr" s="8">
        <is>
          <t>3204361294</t>
        </is>
      </c>
      <c r="AV101" t="inlineStr" s="8">
        <is>
          <t>nicaro11981@gmail.com</t>
        </is>
      </c>
      <c r="AW101" s="8"/>
      <c r="AX101" s="8"/>
    </row>
    <row r="102" ht="12.75" customHeight="1">
      <c r="A102" t="inlineStr" s="8">
        <is>
          <t>002010979861</t>
        </is>
      </c>
      <c r="B102" s="8"/>
      <c r="C102" t="inlineStr" s="8">
        <is>
          <t>1008</t>
        </is>
      </c>
      <c r="D102" s="9">
        <v>40.80</v>
      </c>
      <c r="E102" t="inlineStr" s="8">
        <is>
          <t>1099682558</t>
        </is>
      </c>
      <c r="F102" t="inlineStr" s="8">
        <is>
          <t>TORRES ARENAS FLOR VIVIANA</t>
        </is>
      </c>
      <c r="G102" s="8"/>
      <c r="H102" s="8"/>
      <c r="I102" s="9">
        <v>173000000.00</v>
      </c>
      <c r="J102" s="8"/>
      <c r="K102" t="inlineStr" s="8">
        <is>
          <t>NCR12 - NCR44 - NCR106 - NCR121 - RC339 - RC286</t>
        </is>
      </c>
      <c r="L102" t="inlineStr" s="8">
        <is>
          <t>ABR.8/26F - ABR.30/26F - JUN.4/26F - JUN.18/26F - JUL.15/26F - AGO.18/26F</t>
        </is>
      </c>
      <c r="M102" s="9"/>
      <c r="N102" s="9"/>
      <c r="O102" s="8"/>
      <c r="P102" s="8"/>
      <c r="Q102" s="10"/>
      <c r="R102" s="10">
        <f>1000000+1080000</f>
      </c>
      <c r="S102" s="10"/>
      <c r="T102" s="10">
        <f>800000+280000</f>
      </c>
      <c r="U102" s="10">
        <v>1100000</v>
      </c>
      <c r="V102" s="10">
        <v>1500000</v>
      </c>
      <c r="W102" s="10"/>
      <c r="X102" s="9"/>
      <c r="Y102" s="9"/>
      <c r="Z102" s="9"/>
      <c r="AA102" s="9"/>
      <c r="AB102" s="9">
        <f>SUM(M102,N102,Q102,R102,S102,T102,U102,V102,W102,X102,Y102,Z102,AA102)</f>
      </c>
      <c r="AC102" s="9">
        <f>I102-AB102</f>
      </c>
      <c r="AD102" s="9">
        <f>AC102-AE102-AF102-AG102-AH102</f>
      </c>
      <c r="AE102" s="9"/>
      <c r="AF102" s="9"/>
      <c r="AG102" s="9"/>
      <c r="AH102" s="9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9"/>
      <c r="AT102" s="9"/>
      <c r="AU102" t="inlineStr" s="8">
        <is>
          <t>3113227012</t>
        </is>
      </c>
      <c r="AV102" t="inlineStr" s="8">
        <is>
          <t>vivito2307@hotmail.com</t>
        </is>
      </c>
      <c r="AW102" s="8"/>
      <c r="AX102" s="8"/>
    </row>
    <row r="103" ht="12.75" customHeight="1">
      <c r="A103" s="8"/>
      <c r="B103" s="8"/>
      <c r="C103" t="inlineStr" s="8">
        <is>
          <t>1009</t>
        </is>
      </c>
      <c r="D103" s="9">
        <v>40.70</v>
      </c>
      <c r="E103" s="8"/>
      <c r="F103" s="8"/>
      <c r="G103" s="8"/>
      <c r="H103" s="8"/>
      <c r="I103" s="9">
        <v>173000000.00</v>
      </c>
      <c r="J103" s="8"/>
      <c r="K103" s="8"/>
      <c r="L103" s="8"/>
      <c r="M103" s="9"/>
      <c r="N103" s="9"/>
      <c r="O103" s="8"/>
      <c r="P103" s="8"/>
      <c r="Q103" s="10"/>
      <c r="R103" s="10"/>
      <c r="S103" s="10"/>
      <c r="T103" s="10"/>
      <c r="U103" s="10"/>
      <c r="V103" s="10"/>
      <c r="W103" s="10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9"/>
      <c r="AT103" s="9"/>
      <c r="AU103" s="8"/>
      <c r="AV103" s="8"/>
      <c r="AW103" s="8"/>
      <c r="AX103" s="8"/>
    </row>
    <row r="104" ht="12.75" customHeight="1">
      <c r="A104" s="8"/>
      <c r="B104" s="8"/>
      <c r="C104" t="inlineStr" s="8">
        <is>
          <t>1010</t>
        </is>
      </c>
      <c r="D104" s="9">
        <v>40.70</v>
      </c>
      <c r="E104" s="8"/>
      <c r="F104" s="8"/>
      <c r="G104" s="8"/>
      <c r="H104" s="8"/>
      <c r="I104" s="9">
        <v>173000000.00</v>
      </c>
      <c r="J104" s="8"/>
      <c r="K104" s="8"/>
      <c r="L104" s="8"/>
      <c r="M104" s="9"/>
      <c r="N104" s="9"/>
      <c r="O104" s="8"/>
      <c r="P104" s="8"/>
      <c r="Q104" s="10"/>
      <c r="R104" s="10"/>
      <c r="S104" s="10"/>
      <c r="T104" s="10"/>
      <c r="U104" s="10"/>
      <c r="V104" s="10"/>
      <c r="W104" s="10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9"/>
      <c r="AT104" s="9"/>
      <c r="AU104" s="8"/>
      <c r="AV104" s="8"/>
      <c r="AW104" s="8"/>
      <c r="AX104" s="8"/>
    </row>
    <row r="105" ht="12.75" customHeight="1">
      <c r="A105" s="8"/>
      <c r="B105" s="8"/>
      <c r="C105" t="inlineStr" s="8">
        <is>
          <t>1101</t>
        </is>
      </c>
      <c r="D105" s="9">
        <v>41.03</v>
      </c>
      <c r="E105" s="8"/>
      <c r="F105" s="8"/>
      <c r="G105" s="8"/>
      <c r="H105" s="8"/>
      <c r="I105" s="9">
        <v>173000000.00</v>
      </c>
      <c r="J105" s="8"/>
      <c r="K105" s="8"/>
      <c r="L105" s="8"/>
      <c r="M105" s="9"/>
      <c r="N105" s="9"/>
      <c r="O105" s="8"/>
      <c r="P105" s="8"/>
      <c r="Q105" s="10"/>
      <c r="R105" s="10"/>
      <c r="S105" s="10"/>
      <c r="T105" s="10"/>
      <c r="U105" s="10"/>
      <c r="V105" s="10"/>
      <c r="W105" s="10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9"/>
      <c r="AT105" s="9"/>
      <c r="AU105" s="8"/>
      <c r="AV105" s="8"/>
      <c r="AW105" s="8"/>
      <c r="AX105" s="8"/>
    </row>
    <row r="106" ht="12.75" customHeight="1">
      <c r="A106" s="8"/>
      <c r="B106" s="8"/>
      <c r="C106" t="inlineStr" s="8">
        <is>
          <t>1102</t>
        </is>
      </c>
      <c r="D106" s="9">
        <v>40.70</v>
      </c>
      <c r="E106" s="8"/>
      <c r="F106" s="8"/>
      <c r="G106" s="8"/>
      <c r="H106" s="8"/>
      <c r="I106" s="9">
        <v>173000000.00</v>
      </c>
      <c r="J106" s="8"/>
      <c r="K106" s="8"/>
      <c r="L106" s="8"/>
      <c r="M106" s="9"/>
      <c r="N106" s="9"/>
      <c r="O106" s="8"/>
      <c r="P106" s="8"/>
      <c r="Q106" s="10"/>
      <c r="R106" s="10"/>
      <c r="S106" s="10"/>
      <c r="T106" s="10"/>
      <c r="U106" s="10"/>
      <c r="V106" s="10"/>
      <c r="W106" s="10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9"/>
      <c r="AT106" s="9"/>
      <c r="AU106" s="8"/>
      <c r="AV106" s="8"/>
      <c r="AW106" s="8"/>
      <c r="AX106" s="8"/>
    </row>
    <row r="107" ht="12.75" customHeight="1">
      <c r="A107" t="inlineStr" s="8">
        <is>
          <t>002010979914</t>
        </is>
      </c>
      <c r="B107" s="8"/>
      <c r="C107" t="inlineStr" s="8">
        <is>
          <t>1103</t>
        </is>
      </c>
      <c r="D107" s="9">
        <v>40.70</v>
      </c>
      <c r="E107" t="inlineStr" s="8">
        <is>
          <t>1094899475</t>
        </is>
      </c>
      <c r="F107" t="inlineStr" s="8">
        <is>
          <t>CASTAÑO LONDOÑO GERALDINE</t>
        </is>
      </c>
      <c r="G107" s="8"/>
      <c r="H107" s="8"/>
      <c r="I107" s="9">
        <v>173000000.00</v>
      </c>
      <c r="J107" s="8"/>
      <c r="K107" t="inlineStr" s="8">
        <is>
          <t>RC209 - RC125 - RC079</t>
        </is>
      </c>
      <c r="L107" t="inlineStr" s="8">
        <is>
          <t>JUL.1/26F - AGO.4/26F - SEP.2/26F</t>
        </is>
      </c>
      <c r="M107" s="9"/>
      <c r="N107" s="9"/>
      <c r="O107" s="8"/>
      <c r="P107" s="8"/>
      <c r="Q107" s="10"/>
      <c r="R107" s="10"/>
      <c r="S107" s="10"/>
      <c r="T107" s="10"/>
      <c r="U107" s="10">
        <v>1000000</v>
      </c>
      <c r="V107" s="10">
        <v>1200000</v>
      </c>
      <c r="W107" s="10">
        <v>1200000</v>
      </c>
      <c r="X107" s="9"/>
      <c r="Y107" s="9"/>
      <c r="Z107" s="9"/>
      <c r="AA107" s="9"/>
      <c r="AB107" s="9">
        <f>SUM(M107,N107,Q107,R107,S107,T107,U107,V107,W107,X107,Y107,Z107,AA107)</f>
      </c>
      <c r="AC107" s="9">
        <f>I107-AB107</f>
      </c>
      <c r="AD107" s="9">
        <f>AC107-AE107-AF107-AG107-AH107</f>
      </c>
      <c r="AE107" s="9"/>
      <c r="AF107" s="9"/>
      <c r="AG107" s="9"/>
      <c r="AH107" s="9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9"/>
      <c r="AT107" s="9"/>
      <c r="AU107" t="inlineStr" s="8">
        <is>
          <t>3233925187</t>
        </is>
      </c>
      <c r="AV107" t="inlineStr" s="8">
        <is>
          <t>geraldingorda@gmail.com</t>
        </is>
      </c>
      <c r="AW107" s="8"/>
      <c r="AX107" s="8"/>
    </row>
    <row r="108" ht="12.75" customHeight="1">
      <c r="A108" t="inlineStr" s="8">
        <is>
          <t>002010979923</t>
        </is>
      </c>
      <c r="B108" s="8"/>
      <c r="C108" t="inlineStr" s="8">
        <is>
          <t>1104</t>
        </is>
      </c>
      <c r="D108" s="9">
        <v>40.70</v>
      </c>
      <c r="E108" t="inlineStr" s="8">
        <is>
          <t>1065915300</t>
        </is>
      </c>
      <c r="F108" t="inlineStr" s="8">
        <is>
          <t>BAYONA GUTIERREZ BRAYAN JAVIER</t>
        </is>
      </c>
      <c r="G108" s="8"/>
      <c r="H108" s="8"/>
      <c r="I108" s="9">
        <v>173000000.00</v>
      </c>
      <c r="J108" s="8"/>
      <c r="K108" t="inlineStr" s="8">
        <is>
          <t>NCR10 - NCR41 - NCR90 - NCR137 - RC606 - RC581</t>
        </is>
      </c>
      <c r="L108" t="inlineStr" s="8">
        <is>
          <t>ABR.7/26F - ABR.30/26F - JUN.1/26F - JUN.30/26F - JUL.30/26F - AGO.31/26F</t>
        </is>
      </c>
      <c r="M108" s="9"/>
      <c r="N108" s="9"/>
      <c r="O108" s="8"/>
      <c r="P108" s="8"/>
      <c r="Q108" s="10"/>
      <c r="R108" s="10">
        <f>1000000+1085000</f>
      </c>
      <c r="S108" s="10"/>
      <c r="T108" s="10">
        <f>1085000+1085000</f>
      </c>
      <c r="U108" s="10">
        <v>1085000</v>
      </c>
      <c r="V108" s="10">
        <v>1085000</v>
      </c>
      <c r="W108" s="10"/>
      <c r="X108" s="9"/>
      <c r="Y108" s="9"/>
      <c r="Z108" s="9"/>
      <c r="AA108" s="9"/>
      <c r="AB108" s="9">
        <f>SUM(M108,N108,Q108,R108,S108,T108,U108,V108,W108,X108,Y108,Z108,AA108)</f>
      </c>
      <c r="AC108" s="9">
        <f>I108-AB108</f>
      </c>
      <c r="AD108" s="9">
        <f>AC108-AE108-AF108-AG108-AH108</f>
      </c>
      <c r="AE108" s="9"/>
      <c r="AF108" s="9"/>
      <c r="AG108" s="9"/>
      <c r="AH108" s="9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9"/>
      <c r="AT108" s="9"/>
      <c r="AU108" t="inlineStr" s="8">
        <is>
          <t>3138121019</t>
        </is>
      </c>
      <c r="AV108" t="inlineStr" s="8">
        <is>
          <t>brayanbayona32@gmail.com</t>
        </is>
      </c>
      <c r="AW108" s="8"/>
      <c r="AX108" s="8"/>
    </row>
    <row r="109" ht="12.75" customHeight="1">
      <c r="A109" t="inlineStr" s="8">
        <is>
          <t>002010979932</t>
        </is>
      </c>
      <c r="B109" s="8"/>
      <c r="C109" t="inlineStr" s="8">
        <is>
          <t>1105</t>
        </is>
      </c>
      <c r="D109" s="9">
        <v>40.70</v>
      </c>
      <c r="E109" t="inlineStr" s="8">
        <is>
          <t>1010238131</t>
        </is>
      </c>
      <c r="F109" t="inlineStr" s="8">
        <is>
          <t>REINA TORRES EVA TATIANA</t>
        </is>
      </c>
      <c r="G109" t="inlineStr" s="8">
        <is>
          <t>CAMARGO TORRES DELASCAR</t>
        </is>
      </c>
      <c r="H109" s="8"/>
      <c r="I109" s="9">
        <v>173000000.00</v>
      </c>
      <c r="J109" s="8"/>
      <c r="K109" t="inlineStr" s="8">
        <is>
          <t>NCR59 - NCR123 - RC401 - RC336</t>
        </is>
      </c>
      <c r="L109" t="inlineStr" s="8">
        <is>
          <t>MAY.11/26F - JUN.19/26F - JUL.21/26F - AGO.21/26F</t>
        </is>
      </c>
      <c r="M109" s="9"/>
      <c r="N109" s="9"/>
      <c r="O109" s="8"/>
      <c r="P109" s="8"/>
      <c r="Q109" s="10"/>
      <c r="R109" s="10"/>
      <c r="S109" s="10">
        <v>1000000</v>
      </c>
      <c r="T109" s="10">
        <v>1158000</v>
      </c>
      <c r="U109" s="10">
        <v>1158000</v>
      </c>
      <c r="V109" s="10">
        <v>1158000</v>
      </c>
      <c r="W109" s="10"/>
      <c r="X109" s="9"/>
      <c r="Y109" s="9"/>
      <c r="Z109" s="9"/>
      <c r="AA109" s="9"/>
      <c r="AB109" s="9">
        <f>SUM(M109,N109,Q109,R109,S109,T109,U109,V109,W109,X109,Y109,Z109,AA109)</f>
      </c>
      <c r="AC109" s="9">
        <f>I109-AB109</f>
      </c>
      <c r="AD109" s="9">
        <f>AC109-AE109-AF109-AG109-AH109</f>
      </c>
      <c r="AE109" s="9"/>
      <c r="AF109" s="9"/>
      <c r="AG109" s="9"/>
      <c r="AH109" s="9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9"/>
      <c r="AT109" s="9"/>
      <c r="AU109" t="inlineStr" s="8">
        <is>
          <t>3108830321</t>
        </is>
      </c>
      <c r="AV109" t="inlineStr" s="8">
        <is>
          <t>tatianat98@hotmail.com</t>
        </is>
      </c>
      <c r="AW109" s="8"/>
      <c r="AX109" s="8"/>
    </row>
    <row r="110" ht="12.75" customHeight="1">
      <c r="A110" t="inlineStr" s="8">
        <is>
          <t>002010979941</t>
        </is>
      </c>
      <c r="B110" s="8"/>
      <c r="C110" t="inlineStr" s="8">
        <is>
          <t>1106</t>
        </is>
      </c>
      <c r="D110" s="9">
        <v>40.70</v>
      </c>
      <c r="E110" t="inlineStr" s="8">
        <is>
          <t>1098779226</t>
        </is>
      </c>
      <c r="F110" t="inlineStr" s="8">
        <is>
          <t>GONZALEZ LEAL ANDRES FERNANDO</t>
        </is>
      </c>
      <c r="G110" s="8"/>
      <c r="H110" s="8"/>
      <c r="I110" s="9">
        <v>173000000.00</v>
      </c>
      <c r="J110" s="8"/>
      <c r="K110" t="inlineStr" s="8">
        <is>
          <t>NCR63 - NCR68</t>
        </is>
      </c>
      <c r="L110" t="inlineStr" s="8">
        <is>
          <t>MAY.15/26F - MAY.20/26F</t>
        </is>
      </c>
      <c r="M110" s="9"/>
      <c r="N110" s="9"/>
      <c r="O110" s="8"/>
      <c r="P110" s="8"/>
      <c r="Q110" s="10"/>
      <c r="R110" s="10"/>
      <c r="S110" s="10">
        <f>1000000+33600000</f>
      </c>
      <c r="T110" s="10"/>
      <c r="U110" s="10"/>
      <c r="V110" s="10"/>
      <c r="W110" s="10"/>
      <c r="X110" s="9"/>
      <c r="Y110" s="9"/>
      <c r="Z110" s="9"/>
      <c r="AA110" s="9"/>
      <c r="AB110" s="9">
        <f>SUM(M110,N110,Q110,R110,S110,T110,U110,V110,W110,X110,Y110,Z110,AA110)</f>
      </c>
      <c r="AC110" s="9">
        <f>I110-AB110</f>
      </c>
      <c r="AD110" s="9">
        <f>AC110-AE110-AF110-AG110-AH110</f>
      </c>
      <c r="AE110" s="9"/>
      <c r="AF110" s="9"/>
      <c r="AG110" s="9"/>
      <c r="AH110" s="9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9"/>
      <c r="AT110" s="9"/>
      <c r="AU110" t="inlineStr" s="8">
        <is>
          <t>34614618994</t>
        </is>
      </c>
      <c r="AV110" t="inlineStr" s="8">
        <is>
          <t>andresgonzalez.leal96@gmail.com</t>
        </is>
      </c>
      <c r="AW110" s="8"/>
      <c r="AX110" s="8"/>
    </row>
    <row r="111" ht="12.75" customHeight="1">
      <c r="A111" s="8"/>
      <c r="B111" s="8"/>
      <c r="C111" t="inlineStr" s="8">
        <is>
          <t>1107</t>
        </is>
      </c>
      <c r="D111" s="9">
        <v>40.80</v>
      </c>
      <c r="E111" s="8"/>
      <c r="F111" s="8"/>
      <c r="G111" s="8"/>
      <c r="H111" s="8"/>
      <c r="I111" s="9">
        <v>173000000.00</v>
      </c>
      <c r="J111" s="8"/>
      <c r="K111" s="8"/>
      <c r="L111" s="8"/>
      <c r="M111" s="9"/>
      <c r="N111" s="9"/>
      <c r="O111" s="8"/>
      <c r="P111" s="8"/>
      <c r="Q111" s="10"/>
      <c r="R111" s="10"/>
      <c r="S111" s="10"/>
      <c r="T111" s="10"/>
      <c r="U111" s="10"/>
      <c r="V111" s="10"/>
      <c r="W111" s="10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9"/>
      <c r="AT111" s="9"/>
      <c r="AU111" s="8"/>
      <c r="AV111" s="8"/>
      <c r="AW111" s="8"/>
      <c r="AX111" s="8"/>
    </row>
    <row r="112" ht="12.75" customHeight="1">
      <c r="A112" t="inlineStr" s="8">
        <is>
          <t>002010979969</t>
        </is>
      </c>
      <c r="B112" s="8"/>
      <c r="C112" t="inlineStr" s="8">
        <is>
          <t>1108</t>
        </is>
      </c>
      <c r="D112" s="9">
        <v>40.80</v>
      </c>
      <c r="E112" t="inlineStr" s="8">
        <is>
          <t>41958220</t>
        </is>
      </c>
      <c r="F112" t="inlineStr" s="8">
        <is>
          <t>GIL HERNANDEZ ANGIE JOHANNA</t>
        </is>
      </c>
      <c r="G112" s="8"/>
      <c r="H112" s="8"/>
      <c r="I112" s="9">
        <v>173000000.00</v>
      </c>
      <c r="J112" s="8"/>
      <c r="K112" t="inlineStr" s="8">
        <is>
          <t>NCR27 - NCR55 - RC111</t>
        </is>
      </c>
      <c r="L112" t="inlineStr" s="8">
        <is>
          <t>ABR.22/26F - MAY.7/26F - SEP.3/26F</t>
        </is>
      </c>
      <c r="M112" s="9"/>
      <c r="N112" s="9"/>
      <c r="O112" s="8"/>
      <c r="P112" s="8"/>
      <c r="Q112" s="10"/>
      <c r="R112" s="10">
        <v>1000000</v>
      </c>
      <c r="S112" s="10">
        <v>4480000</v>
      </c>
      <c r="T112" s="10"/>
      <c r="U112" s="10"/>
      <c r="V112" s="10"/>
      <c r="W112" s="10">
        <v>1120000</v>
      </c>
      <c r="X112" s="9"/>
      <c r="Y112" s="9"/>
      <c r="Z112" s="9"/>
      <c r="AA112" s="9"/>
      <c r="AB112" s="9">
        <f>SUM(M112,N112,Q112,R112,S112,T112,U112,V112,W112,X112,Y112,Z112,AA112)</f>
      </c>
      <c r="AC112" s="9">
        <f>I112-AB112</f>
      </c>
      <c r="AD112" s="9">
        <f>AC112-AE112-AF112-AG112-AH112</f>
      </c>
      <c r="AE112" s="9"/>
      <c r="AF112" s="9"/>
      <c r="AG112" s="9"/>
      <c r="AH112" s="9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9"/>
      <c r="AT112" s="9"/>
      <c r="AU112" t="inlineStr" s="8">
        <is>
          <t>3233247334</t>
        </is>
      </c>
      <c r="AV112" t="inlineStr" s="8">
        <is>
          <t>ajgilhernandez@gmail.com</t>
        </is>
      </c>
      <c r="AW112" s="8"/>
      <c r="AX112" s="8"/>
    </row>
    <row r="113" ht="12.75" customHeight="1">
      <c r="A113" s="8"/>
      <c r="B113" s="8"/>
      <c r="C113" t="inlineStr" s="8">
        <is>
          <t>1109</t>
        </is>
      </c>
      <c r="D113" s="9">
        <v>40.70</v>
      </c>
      <c r="E113" s="8"/>
      <c r="F113" s="8"/>
      <c r="G113" s="8"/>
      <c r="H113" s="8"/>
      <c r="I113" s="9">
        <v>173000000.00</v>
      </c>
      <c r="J113" s="8"/>
      <c r="K113" s="8"/>
      <c r="L113" s="8"/>
      <c r="M113" s="9"/>
      <c r="N113" s="9"/>
      <c r="O113" s="8"/>
      <c r="P113" s="8"/>
      <c r="Q113" s="10"/>
      <c r="R113" s="10"/>
      <c r="S113" s="10"/>
      <c r="T113" s="10"/>
      <c r="U113" s="10"/>
      <c r="V113" s="10"/>
      <c r="W113" s="10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9"/>
      <c r="AT113" s="9"/>
      <c r="AU113" s="8"/>
      <c r="AV113" s="8"/>
      <c r="AW113" s="8"/>
      <c r="AX113" s="8"/>
    </row>
    <row r="114" ht="12.75" customHeight="1">
      <c r="A114" s="8"/>
      <c r="B114" s="8"/>
      <c r="C114" t="inlineStr" s="8">
        <is>
          <t>1110</t>
        </is>
      </c>
      <c r="D114" s="9">
        <v>40.70</v>
      </c>
      <c r="E114" s="8"/>
      <c r="F114" s="8"/>
      <c r="G114" s="8"/>
      <c r="H114" s="8"/>
      <c r="I114" s="9">
        <v>173000000.00</v>
      </c>
      <c r="J114" s="8"/>
      <c r="K114" s="8"/>
      <c r="L114" s="8"/>
      <c r="M114" s="9"/>
      <c r="N114" s="9"/>
      <c r="O114" s="8"/>
      <c r="P114" s="8"/>
      <c r="Q114" s="10"/>
      <c r="R114" s="10"/>
      <c r="S114" s="10"/>
      <c r="T114" s="10"/>
      <c r="U114" s="10"/>
      <c r="V114" s="10"/>
      <c r="W114" s="10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9"/>
      <c r="AT114" s="9"/>
      <c r="AU114" s="8"/>
      <c r="AV114" s="8"/>
      <c r="AW114" s="8"/>
      <c r="AX114" s="8"/>
    </row>
    <row r="115" ht="12.75" customHeight="1">
      <c r="A115" t="inlineStr" s="8">
        <is>
          <t>002010979996</t>
        </is>
      </c>
      <c r="B115" s="8"/>
      <c r="C115" t="inlineStr" s="8">
        <is>
          <t>1201</t>
        </is>
      </c>
      <c r="D115" s="9">
        <v>41.03</v>
      </c>
      <c r="E115" t="inlineStr" s="8">
        <is>
          <t>24347302</t>
        </is>
      </c>
      <c r="F115" t="inlineStr" s="8">
        <is>
          <t>VALENCIA ZULUAGA ALEXANDRA</t>
        </is>
      </c>
      <c r="G115" s="8"/>
      <c r="H115" s="8"/>
      <c r="I115" s="9">
        <v>173000000.00</v>
      </c>
      <c r="J115" s="8"/>
      <c r="K115" t="inlineStr" s="8">
        <is>
          <t>NCR20 - NCR76 - NCR141 - RC605 - RC582</t>
        </is>
      </c>
      <c r="L115" t="inlineStr" s="8">
        <is>
          <t>ABR.17/26F - MAY.27/26F - JUN.30/26F - JUL.30/26F - AGO.31/26F</t>
        </is>
      </c>
      <c r="M115" s="9"/>
      <c r="N115" s="9"/>
      <c r="O115" s="8"/>
      <c r="P115" s="8"/>
      <c r="Q115" s="10"/>
      <c r="R115" s="10">
        <v>1000000</v>
      </c>
      <c r="S115" s="10">
        <v>1300000</v>
      </c>
      <c r="T115" s="10">
        <v>1121000</v>
      </c>
      <c r="U115" s="10">
        <v>1122000</v>
      </c>
      <c r="V115" s="10">
        <v>1125000</v>
      </c>
      <c r="W115" s="10"/>
      <c r="X115" s="9"/>
      <c r="Y115" s="9"/>
      <c r="Z115" s="9"/>
      <c r="AA115" s="9"/>
      <c r="AB115" s="9">
        <f>SUM(M115,N115,Q115,R115,S115,T115,U115,V115,W115,X115,Y115,Z115,AA115)</f>
      </c>
      <c r="AC115" s="9">
        <f>I115-AB115</f>
      </c>
      <c r="AD115" s="9">
        <f>AC115-AE115-AF115-AG115-AH115</f>
      </c>
      <c r="AE115" s="9"/>
      <c r="AF115" s="9"/>
      <c r="AG115" s="9"/>
      <c r="AH115" s="9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9"/>
      <c r="AT115" s="9"/>
      <c r="AU115" t="inlineStr" s="8">
        <is>
          <t>34660313261</t>
        </is>
      </c>
      <c r="AV115" t="inlineStr" s="8">
        <is>
          <t>alevalzul@gmail.com</t>
        </is>
      </c>
      <c r="AW115" s="8"/>
      <c r="AX115" s="8"/>
    </row>
    <row r="116" ht="12.75" customHeight="1">
      <c r="A116" t="inlineStr" s="8">
        <is>
          <t>002010980001</t>
        </is>
      </c>
      <c r="B116" s="8"/>
      <c r="C116" t="inlineStr" s="8">
        <is>
          <t>1202</t>
        </is>
      </c>
      <c r="D116" s="9">
        <v>40.70</v>
      </c>
      <c r="E116" t="inlineStr" s="8">
        <is>
          <t>1054921636</t>
        </is>
      </c>
      <c r="F116" t="inlineStr" s="8">
        <is>
          <t>YEPES MUÑOZ LAURA NATALIA</t>
        </is>
      </c>
      <c r="G116" s="8"/>
      <c r="H116" s="8"/>
      <c r="I116" s="9">
        <v>173000000.00</v>
      </c>
      <c r="J116" s="8"/>
      <c r="K116" t="inlineStr" s="8">
        <is>
          <t>NCR25 - NCR94 - NCR146 - RC601 - RC583</t>
        </is>
      </c>
      <c r="L116" t="inlineStr" s="8">
        <is>
          <t>ABR.20/26F - JUN.1/26F - JUN.30/26F - JUL.30/26F - AGO.31/26F</t>
        </is>
      </c>
      <c r="M116" s="9"/>
      <c r="N116" s="9"/>
      <c r="O116" s="8"/>
      <c r="P116" s="8"/>
      <c r="Q116" s="10"/>
      <c r="R116" s="10">
        <v>1000000</v>
      </c>
      <c r="S116" s="10"/>
      <c r="T116" s="10">
        <f>1120000+1120000</f>
      </c>
      <c r="U116" s="10">
        <v>1120000</v>
      </c>
      <c r="V116" s="10">
        <v>1120000</v>
      </c>
      <c r="W116" s="10"/>
      <c r="X116" s="9"/>
      <c r="Y116" s="9"/>
      <c r="Z116" s="9"/>
      <c r="AA116" s="9"/>
      <c r="AB116" s="9">
        <f>SUM(M116,N116,Q116,R116,S116,T116,U116,V116,W116,X116,Y116,Z116,AA116)</f>
      </c>
      <c r="AC116" s="9">
        <f>I116-AB116</f>
      </c>
      <c r="AD116" s="9">
        <f>AC116-AE116-AF116-AG116-AH116</f>
      </c>
      <c r="AE116" s="9"/>
      <c r="AF116" s="9"/>
      <c r="AG116" s="9"/>
      <c r="AH116" s="9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9"/>
      <c r="AT116" s="9"/>
      <c r="AU116" t="inlineStr" s="8">
        <is>
          <t>3104532079</t>
        </is>
      </c>
      <c r="AV116" t="inlineStr" s="8">
        <is>
          <t>juanestebanvj0@gmail.com</t>
        </is>
      </c>
      <c r="AW116" s="8"/>
      <c r="AX116" s="8"/>
    </row>
    <row r="117" ht="12.75" customHeight="1">
      <c r="A117" s="8"/>
      <c r="B117" s="8"/>
      <c r="C117" t="inlineStr" s="8">
        <is>
          <t>1203</t>
        </is>
      </c>
      <c r="D117" s="9">
        <v>40.70</v>
      </c>
      <c r="E117" s="8"/>
      <c r="F117" s="8"/>
      <c r="G117" s="8"/>
      <c r="H117" s="8"/>
      <c r="I117" s="9">
        <v>173000000.00</v>
      </c>
      <c r="J117" s="8"/>
      <c r="K117" s="8"/>
      <c r="L117" s="8"/>
      <c r="M117" s="9"/>
      <c r="N117" s="9"/>
      <c r="O117" s="8"/>
      <c r="P117" s="8"/>
      <c r="Q117" s="10"/>
      <c r="R117" s="10"/>
      <c r="S117" s="10"/>
      <c r="T117" s="10"/>
      <c r="U117" s="10"/>
      <c r="V117" s="10"/>
      <c r="W117" s="10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9"/>
      <c r="AT117" s="9"/>
      <c r="AU117" s="8"/>
      <c r="AV117" s="8"/>
      <c r="AW117" s="8"/>
      <c r="AX117" s="8"/>
    </row>
    <row r="118" ht="12.75" customHeight="1">
      <c r="A118" t="inlineStr" s="8">
        <is>
          <t>002010980029</t>
        </is>
      </c>
      <c r="B118" s="8"/>
      <c r="C118" t="inlineStr" s="8">
        <is>
          <t>1204</t>
        </is>
      </c>
      <c r="D118" s="9">
        <v>40.70</v>
      </c>
      <c r="E118" t="inlineStr" s="8">
        <is>
          <t>1098336186</t>
        </is>
      </c>
      <c r="F118" t="inlineStr" s="8">
        <is>
          <t>GAVIRIA GONZALEZ MARIA ALEJANDRA</t>
        </is>
      </c>
      <c r="G118" s="8"/>
      <c r="H118" s="8"/>
      <c r="I118" s="9">
        <v>173000000.00</v>
      </c>
      <c r="J118" s="8"/>
      <c r="K118" t="inlineStr" s="8">
        <is>
          <t>NCR4 - NCR46 - NCR88 - RC210 - RC086 - RC043</t>
        </is>
      </c>
      <c r="L118" t="inlineStr" s="8">
        <is>
          <t>MAR.31/26F - ABR.30/26F - JUN.1/26F - JUL.1/26F - AGO.3/26F - SEP.1/26F</t>
        </is>
      </c>
      <c r="M118" s="9"/>
      <c r="N118" s="9"/>
      <c r="O118" s="8"/>
      <c r="P118" s="8"/>
      <c r="Q118" s="10">
        <v>1000000</v>
      </c>
      <c r="R118" s="10">
        <v>1085000</v>
      </c>
      <c r="S118" s="10"/>
      <c r="T118" s="10">
        <v>1080000</v>
      </c>
      <c r="U118" s="10">
        <v>1090000</v>
      </c>
      <c r="V118" s="10">
        <v>1085000</v>
      </c>
      <c r="W118" s="10">
        <v>1085000</v>
      </c>
      <c r="X118" s="9"/>
      <c r="Y118" s="9"/>
      <c r="Z118" s="9"/>
      <c r="AA118" s="9"/>
      <c r="AB118" s="9">
        <f>SUM(M118,N118,Q118,R118,S118,T118,U118,V118,W118,X118,Y118,Z118,AA118)</f>
      </c>
      <c r="AC118" s="9">
        <f>I118-AB118</f>
      </c>
      <c r="AD118" s="9">
        <f>AC118-AE118-AF118-AG118-AH118</f>
      </c>
      <c r="AE118" s="9"/>
      <c r="AF118" s="9"/>
      <c r="AG118" s="9"/>
      <c r="AH118" s="9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9"/>
      <c r="AT118" s="9"/>
      <c r="AU118" t="inlineStr" s="8">
        <is>
          <t>3108977124</t>
        </is>
      </c>
      <c r="AV118" t="inlineStr" s="8">
        <is>
          <t>avl17@hotmail.com</t>
        </is>
      </c>
      <c r="AW118" s="8"/>
      <c r="AX118" s="8"/>
    </row>
    <row r="119" ht="12.75" customHeight="1">
      <c r="A119" t="inlineStr" s="8">
        <is>
          <t>002010980038</t>
        </is>
      </c>
      <c r="B119" s="8"/>
      <c r="C119" t="inlineStr" s="8">
        <is>
          <t>1205</t>
        </is>
      </c>
      <c r="D119" s="9">
        <v>40.70</v>
      </c>
      <c r="E119" t="inlineStr" s="8">
        <is>
          <t>80086469</t>
        </is>
      </c>
      <c r="F119" t="inlineStr" s="8">
        <is>
          <t>TRIANA SALAMANCA JORGE ANDRES</t>
        </is>
      </c>
      <c r="G119" s="8"/>
      <c r="H119" s="8"/>
      <c r="I119" s="9">
        <v>173000000.00</v>
      </c>
      <c r="J119" s="8"/>
      <c r="K119" t="inlineStr" s="8">
        <is>
          <t>NCR43 - NCR104 - RC264 - RC287 - RC044</t>
        </is>
      </c>
      <c r="L119" t="inlineStr" s="8">
        <is>
          <t>ABR.30/26F - JUN.2/26F - JUL.9/26F - AGO.18/26F - SEP.1/26F</t>
        </is>
      </c>
      <c r="M119" s="9"/>
      <c r="N119" s="9"/>
      <c r="O119" s="8"/>
      <c r="P119" s="8"/>
      <c r="Q119" s="10"/>
      <c r="R119" s="10">
        <v>1000000</v>
      </c>
      <c r="S119" s="10"/>
      <c r="T119" s="10">
        <v>1120000</v>
      </c>
      <c r="U119" s="10">
        <v>1120000</v>
      </c>
      <c r="V119" s="10">
        <v>1120000</v>
      </c>
      <c r="W119" s="10">
        <v>1120000</v>
      </c>
      <c r="X119" s="9"/>
      <c r="Y119" s="9"/>
      <c r="Z119" s="9"/>
      <c r="AA119" s="9"/>
      <c r="AB119" s="9">
        <f>SUM(M119,N119,Q119,R119,S119,T119,U119,V119,W119,X119,Y119,Z119,AA119)</f>
      </c>
      <c r="AC119" s="9">
        <f>I119-AB119</f>
      </c>
      <c r="AD119" s="9">
        <f>AC119-AE119-AF119-AG119-AH119</f>
      </c>
      <c r="AE119" s="9"/>
      <c r="AF119" s="9"/>
      <c r="AG119" s="9"/>
      <c r="AH119" s="9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9"/>
      <c r="AT119" s="9"/>
      <c r="AU119" t="inlineStr" s="8">
        <is>
          <t>3175766901</t>
        </is>
      </c>
      <c r="AV119" t="inlineStr" s="8">
        <is>
          <t>jorgeandres.triana@gmail.com</t>
        </is>
      </c>
      <c r="AW119" s="8"/>
      <c r="AX119" s="8"/>
    </row>
    <row r="120" ht="12.75" customHeight="1">
      <c r="A120" t="inlineStr" s="8">
        <is>
          <t>002010980047</t>
        </is>
      </c>
      <c r="B120" s="8"/>
      <c r="C120" t="inlineStr" s="8">
        <is>
          <t>1206</t>
        </is>
      </c>
      <c r="D120" s="9">
        <v>40.70</v>
      </c>
      <c r="E120" t="inlineStr" s="8">
        <is>
          <t>1087559140</t>
        </is>
      </c>
      <c r="F120" t="inlineStr" s="8">
        <is>
          <t>CANO MESA JUAN CARLOS</t>
        </is>
      </c>
      <c r="G120" s="8"/>
      <c r="H120" s="8"/>
      <c r="I120" s="9">
        <v>173000000.00</v>
      </c>
      <c r="J120" s="8"/>
      <c r="K120" t="inlineStr" s="8">
        <is>
          <t>RC211 - RC243</t>
        </is>
      </c>
      <c r="L120" t="inlineStr" s="8">
        <is>
          <t>JUL.3/26F - AGO.13/26F</t>
        </is>
      </c>
      <c r="M120" s="9"/>
      <c r="N120" s="9"/>
      <c r="O120" s="8"/>
      <c r="P120" s="8"/>
      <c r="Q120" s="10"/>
      <c r="R120" s="10"/>
      <c r="S120" s="10"/>
      <c r="T120" s="10"/>
      <c r="U120" s="10">
        <v>1000000</v>
      </c>
      <c r="V120" s="10">
        <v>1000000</v>
      </c>
      <c r="W120" s="10"/>
      <c r="X120" s="9"/>
      <c r="Y120" s="9"/>
      <c r="Z120" s="9"/>
      <c r="AA120" s="9"/>
      <c r="AB120" s="9">
        <f>SUM(M120,N120,Q120,R120,S120,T120,U120,V120,W120,X120,Y120,Z120,AA120)</f>
      </c>
      <c r="AC120" s="9">
        <f>I120-AB120</f>
      </c>
      <c r="AD120" s="9">
        <f>AC120-AE120-AF120-AG120-AH120</f>
      </c>
      <c r="AE120" s="9"/>
      <c r="AF120" s="9"/>
      <c r="AG120" s="9"/>
      <c r="AH120" s="9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9"/>
      <c r="AT120" s="9"/>
      <c r="AU120" t="inlineStr" s="8">
        <is>
          <t>56973684191</t>
        </is>
      </c>
      <c r="AV120" t="inlineStr" s="8">
        <is>
          <t>juancarloscanomesadon@gmail.com</t>
        </is>
      </c>
      <c r="AW120" s="8"/>
      <c r="AX120" s="8"/>
    </row>
    <row r="121" ht="12.75" customHeight="1">
      <c r="A121" t="inlineStr" s="8">
        <is>
          <t>002010980056</t>
        </is>
      </c>
      <c r="B121" s="8"/>
      <c r="C121" t="inlineStr" s="8">
        <is>
          <t>1207</t>
        </is>
      </c>
      <c r="D121" s="9">
        <v>40.80</v>
      </c>
      <c r="E121" t="inlineStr" s="8">
        <is>
          <t>18494569</t>
        </is>
      </c>
      <c r="F121" t="inlineStr" s="8">
        <is>
          <t>PARAMO TAFUR ISAAC</t>
        </is>
      </c>
      <c r="G121" s="8"/>
      <c r="H121" s="8"/>
      <c r="I121" s="9">
        <v>173000000.00</v>
      </c>
      <c r="J121" s="8"/>
      <c r="K121" t="inlineStr" s="8">
        <is>
          <t>NCR81 - NCR134 - RC609 - RC584</t>
        </is>
      </c>
      <c r="L121" t="inlineStr" s="8">
        <is>
          <t>MAY.29/26F - JUN.30/26F - JUL.30/26F - AGO.31/26F</t>
        </is>
      </c>
      <c r="M121" s="9"/>
      <c r="N121" s="9"/>
      <c r="O121" s="8"/>
      <c r="P121" s="8"/>
      <c r="Q121" s="10"/>
      <c r="R121" s="10"/>
      <c r="S121" s="10">
        <v>1000000</v>
      </c>
      <c r="T121" s="10">
        <v>1000000</v>
      </c>
      <c r="U121" s="10">
        <v>1000000</v>
      </c>
      <c r="V121" s="10">
        <v>1000000</v>
      </c>
      <c r="W121" s="10"/>
      <c r="X121" s="9"/>
      <c r="Y121" s="9"/>
      <c r="Z121" s="9"/>
      <c r="AA121" s="9"/>
      <c r="AB121" s="9">
        <f>SUM(M121,N121,Q121,R121,S121,T121,U121,V121,W121,X121,Y121,Z121,AA121)</f>
      </c>
      <c r="AC121" s="9">
        <f>I121-AB121</f>
      </c>
      <c r="AD121" s="9">
        <f>AC121-AE121-AF121-AG121-AH121</f>
      </c>
      <c r="AE121" s="9"/>
      <c r="AF121" s="9"/>
      <c r="AG121" s="9"/>
      <c r="AH121" s="9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9"/>
      <c r="AT121" s="9"/>
      <c r="AU121" t="inlineStr" s="8">
        <is>
          <t>3002996415</t>
        </is>
      </c>
      <c r="AV121" t="inlineStr" s="8">
        <is>
          <t>isparafur1@hotmail.com</t>
        </is>
      </c>
      <c r="AW121" s="8"/>
      <c r="AX121" s="8"/>
    </row>
    <row r="122" ht="12.75" customHeight="1">
      <c r="A122" t="inlineStr" s="8">
        <is>
          <t>002010980065</t>
        </is>
      </c>
      <c r="B122" s="8"/>
      <c r="C122" t="inlineStr" s="8">
        <is>
          <t>1208</t>
        </is>
      </c>
      <c r="D122" s="9">
        <v>40.80</v>
      </c>
      <c r="E122" t="inlineStr" s="8">
        <is>
          <t>1015409796</t>
        </is>
      </c>
      <c r="F122" t="inlineStr" s="8">
        <is>
          <t>MATEUS PINZON CRISTIAN LEONARDO</t>
        </is>
      </c>
      <c r="G122" s="8"/>
      <c r="H122" s="8"/>
      <c r="I122" s="9">
        <v>173000000.00</v>
      </c>
      <c r="J122" s="8"/>
      <c r="K122" t="inlineStr" s="8">
        <is>
          <t>NCR32 - RC261 - RC186</t>
        </is>
      </c>
      <c r="L122" t="inlineStr" s="8">
        <is>
          <t>ABR.29/26F - JUL.8/26F - AGO.6/26F</t>
        </is>
      </c>
      <c r="M122" s="9"/>
      <c r="N122" s="9"/>
      <c r="O122" s="8"/>
      <c r="P122" s="8"/>
      <c r="Q122" s="10"/>
      <c r="R122" s="10">
        <v>1000000</v>
      </c>
      <c r="S122" s="10"/>
      <c r="T122" s="10"/>
      <c r="U122" s="10">
        <v>1080000</v>
      </c>
      <c r="V122" s="10">
        <v>1080000</v>
      </c>
      <c r="W122" s="10"/>
      <c r="X122" s="9"/>
      <c r="Y122" s="9"/>
      <c r="Z122" s="9"/>
      <c r="AA122" s="9"/>
      <c r="AB122" s="9">
        <f>SUM(M122,N122,Q122,R122,S122,T122,U122,V122,W122,X122,Y122,Z122,AA122)</f>
      </c>
      <c r="AC122" s="9">
        <f>I122-AB122</f>
      </c>
      <c r="AD122" s="9">
        <f>AC122-AE122-AF122-AG122-AH122</f>
      </c>
      <c r="AE122" s="9"/>
      <c r="AF122" s="9"/>
      <c r="AG122" s="9"/>
      <c r="AH122" s="9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9"/>
      <c r="AT122" s="9"/>
      <c r="AU122" t="inlineStr" s="8">
        <is>
          <t>34654493319</t>
        </is>
      </c>
      <c r="AV122" t="inlineStr" s="8">
        <is>
          <t>leonardm27@hotmail.com</t>
        </is>
      </c>
      <c r="AW122" s="8"/>
      <c r="AX122" s="8"/>
    </row>
    <row r="123" ht="12.75" customHeight="1">
      <c r="A123" s="8"/>
      <c r="B123" s="8"/>
      <c r="C123" t="inlineStr" s="8">
        <is>
          <t>1209</t>
        </is>
      </c>
      <c r="D123" s="9">
        <v>40.70</v>
      </c>
      <c r="E123" s="8"/>
      <c r="F123" s="8"/>
      <c r="G123" s="8"/>
      <c r="H123" s="8"/>
      <c r="I123" s="9">
        <v>173000000.00</v>
      </c>
      <c r="J123" s="8"/>
      <c r="K123" s="8"/>
      <c r="L123" s="8"/>
      <c r="M123" s="9"/>
      <c r="N123" s="9"/>
      <c r="O123" s="8"/>
      <c r="P123" s="8"/>
      <c r="Q123" s="10"/>
      <c r="R123" s="10"/>
      <c r="S123" s="10"/>
      <c r="T123" s="10"/>
      <c r="U123" s="10"/>
      <c r="V123" s="10"/>
      <c r="W123" s="10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9"/>
      <c r="AT123" s="9"/>
      <c r="AU123" s="8"/>
      <c r="AV123" s="8"/>
      <c r="AW123" s="8"/>
      <c r="AX123" s="8"/>
    </row>
    <row r="124" ht="12.75" customHeight="1">
      <c r="A124" s="8"/>
      <c r="B124" s="8"/>
      <c r="C124" t="inlineStr" s="8">
        <is>
          <t>1210</t>
        </is>
      </c>
      <c r="D124" s="9">
        <v>40.70</v>
      </c>
      <c r="E124" s="8"/>
      <c r="F124" s="8"/>
      <c r="G124" s="8"/>
      <c r="H124" s="8"/>
      <c r="I124" s="9">
        <v>173000000.00</v>
      </c>
      <c r="J124" s="8"/>
      <c r="K124" s="8"/>
      <c r="L124" s="8"/>
      <c r="M124" s="9"/>
      <c r="N124" s="9"/>
      <c r="O124" s="8"/>
      <c r="P124" s="8"/>
      <c r="Q124" s="10"/>
      <c r="R124" s="10"/>
      <c r="S124" s="10"/>
      <c r="T124" s="10"/>
      <c r="U124" s="10"/>
      <c r="V124" s="10"/>
      <c r="W124" s="10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9"/>
      <c r="AT124" s="9"/>
      <c r="AU124" s="8"/>
      <c r="AV124" s="8"/>
      <c r="AW124" s="8"/>
      <c r="AX124" s="8"/>
    </row>
    <row r="125" ht="12.75" customHeight="1">
      <c r="A125" t="inlineStr" s="8">
        <is>
          <t>002010980092</t>
        </is>
      </c>
      <c r="B125" s="8"/>
      <c r="C125" t="inlineStr" s="8">
        <is>
          <t>1301</t>
        </is>
      </c>
      <c r="D125" s="9">
        <v>41.03</v>
      </c>
      <c r="E125" t="inlineStr" s="8">
        <is>
          <t>41956358</t>
        </is>
      </c>
      <c r="F125" t="inlineStr" s="8">
        <is>
          <t>CHICAIZA ARIAS PAULA ANDREA</t>
        </is>
      </c>
      <c r="G125" s="8"/>
      <c r="H125" s="8"/>
      <c r="I125" s="9">
        <v>173000000.00</v>
      </c>
      <c r="J125" s="8"/>
      <c r="K125" t="inlineStr" s="8">
        <is>
          <t>RC367</t>
        </is>
      </c>
      <c r="L125" t="inlineStr" s="8">
        <is>
          <t>AGO.25/26F</t>
        </is>
      </c>
      <c r="M125" s="9"/>
      <c r="N125" s="9"/>
      <c r="O125" s="8"/>
      <c r="P125" s="8"/>
      <c r="Q125" s="10"/>
      <c r="R125" s="10"/>
      <c r="S125" s="10"/>
      <c r="T125" s="10"/>
      <c r="U125" s="10"/>
      <c r="V125" s="10">
        <v>1000000</v>
      </c>
      <c r="W125" s="10"/>
      <c r="X125" s="9"/>
      <c r="Y125" s="9"/>
      <c r="Z125" s="9"/>
      <c r="AA125" s="9"/>
      <c r="AB125" s="9">
        <f>SUM(M125,N125,Q125,R125,S125,T125,U125,V125,W125,X125,Y125,Z125,AA125)</f>
      </c>
      <c r="AC125" s="9">
        <f>I125-AB125</f>
      </c>
      <c r="AD125" s="9">
        <f>AC125-AE125-AF125-AG125-AH125</f>
      </c>
      <c r="AE125" s="9"/>
      <c r="AF125" s="9"/>
      <c r="AG125" s="9"/>
      <c r="AH125" s="9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9"/>
      <c r="AT125" s="9"/>
      <c r="AU125" t="inlineStr" s="8">
        <is>
          <t>34614800889</t>
        </is>
      </c>
      <c r="AV125" t="inlineStr" s="8">
        <is>
          <t>ariaspaulaandrea1983@gmail.com</t>
        </is>
      </c>
      <c r="AW125" s="8"/>
      <c r="AX125" s="8"/>
    </row>
    <row r="126" ht="12.75" customHeight="1">
      <c r="A126" s="8"/>
      <c r="B126" s="8"/>
      <c r="C126" t="inlineStr" s="8">
        <is>
          <t>1302</t>
        </is>
      </c>
      <c r="D126" s="9">
        <v>40.70</v>
      </c>
      <c r="E126" s="8"/>
      <c r="F126" s="8"/>
      <c r="G126" s="8"/>
      <c r="H126" s="8"/>
      <c r="I126" s="9">
        <v>173000000.00</v>
      </c>
      <c r="J126" s="8"/>
      <c r="K126" s="8"/>
      <c r="L126" s="8"/>
      <c r="M126" s="9"/>
      <c r="N126" s="9"/>
      <c r="O126" s="8"/>
      <c r="P126" s="8"/>
      <c r="Q126" s="10"/>
      <c r="R126" s="10"/>
      <c r="S126" s="10"/>
      <c r="T126" s="10"/>
      <c r="U126" s="10"/>
      <c r="V126" s="10"/>
      <c r="W126" s="10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9"/>
      <c r="AT126" s="9"/>
      <c r="AU126" s="8"/>
      <c r="AV126" s="8"/>
      <c r="AW126" s="8"/>
      <c r="AX126" s="8"/>
    </row>
    <row r="127" ht="12.75" customHeight="1">
      <c r="A127" t="inlineStr" s="8">
        <is>
          <t>002010980118</t>
        </is>
      </c>
      <c r="B127" s="8"/>
      <c r="C127" t="inlineStr" s="8">
        <is>
          <t>1303</t>
        </is>
      </c>
      <c r="D127" s="9">
        <v>40.70</v>
      </c>
      <c r="E127" t="inlineStr" s="8">
        <is>
          <t>1094915124</t>
        </is>
      </c>
      <c r="F127" t="inlineStr" s="8">
        <is>
          <t>RUBIO LUNA LAURA VANESSA</t>
        </is>
      </c>
      <c r="G127" s="8"/>
      <c r="H127" s="8"/>
      <c r="I127" s="9">
        <v>173000000.00</v>
      </c>
      <c r="J127" s="8"/>
      <c r="K127" t="inlineStr" s="8">
        <is>
          <t>RC541 - RC080</t>
        </is>
      </c>
      <c r="L127" t="inlineStr" s="8">
        <is>
          <t>JUL.29/26F - SEP.2/26F</t>
        </is>
      </c>
      <c r="M127" s="9"/>
      <c r="N127" s="9"/>
      <c r="O127" s="8"/>
      <c r="P127" s="8"/>
      <c r="Q127" s="10"/>
      <c r="R127" s="10"/>
      <c r="S127" s="10"/>
      <c r="T127" s="10"/>
      <c r="U127" s="10">
        <v>1000000</v>
      </c>
      <c r="V127" s="10"/>
      <c r="W127" s="10">
        <v>1250000</v>
      </c>
      <c r="X127" s="9"/>
      <c r="Y127" s="9"/>
      <c r="Z127" s="9"/>
      <c r="AA127" s="9"/>
      <c r="AB127" s="9">
        <f>SUM(M127,N127,Q127,R127,S127,T127,U127,V127,W127,X127,Y127,Z127,AA127)</f>
      </c>
      <c r="AC127" s="9">
        <f>I127-AB127</f>
      </c>
      <c r="AD127" s="9">
        <f>AC127-AE127-AF127-AG127-AH127</f>
      </c>
      <c r="AE127" s="9"/>
      <c r="AF127" s="9"/>
      <c r="AG127" s="9"/>
      <c r="AH127" s="9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9"/>
      <c r="AT127" s="9"/>
      <c r="AU127" t="inlineStr" s="8">
        <is>
          <t>3151366666</t>
        </is>
      </c>
      <c r="AV127" t="inlineStr" s="8">
        <is>
          <t>lvrubioluna@gmail.com</t>
        </is>
      </c>
      <c r="AW127" s="8"/>
      <c r="AX127" s="8"/>
    </row>
    <row r="128" ht="12.75" customHeight="1">
      <c r="A128" t="inlineStr" s="8">
        <is>
          <t>002010980127</t>
        </is>
      </c>
      <c r="B128" s="8"/>
      <c r="C128" t="inlineStr" s="8">
        <is>
          <t>1304</t>
        </is>
      </c>
      <c r="D128" s="9">
        <v>40.70</v>
      </c>
      <c r="E128" t="inlineStr" s="8">
        <is>
          <t>80002794</t>
        </is>
      </c>
      <c r="F128" t="inlineStr" s="8">
        <is>
          <t>AGUILAR YIRLE WILSON</t>
        </is>
      </c>
      <c r="G128" s="8"/>
      <c r="H128" s="8"/>
      <c r="I128" s="9">
        <v>173000000.00</v>
      </c>
      <c r="J128" s="8"/>
      <c r="K128" t="inlineStr" s="8">
        <is>
          <t>NCR6 - NCR54 - NCR103 - RC212 - RC087 - RC110</t>
        </is>
      </c>
      <c r="L128" t="inlineStr" s="8">
        <is>
          <t>ABR.1/26F - MAY.6/26F - JUN.2/26F - JUL.3/26F - AGO.3/26F - SEP.3/26F</t>
        </is>
      </c>
      <c r="M128" s="9"/>
      <c r="N128" s="9"/>
      <c r="O128" s="8"/>
      <c r="P128" s="8"/>
      <c r="Q128" s="10"/>
      <c r="R128" s="10">
        <v>1000000</v>
      </c>
      <c r="S128" s="10">
        <v>1050000</v>
      </c>
      <c r="T128" s="10">
        <v>1050000</v>
      </c>
      <c r="U128" s="10">
        <v>1050000</v>
      </c>
      <c r="V128" s="10">
        <v>1050000</v>
      </c>
      <c r="W128" s="10">
        <v>1050000</v>
      </c>
      <c r="X128" s="9"/>
      <c r="Y128" s="9"/>
      <c r="Z128" s="9"/>
      <c r="AA128" s="9"/>
      <c r="AB128" s="9">
        <f>SUM(M128,N128,Q128,R128,S128,T128,U128,V128,W128,X128,Y128,Z128,AA128)</f>
      </c>
      <c r="AC128" s="9">
        <f>I128-AB128</f>
      </c>
      <c r="AD128" s="9">
        <f>AC128-AE128-AF128-AG128-AH128</f>
      </c>
      <c r="AE128" s="9"/>
      <c r="AF128" s="9"/>
      <c r="AG128" s="9"/>
      <c r="AH128" s="9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9"/>
      <c r="AT128" s="9"/>
      <c r="AU128" t="inlineStr" s="8">
        <is>
          <t>3133127477</t>
        </is>
      </c>
      <c r="AV128" t="inlineStr" s="8">
        <is>
          <t>camilorodriguezlucia2217@gmail.com</t>
        </is>
      </c>
      <c r="AW128" s="8"/>
      <c r="AX128" s="8"/>
    </row>
    <row r="129" ht="12.75" customHeight="1">
      <c r="A129" t="inlineStr" s="8">
        <is>
          <t>002010980136</t>
        </is>
      </c>
      <c r="B129" s="8"/>
      <c r="C129" t="inlineStr" s="8">
        <is>
          <t>1305</t>
        </is>
      </c>
      <c r="D129" s="9">
        <v>40.70</v>
      </c>
      <c r="E129" t="inlineStr" s="8">
        <is>
          <t>1143969541</t>
        </is>
      </c>
      <c r="F129" t="inlineStr" s="8">
        <is>
          <t>ALARCON ZAPATA CRISTIAN</t>
        </is>
      </c>
      <c r="G129" s="8"/>
      <c r="H129" s="8"/>
      <c r="I129" s="9">
        <v>173000000.00</v>
      </c>
      <c r="J129" s="8"/>
      <c r="K129" t="inlineStr" s="8">
        <is>
          <t>NCR13 - NCR51 - NCR96 - RC213 - RC600 - RC408</t>
        </is>
      </c>
      <c r="L129" t="inlineStr" s="8">
        <is>
          <t>ABR.9/26F - MAY.4/26F - JUN.1/26F - JUL.1/26F - JUL.30/26F - AGO.27/26F</t>
        </is>
      </c>
      <c r="M129" s="9"/>
      <c r="N129" s="9"/>
      <c r="O129" s="8"/>
      <c r="P129" s="8"/>
      <c r="Q129" s="10"/>
      <c r="R129" s="10">
        <v>1000000</v>
      </c>
      <c r="S129" s="10">
        <v>1083000</v>
      </c>
      <c r="T129" s="10">
        <v>1085000</v>
      </c>
      <c r="U129" s="10">
        <f>1085000+1085000</f>
      </c>
      <c r="V129" s="10">
        <v>1085000</v>
      </c>
      <c r="W129" s="10"/>
      <c r="X129" s="9"/>
      <c r="Y129" s="9"/>
      <c r="Z129" s="9"/>
      <c r="AA129" s="9"/>
      <c r="AB129" s="9">
        <f>SUM(M129,N129,Q129,R129,S129,T129,U129,V129,W129,X129,Y129,Z129,AA129)</f>
      </c>
      <c r="AC129" s="9">
        <f>I129-AB129</f>
      </c>
      <c r="AD129" s="9">
        <f>AC129-AE129-AF129-AG129-AH129</f>
      </c>
      <c r="AE129" s="9"/>
      <c r="AF129" s="9"/>
      <c r="AG129" s="9"/>
      <c r="AH129" s="9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9"/>
      <c r="AT129" s="9"/>
      <c r="AU129" t="inlineStr" s="8">
        <is>
          <t>14708500766</t>
        </is>
      </c>
      <c r="AV129" t="inlineStr" s="8">
        <is>
          <t>cristianalarcon1284@gmail.com</t>
        </is>
      </c>
      <c r="AW129" s="8"/>
      <c r="AX129" s="8"/>
    </row>
    <row r="130" ht="12.75" customHeight="1">
      <c r="A130" t="inlineStr" s="8">
        <is>
          <t>002010980145</t>
        </is>
      </c>
      <c r="B130" s="8"/>
      <c r="C130" t="inlineStr" s="8">
        <is>
          <t>1306</t>
        </is>
      </c>
      <c r="D130" s="9">
        <v>40.70</v>
      </c>
      <c r="E130" t="inlineStr" s="8">
        <is>
          <t>1152454936</t>
        </is>
      </c>
      <c r="F130" t="inlineStr" s="8">
        <is>
          <t>GOMEZ SUAREZ KAREN TATIANA</t>
        </is>
      </c>
      <c r="G130" s="8"/>
      <c r="H130" s="8"/>
      <c r="I130" s="9">
        <v>173000000.00</v>
      </c>
      <c r="J130" s="8"/>
      <c r="K130" t="inlineStr" s="8">
        <is>
          <t>NCR50 - NCR93 - RC214 - RC155 - RC136</t>
        </is>
      </c>
      <c r="L130" t="inlineStr" s="8">
        <is>
          <t>MAY.4/26F - JUN.1/26F - JUL.2/26F - AGO.5/26F - SEP.4/26F</t>
        </is>
      </c>
      <c r="M130" s="9"/>
      <c r="N130" s="9"/>
      <c r="O130" s="8"/>
      <c r="P130" s="8"/>
      <c r="Q130" s="10"/>
      <c r="R130" s="10"/>
      <c r="S130" s="10">
        <v>1000000</v>
      </c>
      <c r="T130" s="10">
        <v>1120000</v>
      </c>
      <c r="U130" s="10">
        <v>1120000</v>
      </c>
      <c r="V130" s="10">
        <v>1120000</v>
      </c>
      <c r="W130" s="10">
        <v>1120000</v>
      </c>
      <c r="X130" s="9"/>
      <c r="Y130" s="9"/>
      <c r="Z130" s="9"/>
      <c r="AA130" s="9"/>
      <c r="AB130" s="9">
        <f>SUM(M130,N130,Q130,R130,S130,T130,U130,V130,W130,X130,Y130,Z130,AA130)</f>
      </c>
      <c r="AC130" s="9">
        <f>I130-AB130</f>
      </c>
      <c r="AD130" s="9">
        <f>AC130-AE130-AF130-AG130-AH130</f>
      </c>
      <c r="AE130" s="9"/>
      <c r="AF130" s="9"/>
      <c r="AG130" s="9"/>
      <c r="AH130" s="9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9"/>
      <c r="AT130" s="9"/>
      <c r="AU130" t="inlineStr" s="8">
        <is>
          <t>3228818986</t>
        </is>
      </c>
      <c r="AV130" t="inlineStr" s="8">
        <is>
          <t>gomezsuarezk99@gmail.com</t>
        </is>
      </c>
      <c r="AW130" s="8"/>
      <c r="AX130" s="8"/>
    </row>
    <row r="131" ht="12.75" customHeight="1">
      <c r="A131" t="inlineStr" s="8">
        <is>
          <t>002010980154</t>
        </is>
      </c>
      <c r="B131" s="8"/>
      <c r="C131" t="inlineStr" s="8">
        <is>
          <t>1307</t>
        </is>
      </c>
      <c r="D131" s="9">
        <v>40.80</v>
      </c>
      <c r="E131" t="inlineStr" s="8">
        <is>
          <t>1003516032</t>
        </is>
      </c>
      <c r="F131" t="inlineStr" s="8">
        <is>
          <t>GUERRERO HUESO LAURA DANIELA</t>
        </is>
      </c>
      <c r="G131" s="8"/>
      <c r="H131" s="8"/>
      <c r="I131" s="9">
        <v>173000000.00</v>
      </c>
      <c r="J131" s="8"/>
      <c r="K131" t="inlineStr" s="8">
        <is>
          <t>NCR84 - RC215 - RC508 - RC585</t>
        </is>
      </c>
      <c r="L131" t="inlineStr" s="8">
        <is>
          <t>MAY.29/26F - JUL.1/26F - JUL.28/26F - AGO.31/26F</t>
        </is>
      </c>
      <c r="M131" s="9"/>
      <c r="N131" s="9"/>
      <c r="O131" s="8"/>
      <c r="P131" s="8"/>
      <c r="Q131" s="10"/>
      <c r="R131" s="10"/>
      <c r="S131" s="10">
        <v>1000000</v>
      </c>
      <c r="T131" s="10"/>
      <c r="U131" s="10">
        <f>1158000+1158000</f>
      </c>
      <c r="V131" s="10">
        <v>1158000</v>
      </c>
      <c r="W131" s="10"/>
      <c r="X131" s="9"/>
      <c r="Y131" s="9"/>
      <c r="Z131" s="9"/>
      <c r="AA131" s="9"/>
      <c r="AB131" s="9">
        <f>SUM(M131,N131,Q131,R131,S131,T131,U131,V131,W131,X131,Y131,Z131,AA131)</f>
      </c>
      <c r="AC131" s="9">
        <f>I131-AB131</f>
      </c>
      <c r="AD131" s="9">
        <f>AC131-AE131-AF131-AG131-AH131</f>
      </c>
      <c r="AE131" s="9"/>
      <c r="AF131" s="9"/>
      <c r="AG131" s="9"/>
      <c r="AH131" s="9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9"/>
      <c r="AT131" s="9"/>
      <c r="AU131" t="inlineStr" s="8">
        <is>
          <t>3113505567</t>
        </is>
      </c>
      <c r="AV131" t="inlineStr" s="8">
        <is>
          <t>ldg48852@gmail.com</t>
        </is>
      </c>
      <c r="AW131" s="8"/>
      <c r="AX131" s="8"/>
    </row>
    <row r="132" ht="12.75" customHeight="1">
      <c r="A132" t="inlineStr" s="8">
        <is>
          <t>002010980163</t>
        </is>
      </c>
      <c r="B132" s="8"/>
      <c r="C132" t="inlineStr" s="8">
        <is>
          <t>1308</t>
        </is>
      </c>
      <c r="D132" s="9">
        <v>40.80</v>
      </c>
      <c r="E132" t="inlineStr" s="8">
        <is>
          <t>1022950554</t>
        </is>
      </c>
      <c r="F132" t="inlineStr" s="8">
        <is>
          <t>PALMA LOPEZ LEIDY MILENA</t>
        </is>
      </c>
      <c r="G132" s="8"/>
      <c r="H132" s="8"/>
      <c r="I132" s="9">
        <v>173000000.00</v>
      </c>
      <c r="J132" s="8"/>
      <c r="K132" t="inlineStr" s="8">
        <is>
          <t>NCR33 - NCR85 - NCR155 - RC671 - RC586</t>
        </is>
      </c>
      <c r="L132" t="inlineStr" s="8">
        <is>
          <t>ABR.29/26F - MAY.29/26F - JUN.30/26F - JUL.31/26F - AGO.31/26F</t>
        </is>
      </c>
      <c r="M132" s="9"/>
      <c r="N132" s="9"/>
      <c r="O132" s="8"/>
      <c r="P132" s="8"/>
      <c r="Q132" s="10"/>
      <c r="R132" s="10">
        <v>1000000</v>
      </c>
      <c r="S132" s="10">
        <v>1120000</v>
      </c>
      <c r="T132" s="10">
        <v>1120000</v>
      </c>
      <c r="U132" s="10">
        <v>1120000</v>
      </c>
      <c r="V132" s="10">
        <v>1120000</v>
      </c>
      <c r="W132" s="10"/>
      <c r="X132" s="9"/>
      <c r="Y132" s="9"/>
      <c r="Z132" s="9"/>
      <c r="AA132" s="9"/>
      <c r="AB132" s="9">
        <f>SUM(M132,N132,Q132,R132,S132,T132,U132,V132,W132,X132,Y132,Z132,AA132)</f>
      </c>
      <c r="AC132" s="9">
        <f>I132-AB132</f>
      </c>
      <c r="AD132" s="9">
        <f>AC132-AE132-AF132-AG132-AH132</f>
      </c>
      <c r="AE132" s="9"/>
      <c r="AF132" s="9"/>
      <c r="AG132" s="9"/>
      <c r="AH132" s="9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9"/>
      <c r="AT132" s="9"/>
      <c r="AU132" t="inlineStr" s="8">
        <is>
          <t>3178299771</t>
        </is>
      </c>
      <c r="AV132" t="inlineStr" s="8">
        <is>
          <t>leidy.palma@outlook.com</t>
        </is>
      </c>
      <c r="AW132" s="8"/>
      <c r="AX132" s="8"/>
    </row>
    <row r="133" ht="12.75" customHeight="1">
      <c r="A133" s="8"/>
      <c r="B133" s="8"/>
      <c r="C133" t="inlineStr" s="8">
        <is>
          <t>1309</t>
        </is>
      </c>
      <c r="D133" s="9">
        <v>40.70</v>
      </c>
      <c r="E133" s="8"/>
      <c r="F133" s="8"/>
      <c r="G133" s="8"/>
      <c r="H133" s="8"/>
      <c r="I133" s="9">
        <v>173000000.00</v>
      </c>
      <c r="J133" s="8"/>
      <c r="K133" s="8"/>
      <c r="L133" s="8"/>
      <c r="M133" s="9"/>
      <c r="N133" s="9"/>
      <c r="O133" s="8"/>
      <c r="P133" s="8"/>
      <c r="Q133" s="10"/>
      <c r="R133" s="10"/>
      <c r="S133" s="10"/>
      <c r="T133" s="10"/>
      <c r="U133" s="10"/>
      <c r="V133" s="10"/>
      <c r="W133" s="10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9"/>
      <c r="AT133" s="9"/>
      <c r="AU133" s="8"/>
      <c r="AV133" s="8"/>
      <c r="AW133" s="8"/>
      <c r="AX133" s="8"/>
    </row>
    <row r="134" ht="12.75" customHeight="1">
      <c r="A134" s="8"/>
      <c r="B134" s="8"/>
      <c r="C134" t="inlineStr" s="8">
        <is>
          <t>1310</t>
        </is>
      </c>
      <c r="D134" s="9">
        <v>40.70</v>
      </c>
      <c r="E134" s="8"/>
      <c r="F134" s="8"/>
      <c r="G134" s="8"/>
      <c r="H134" s="8"/>
      <c r="I134" s="9">
        <v>173000000.00</v>
      </c>
      <c r="J134" s="8"/>
      <c r="K134" s="8"/>
      <c r="L134" s="8"/>
      <c r="M134" s="9"/>
      <c r="N134" s="9"/>
      <c r="O134" s="8"/>
      <c r="P134" s="8"/>
      <c r="Q134" s="10"/>
      <c r="R134" s="10"/>
      <c r="S134" s="10"/>
      <c r="T134" s="10"/>
      <c r="U134" s="10"/>
      <c r="V134" s="10"/>
      <c r="W134" s="10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9"/>
      <c r="AT134" s="9"/>
      <c r="AU134" s="8"/>
      <c r="AV134" s="8"/>
      <c r="AW134" s="8"/>
      <c r="AX134" s="8"/>
    </row>
    <row r="135" ht="12.75" customHeight="1">
      <c r="A135" s="8"/>
      <c r="B135" s="8"/>
      <c r="C135" t="inlineStr" s="8">
        <is>
          <t>1401</t>
        </is>
      </c>
      <c r="D135" s="9">
        <v>41.03</v>
      </c>
      <c r="E135" s="8"/>
      <c r="F135" s="8"/>
      <c r="G135" s="8"/>
      <c r="H135" s="8"/>
      <c r="I135" s="9">
        <v>173000000.00</v>
      </c>
      <c r="J135" s="8"/>
      <c r="K135" s="8"/>
      <c r="L135" s="8"/>
      <c r="M135" s="9"/>
      <c r="N135" s="9"/>
      <c r="O135" s="8"/>
      <c r="P135" s="8"/>
      <c r="Q135" s="10"/>
      <c r="R135" s="10"/>
      <c r="S135" s="10"/>
      <c r="T135" s="10"/>
      <c r="U135" s="10"/>
      <c r="V135" s="10"/>
      <c r="W135" s="10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9"/>
      <c r="AT135" s="9"/>
      <c r="AU135" s="8"/>
      <c r="AV135" s="8"/>
      <c r="AW135" s="8"/>
      <c r="AX135" s="8"/>
    </row>
    <row r="136" ht="12.75" customHeight="1">
      <c r="A136" s="8"/>
      <c r="B136" s="8"/>
      <c r="C136" t="inlineStr" s="8">
        <is>
          <t>1402</t>
        </is>
      </c>
      <c r="D136" s="9">
        <v>40.70</v>
      </c>
      <c r="E136" s="8"/>
      <c r="F136" s="8"/>
      <c r="G136" s="8"/>
      <c r="H136" s="8"/>
      <c r="I136" s="9">
        <v>173000000.00</v>
      </c>
      <c r="J136" s="8"/>
      <c r="K136" s="8"/>
      <c r="L136" s="8"/>
      <c r="M136" s="9"/>
      <c r="N136" s="9"/>
      <c r="O136" s="8"/>
      <c r="P136" s="8"/>
      <c r="Q136" s="10"/>
      <c r="R136" s="10"/>
      <c r="S136" s="10"/>
      <c r="T136" s="10"/>
      <c r="U136" s="10"/>
      <c r="V136" s="10"/>
      <c r="W136" s="10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9"/>
      <c r="AT136" s="9"/>
      <c r="AU136" s="8"/>
      <c r="AV136" s="8"/>
      <c r="AW136" s="8"/>
      <c r="AX136" s="8"/>
    </row>
    <row r="137" ht="12.75" customHeight="1">
      <c r="A137" s="8"/>
      <c r="B137" s="8"/>
      <c r="C137" t="inlineStr" s="8">
        <is>
          <t>1403</t>
        </is>
      </c>
      <c r="D137" s="9">
        <v>40.70</v>
      </c>
      <c r="E137" s="8"/>
      <c r="F137" s="8"/>
      <c r="G137" s="8"/>
      <c r="H137" s="8"/>
      <c r="I137" s="9">
        <v>173000000.00</v>
      </c>
      <c r="J137" s="8"/>
      <c r="K137" s="8"/>
      <c r="L137" s="8"/>
      <c r="M137" s="9"/>
      <c r="N137" s="9"/>
      <c r="O137" s="8"/>
      <c r="P137" s="8"/>
      <c r="Q137" s="10"/>
      <c r="R137" s="10"/>
      <c r="S137" s="10"/>
      <c r="T137" s="10"/>
      <c r="U137" s="10"/>
      <c r="V137" s="10"/>
      <c r="W137" s="10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9"/>
      <c r="AT137" s="9"/>
      <c r="AU137" s="8"/>
      <c r="AV137" s="8"/>
      <c r="AW137" s="8"/>
      <c r="AX137" s="8"/>
    </row>
    <row r="138" ht="12.75" customHeight="1">
      <c r="A138" t="inlineStr" s="8">
        <is>
          <t>002010980225</t>
        </is>
      </c>
      <c r="B138" s="8"/>
      <c r="C138" t="inlineStr" s="8">
        <is>
          <t>1404</t>
        </is>
      </c>
      <c r="D138" s="9">
        <v>40.70</v>
      </c>
      <c r="E138" t="inlineStr" s="8">
        <is>
          <t>1023890241</t>
        </is>
      </c>
      <c r="F138" t="inlineStr" s="8">
        <is>
          <t>ROJAS CETINA CESAR</t>
        </is>
      </c>
      <c r="G138" s="8"/>
      <c r="H138" s="8"/>
      <c r="I138" s="9">
        <v>173000000.00</v>
      </c>
      <c r="J138" s="8"/>
      <c r="K138" t="inlineStr" s="8">
        <is>
          <t>NCR2 - NCR45 - NCR98 - RC216 - RC617 - RC587</t>
        </is>
      </c>
      <c r="L138" t="inlineStr" s="8">
        <is>
          <t>MAR.31/26F - ABR.30/26F - JUN.1/26F - JUL.1/26F - JUL.30/26F - AGO.31/26F</t>
        </is>
      </c>
      <c r="M138" s="9"/>
      <c r="N138" s="9"/>
      <c r="O138" s="8"/>
      <c r="P138" s="8"/>
      <c r="Q138" s="10">
        <v>1000000</v>
      </c>
      <c r="R138" s="10">
        <v>1120000</v>
      </c>
      <c r="S138" s="10"/>
      <c r="T138" s="10">
        <v>1120000</v>
      </c>
      <c r="U138" s="10">
        <f>1120000+1120000</f>
      </c>
      <c r="V138" s="10">
        <v>1120000</v>
      </c>
      <c r="W138" s="10"/>
      <c r="X138" s="9"/>
      <c r="Y138" s="9"/>
      <c r="Z138" s="9"/>
      <c r="AA138" s="9"/>
      <c r="AB138" s="9">
        <f>SUM(M138,N138,Q138,R138,S138,T138,U138,V138,W138,X138,Y138,Z138,AA138)</f>
      </c>
      <c r="AC138" s="9">
        <f>I138-AB138</f>
      </c>
      <c r="AD138" s="9">
        <f>AC138-AE138-AF138-AG138-AH138</f>
      </c>
      <c r="AE138" s="9"/>
      <c r="AF138" s="9"/>
      <c r="AG138" s="9"/>
      <c r="AH138" s="9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9"/>
      <c r="AT138" s="9"/>
      <c r="AU138" t="inlineStr" s="8">
        <is>
          <t>3176652517</t>
        </is>
      </c>
      <c r="AV138" t="inlineStr" s="8">
        <is>
          <t>crc12_24@hotmail.com</t>
        </is>
      </c>
      <c r="AW138" s="8"/>
      <c r="AX138" s="8"/>
    </row>
    <row r="139" ht="12.75" customHeight="1">
      <c r="A139" t="inlineStr" s="8">
        <is>
          <t>002010980234</t>
        </is>
      </c>
      <c r="B139" s="8"/>
      <c r="C139" t="inlineStr" s="8">
        <is>
          <t>1405</t>
        </is>
      </c>
      <c r="D139" s="9">
        <v>40.70</v>
      </c>
      <c r="E139" t="inlineStr" s="8">
        <is>
          <t>194907361</t>
        </is>
      </c>
      <c r="F139" t="inlineStr" s="8">
        <is>
          <t>HERNANDEZ GORDILLO PAULA ANDREA</t>
        </is>
      </c>
      <c r="G139" t="inlineStr" s="8">
        <is>
          <t>TRIANA SALAMANCA JORGE ANDRES</t>
        </is>
      </c>
      <c r="H139" s="8"/>
      <c r="I139" s="9">
        <v>173000000.00</v>
      </c>
      <c r="J139" s="8"/>
      <c r="K139" t="inlineStr" s="8">
        <is>
          <t>NCR36 - NCR101 - RC265 - RC289</t>
        </is>
      </c>
      <c r="L139" t="inlineStr" s="8">
        <is>
          <t>ABR.30/26F - JUN.2/26F - JUL.9/26F - AGO.18/26F</t>
        </is>
      </c>
      <c r="M139" s="9"/>
      <c r="N139" s="9"/>
      <c r="O139" s="8"/>
      <c r="P139" s="8"/>
      <c r="Q139" s="10"/>
      <c r="R139" s="10">
        <v>1000000</v>
      </c>
      <c r="S139" s="10"/>
      <c r="T139" s="10">
        <v>1120000</v>
      </c>
      <c r="U139" s="10">
        <v>1120000</v>
      </c>
      <c r="V139" s="10">
        <v>1120000</v>
      </c>
      <c r="W139" s="10"/>
      <c r="X139" s="9"/>
      <c r="Y139" s="9"/>
      <c r="Z139" s="9"/>
      <c r="AA139" s="9"/>
      <c r="AB139" s="9">
        <f>SUM(M139,N139,Q139,R139,S139,T139,U139,V139,W139,X139,Y139,Z139,AA139)</f>
      </c>
      <c r="AC139" s="9">
        <f>I139-AB139</f>
      </c>
      <c r="AD139" s="9">
        <f>AC139-AE139-AF139-AG139-AH139</f>
      </c>
      <c r="AE139" s="9"/>
      <c r="AF139" s="9"/>
      <c r="AG139" s="9"/>
      <c r="AH139" s="9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9"/>
      <c r="AT139" s="9"/>
      <c r="AU139" t="inlineStr" s="8">
        <is>
          <t>573217827869</t>
        </is>
      </c>
      <c r="AV139" t="inlineStr" s="8">
        <is>
          <t>andreahego-19@hotmail.com</t>
        </is>
      </c>
      <c r="AW139" s="8"/>
      <c r="AX139" s="8"/>
    </row>
    <row r="140" ht="12.75" customHeight="1">
      <c r="A140" t="inlineStr" s="8">
        <is>
          <t>002010980243</t>
        </is>
      </c>
      <c r="B140" s="8"/>
      <c r="C140" t="inlineStr" s="8">
        <is>
          <t>1406</t>
        </is>
      </c>
      <c r="D140" s="9">
        <v>40.70</v>
      </c>
      <c r="E140" t="inlineStr" s="8">
        <is>
          <t>18435729</t>
        </is>
      </c>
      <c r="F140" t="inlineStr" s="8">
        <is>
          <t>GARCIA RAMIREZ LUIS ALONSO</t>
        </is>
      </c>
      <c r="G140" t="inlineStr" s="8">
        <is>
          <t>HERNANDEZ GORDILLO GLADYS</t>
        </is>
      </c>
      <c r="H140" s="8"/>
      <c r="I140" s="9">
        <v>173000000.00</v>
      </c>
      <c r="J140" s="8"/>
      <c r="K140" t="inlineStr" s="8">
        <is>
          <t>NCR35 - NCR75 - NCR135 - RC448 - RC392</t>
        </is>
      </c>
      <c r="L140" t="inlineStr" s="8">
        <is>
          <t>ABR.30/26F - MAY.27/26F - JUN.30/26F - JUL.27/26F - AGO.26/26F</t>
        </is>
      </c>
      <c r="M140" s="9"/>
      <c r="N140" s="9"/>
      <c r="O140" s="8"/>
      <c r="P140" s="8"/>
      <c r="Q140" s="10"/>
      <c r="R140" s="10">
        <v>1000000</v>
      </c>
      <c r="S140" s="10">
        <v>1120000</v>
      </c>
      <c r="T140" s="10">
        <v>1120000</v>
      </c>
      <c r="U140" s="10">
        <v>1200000</v>
      </c>
      <c r="V140" s="10">
        <v>1120000</v>
      </c>
      <c r="W140" s="10"/>
      <c r="X140" s="9"/>
      <c r="Y140" s="9"/>
      <c r="Z140" s="9"/>
      <c r="AA140" s="9"/>
      <c r="AB140" s="9">
        <f>SUM(M140,N140,Q140,R140,S140,T140,U140,V140,W140,X140,Y140,Z140,AA140)</f>
      </c>
      <c r="AC140" s="9">
        <f>I140-AB140</f>
      </c>
      <c r="AD140" s="9">
        <f>AC140-AE140-AF140-AG140-AH140</f>
      </c>
      <c r="AE140" s="9"/>
      <c r="AF140" s="9"/>
      <c r="AG140" s="9"/>
      <c r="AH140" s="9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9"/>
      <c r="AT140" s="9"/>
      <c r="AU140" t="inlineStr" s="8">
        <is>
          <t>50762144629</t>
        </is>
      </c>
      <c r="AV140" t="inlineStr" s="8">
        <is>
          <t>luisgar5799@gmail.com</t>
        </is>
      </c>
      <c r="AW140" s="8"/>
      <c r="AX140" s="8"/>
    </row>
    <row r="141" ht="12.75" customHeight="1">
      <c r="A141" t="inlineStr" s="8">
        <is>
          <t>002010980252</t>
        </is>
      </c>
      <c r="B141" s="8"/>
      <c r="C141" t="inlineStr" s="8">
        <is>
          <t>1407</t>
        </is>
      </c>
      <c r="D141" s="9">
        <v>40.80</v>
      </c>
      <c r="E141" t="inlineStr" s="8">
        <is>
          <t>9771041</t>
        </is>
      </c>
      <c r="F141" t="inlineStr" s="8">
        <is>
          <t>MIRA OCAMPO JORGE ANDRES</t>
        </is>
      </c>
      <c r="G141" s="8"/>
      <c r="H141" s="8"/>
      <c r="I141" s="9">
        <v>173000000.00</v>
      </c>
      <c r="J141" s="8"/>
      <c r="K141" t="inlineStr" s="8">
        <is>
          <t>NCR34 - NCR80 - NCR133 - RC659 - RC108</t>
        </is>
      </c>
      <c r="L141" t="inlineStr" s="8">
        <is>
          <t>ABR.30/26F - MAY.29/26F - JUN.30/26F - JUL.31/26F - SEP.3/26F</t>
        </is>
      </c>
      <c r="M141" s="9"/>
      <c r="N141" s="9"/>
      <c r="O141" s="8"/>
      <c r="P141" s="8"/>
      <c r="Q141" s="10"/>
      <c r="R141" s="10">
        <v>1000000</v>
      </c>
      <c r="S141" s="10">
        <v>1120000</v>
      </c>
      <c r="T141" s="10">
        <v>1120000</v>
      </c>
      <c r="U141" s="10">
        <v>1120000</v>
      </c>
      <c r="V141" s="10"/>
      <c r="W141" s="10">
        <v>1120000</v>
      </c>
      <c r="X141" s="9"/>
      <c r="Y141" s="9"/>
      <c r="Z141" s="9"/>
      <c r="AA141" s="9"/>
      <c r="AB141" s="9">
        <f>SUM(M141,N141,Q141,R141,S141,T141,U141,V141,W141,X141,Y141,Z141,AA141)</f>
      </c>
      <c r="AC141" s="9">
        <f>I141-AB141</f>
      </c>
      <c r="AD141" s="9">
        <f>AC141-AE141-AF141-AG141-AH141</f>
      </c>
      <c r="AE141" s="9"/>
      <c r="AF141" s="9"/>
      <c r="AG141" s="9"/>
      <c r="AH141" s="9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9"/>
      <c r="AT141" s="9"/>
      <c r="AU141" t="inlineStr" s="8">
        <is>
          <t>18624071852</t>
        </is>
      </c>
      <c r="AV141" t="inlineStr" s="8">
        <is>
          <t>jorgemira23@hotmail.com</t>
        </is>
      </c>
      <c r="AW141" s="8"/>
      <c r="AX141" s="8"/>
    </row>
    <row r="142" ht="12.75" customHeight="1">
      <c r="A142" t="inlineStr" s="8">
        <is>
          <t>002010980261</t>
        </is>
      </c>
      <c r="B142" s="8"/>
      <c r="C142" t="inlineStr" s="8">
        <is>
          <t>1408</t>
        </is>
      </c>
      <c r="D142" s="9">
        <v>40.80</v>
      </c>
      <c r="E142" t="inlineStr" s="8">
        <is>
          <t>1094955868</t>
        </is>
      </c>
      <c r="F142" t="inlineStr" s="8">
        <is>
          <t>CORTEZ ESCOBAR JOHN ESTEBAN</t>
        </is>
      </c>
      <c r="G142" s="8"/>
      <c r="H142" s="8"/>
      <c r="I142" s="9">
        <v>173000000.00</v>
      </c>
      <c r="J142" s="8"/>
      <c r="K142" t="inlineStr" s="8">
        <is>
          <t>RC288 - RC208</t>
        </is>
      </c>
      <c r="L142" t="inlineStr" s="8">
        <is>
          <t>JUL.10/26F - AGO.10/26F</t>
        </is>
      </c>
      <c r="M142" s="9"/>
      <c r="N142" s="9"/>
      <c r="O142" s="8"/>
      <c r="P142" s="8"/>
      <c r="Q142" s="10"/>
      <c r="R142" s="10"/>
      <c r="S142" s="10"/>
      <c r="T142" s="10"/>
      <c r="U142" s="10">
        <v>1000000</v>
      </c>
      <c r="V142" s="10">
        <v>583000</v>
      </c>
      <c r="W142" s="10"/>
      <c r="X142" s="9"/>
      <c r="Y142" s="9"/>
      <c r="Z142" s="9"/>
      <c r="AA142" s="9"/>
      <c r="AB142" s="9">
        <f>SUM(M142,N142,Q142,R142,S142,T142,U142,V142,W142,X142,Y142,Z142,AA142)</f>
      </c>
      <c r="AC142" s="9">
        <f>I142-AB142</f>
      </c>
      <c r="AD142" s="9">
        <f>AC142-AE142-AF142-AG142-AH142</f>
      </c>
      <c r="AE142" s="9"/>
      <c r="AF142" s="9"/>
      <c r="AG142" s="9"/>
      <c r="AH142" s="9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9"/>
      <c r="AT142" s="9"/>
      <c r="AU142" t="inlineStr" s="8">
        <is>
          <t>3112588539</t>
        </is>
      </c>
      <c r="AV142" t="inlineStr" s="8">
        <is>
          <t>papoescobar03@gmail.com</t>
        </is>
      </c>
      <c r="AW142" s="8"/>
      <c r="AX142" s="8"/>
    </row>
    <row r="143" ht="12.75" customHeight="1">
      <c r="A143" t="inlineStr" s="8">
        <is>
          <t>002010980270</t>
        </is>
      </c>
      <c r="B143" s="8"/>
      <c r="C143" t="inlineStr" s="8">
        <is>
          <t>1409</t>
        </is>
      </c>
      <c r="D143" s="9">
        <v>40.70</v>
      </c>
      <c r="E143" t="inlineStr" s="8">
        <is>
          <t>1143969541</t>
        </is>
      </c>
      <c r="F143" t="inlineStr" s="8">
        <is>
          <t>ALARCON ZAPATA CRISTIAN</t>
        </is>
      </c>
      <c r="G143" s="8"/>
      <c r="H143" s="8"/>
      <c r="I143" s="9">
        <v>173000000.00</v>
      </c>
      <c r="J143" s="8"/>
      <c r="K143" t="inlineStr" s="8">
        <is>
          <t>NCR14 - NCR49 - NCR97 - RC217 - RC672 - RC409</t>
        </is>
      </c>
      <c r="L143" t="inlineStr" s="8">
        <is>
          <t>ABR.9/26F - MAY.4/26F - JUN.1/26F - JUL.1/26F - JUL.31/26F - AGO.27/26F</t>
        </is>
      </c>
      <c r="M143" s="9"/>
      <c r="N143" s="9"/>
      <c r="O143" s="8"/>
      <c r="P143" s="8"/>
      <c r="Q143" s="10"/>
      <c r="R143" s="10">
        <v>1000000</v>
      </c>
      <c r="S143" s="10">
        <v>1083000</v>
      </c>
      <c r="T143" s="10">
        <v>1085000</v>
      </c>
      <c r="U143" s="10">
        <f>1085000+1085000</f>
      </c>
      <c r="V143" s="10">
        <v>1085000</v>
      </c>
      <c r="W143" s="10"/>
      <c r="X143" s="9"/>
      <c r="Y143" s="9"/>
      <c r="Z143" s="9"/>
      <c r="AA143" s="9"/>
      <c r="AB143" s="9">
        <f>SUM(M143,N143,Q143,R143,S143,T143,U143,V143,W143,X143,Y143,Z143,AA143)</f>
      </c>
      <c r="AC143" s="9">
        <f>I143-AB143</f>
      </c>
      <c r="AD143" s="9">
        <f>AC143-AE143-AF143-AG143-AH143</f>
      </c>
      <c r="AE143" s="9"/>
      <c r="AF143" s="9"/>
      <c r="AG143" s="9"/>
      <c r="AH143" s="9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9"/>
      <c r="AT143" s="9"/>
      <c r="AU143" t="inlineStr" s="8">
        <is>
          <t>14708500766</t>
        </is>
      </c>
      <c r="AV143" t="inlineStr" s="8">
        <is>
          <t>cristianalarcon1284@gmail.com</t>
        </is>
      </c>
      <c r="AW143" s="8"/>
      <c r="AX143" s="8"/>
    </row>
    <row r="144" ht="12.75" customHeight="1">
      <c r="A144" s="8"/>
      <c r="B144" s="8"/>
      <c r="C144" t="inlineStr" s="8">
        <is>
          <t>1410</t>
        </is>
      </c>
      <c r="D144" s="9">
        <v>40.70</v>
      </c>
      <c r="E144" s="8"/>
      <c r="F144" s="8"/>
      <c r="G144" s="8"/>
      <c r="H144" s="8"/>
      <c r="I144" s="9">
        <v>173000000.00</v>
      </c>
      <c r="J144" s="8"/>
      <c r="K144" s="8"/>
      <c r="L144" s="8"/>
      <c r="M144" s="9"/>
      <c r="N144" s="9"/>
      <c r="O144" s="8"/>
      <c r="P144" s="8"/>
      <c r="Q144" s="10"/>
      <c r="R144" s="10"/>
      <c r="S144" s="10"/>
      <c r="T144" s="10"/>
      <c r="U144" s="10"/>
      <c r="V144" s="10"/>
      <c r="W144" s="10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9"/>
      <c r="AT144" s="9"/>
      <c r="AU144" s="8"/>
      <c r="AV144" s="8"/>
      <c r="AW144" s="8"/>
      <c r="AX144" s="8"/>
    </row>
    <row r="145" ht="12.75" customHeight="1">
      <c r="A145" s="8"/>
      <c r="B145" s="8"/>
      <c r="C145" t="inlineStr" s="8">
        <is>
          <t>1501</t>
        </is>
      </c>
      <c r="D145" s="9">
        <v>41.03</v>
      </c>
      <c r="E145" s="8"/>
      <c r="F145" s="8"/>
      <c r="G145" s="8"/>
      <c r="H145" s="8"/>
      <c r="I145" s="9">
        <v>173000000.00</v>
      </c>
      <c r="J145" s="8"/>
      <c r="K145" s="8"/>
      <c r="L145" s="8"/>
      <c r="M145" s="9"/>
      <c r="N145" s="9"/>
      <c r="O145" s="8"/>
      <c r="P145" s="8"/>
      <c r="Q145" s="10"/>
      <c r="R145" s="10"/>
      <c r="S145" s="10"/>
      <c r="T145" s="10"/>
      <c r="U145" s="10"/>
      <c r="V145" s="10"/>
      <c r="W145" s="10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9"/>
      <c r="AT145" s="9"/>
      <c r="AU145" s="8"/>
      <c r="AV145" s="8"/>
      <c r="AW145" s="8"/>
      <c r="AX145" s="8"/>
    </row>
    <row r="146" ht="12.75" customHeight="1">
      <c r="A146" s="8"/>
      <c r="B146" s="8"/>
      <c r="C146" t="inlineStr" s="8">
        <is>
          <t>1502</t>
        </is>
      </c>
      <c r="D146" s="9">
        <v>40.70</v>
      </c>
      <c r="E146" s="8"/>
      <c r="F146" s="8"/>
      <c r="G146" s="8"/>
      <c r="H146" s="8"/>
      <c r="I146" s="9">
        <v>173000000.00</v>
      </c>
      <c r="J146" s="8"/>
      <c r="K146" s="8"/>
      <c r="L146" s="8"/>
      <c r="M146" s="9"/>
      <c r="N146" s="9"/>
      <c r="O146" s="8"/>
      <c r="P146" s="8"/>
      <c r="Q146" s="10"/>
      <c r="R146" s="10"/>
      <c r="S146" s="10"/>
      <c r="T146" s="10"/>
      <c r="U146" s="10"/>
      <c r="V146" s="10"/>
      <c r="W146" s="10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9"/>
      <c r="AT146" s="9"/>
      <c r="AU146" s="8"/>
      <c r="AV146" s="8"/>
      <c r="AW146" s="8"/>
      <c r="AX146" s="8"/>
    </row>
    <row r="147" ht="12.75" customHeight="1">
      <c r="A147" t="inlineStr" s="8">
        <is>
          <t>002010980314</t>
        </is>
      </c>
      <c r="B147" s="8"/>
      <c r="C147" t="inlineStr" s="8">
        <is>
          <t>1503</t>
        </is>
      </c>
      <c r="D147" s="9">
        <v>40.70</v>
      </c>
      <c r="E147" t="inlineStr" s="8">
        <is>
          <t>1094965072</t>
        </is>
      </c>
      <c r="F147" t="inlineStr" s="8">
        <is>
          <t>GRANADA URREGO CRISTIAN CAMILO</t>
        </is>
      </c>
      <c r="G147" t="inlineStr" s="8">
        <is>
          <t>BUITRAGO URREGO MONICA PATRICIA | DOMINGUEZ AZCARATE ANDRES DAVID</t>
        </is>
      </c>
      <c r="H147" s="8"/>
      <c r="I147" s="9">
        <v>173000000.00</v>
      </c>
      <c r="J147" s="8"/>
      <c r="K147" t="inlineStr" s="8">
        <is>
          <t>NCR62 - RC310</t>
        </is>
      </c>
      <c r="L147" t="inlineStr" s="8">
        <is>
          <t>MAY.13/26F - JUL.14/26F</t>
        </is>
      </c>
      <c r="M147" s="9"/>
      <c r="N147" s="9"/>
      <c r="O147" s="8"/>
      <c r="P147" s="8"/>
      <c r="Q147" s="10"/>
      <c r="R147" s="10"/>
      <c r="S147" s="10">
        <v>1000000</v>
      </c>
      <c r="T147" s="10"/>
      <c r="U147" s="10">
        <v>1500000</v>
      </c>
      <c r="V147" s="10"/>
      <c r="W147" s="10"/>
      <c r="X147" s="9"/>
      <c r="Y147" s="9"/>
      <c r="Z147" s="9"/>
      <c r="AA147" s="9"/>
      <c r="AB147" s="9">
        <f>SUM(M147,N147,Q147,R147,S147,T147,U147,V147,W147,X147,Y147,Z147,AA147)</f>
      </c>
      <c r="AC147" s="9">
        <f>I147-AB147</f>
      </c>
      <c r="AD147" s="9">
        <f>AC147-AE147-AF147-AG147-AH147</f>
      </c>
      <c r="AE147" s="9"/>
      <c r="AF147" s="9"/>
      <c r="AG147" s="9"/>
      <c r="AH147" s="9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9"/>
      <c r="AT147" s="9"/>
      <c r="AU147" t="inlineStr" s="8">
        <is>
          <t>41795558163</t>
        </is>
      </c>
      <c r="AV147" t="inlineStr" s="8">
        <is>
          <t>granadaurregoc@gmail.com</t>
        </is>
      </c>
      <c r="AW147" s="8"/>
      <c r="AX147" s="8"/>
    </row>
    <row r="148" ht="12.75" customHeight="1">
      <c r="A148" t="inlineStr" s="8">
        <is>
          <t>002010980323</t>
        </is>
      </c>
      <c r="B148" s="8"/>
      <c r="C148" t="inlineStr" s="8">
        <is>
          <t>1504</t>
        </is>
      </c>
      <c r="D148" s="9">
        <v>40.70</v>
      </c>
      <c r="E148" t="inlineStr" s="8">
        <is>
          <t>41945794</t>
        </is>
      </c>
      <c r="F148" t="inlineStr" s="8">
        <is>
          <t>LOPEZ ALBORNOZ MARIA ELENA</t>
        </is>
      </c>
      <c r="G148" s="8"/>
      <c r="H148" s="8"/>
      <c r="I148" s="9">
        <v>173000000.00</v>
      </c>
      <c r="J148" t="inlineStr" s="8">
        <is>
          <t>NC26449TRASLADO</t>
        </is>
      </c>
      <c r="K148" t="inlineStr" s="8">
        <is>
          <t>NCR48 - NCR109 - RC309 - RC242</t>
        </is>
      </c>
      <c r="L148" t="inlineStr" s="8">
        <is>
          <t>(ABR.8/26TRASLADO) - MAY.4/26F - JUN.11/26F - JUL.14/26F - AGO.13/26F</t>
        </is>
      </c>
      <c r="M148" s="9"/>
      <c r="N148" s="9">
        <v>2500000</v>
      </c>
      <c r="O148" s="8"/>
      <c r="P148" s="8"/>
      <c r="Q148" s="10"/>
      <c r="R148" s="10"/>
      <c r="S148" s="10">
        <v>9740000</v>
      </c>
      <c r="T148" s="10">
        <v>800000</v>
      </c>
      <c r="U148" s="10">
        <v>770000</v>
      </c>
      <c r="V148" s="10">
        <v>770000</v>
      </c>
      <c r="W148" s="10"/>
      <c r="X148" s="9"/>
      <c r="Y148" s="9"/>
      <c r="Z148" s="9"/>
      <c r="AA148" s="9"/>
      <c r="AB148" s="9">
        <f>SUM(M148,N148,Q148,R148,S148,T148,U148,V148,W148,X148,Y148,Z148,AA148)</f>
      </c>
      <c r="AC148" s="9">
        <f>I148-AB148</f>
      </c>
      <c r="AD148" s="9">
        <f>AC148-AE148-AF148-AG148-AH148</f>
      </c>
      <c r="AE148" s="9"/>
      <c r="AF148" s="9"/>
      <c r="AG148" s="9"/>
      <c r="AH148" s="9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9"/>
      <c r="AT148" s="9"/>
      <c r="AU148" t="inlineStr" s="8">
        <is>
          <t>3132665157</t>
        </is>
      </c>
      <c r="AV148" t="inlineStr" s="8">
        <is>
          <t>mariaelopezalbornoz@gmail.com</t>
        </is>
      </c>
      <c r="AW148" s="8"/>
      <c r="AX148" t="inlineStr" s="8">
        <is>
          <t>NC26449 ABR.8/26 TRASL AP1504MTCT2 MARIA ELENA LOPEZ *ANTIC $2'5</t>
        </is>
      </c>
    </row>
    <row r="149" ht="12.75" customHeight="1">
      <c r="A149" t="inlineStr" s="8">
        <is>
          <t>002010980332</t>
        </is>
      </c>
      <c r="B149" s="8"/>
      <c r="C149" t="inlineStr" s="8">
        <is>
          <t>1505</t>
        </is>
      </c>
      <c r="D149" s="9">
        <v>40.70</v>
      </c>
      <c r="E149" t="inlineStr" s="8">
        <is>
          <t>1097400904</t>
        </is>
      </c>
      <c r="F149" t="inlineStr" s="8">
        <is>
          <t>LOAIZA ARMIROLA LINA MARCELA</t>
        </is>
      </c>
      <c r="G149" s="8"/>
      <c r="H149" s="8"/>
      <c r="I149" s="9">
        <v>173000000.00</v>
      </c>
      <c r="J149" s="8"/>
      <c r="K149" t="inlineStr" s="8">
        <is>
          <t>NCR53</t>
        </is>
      </c>
      <c r="L149" t="inlineStr" s="8">
        <is>
          <t>MAY.5/26F</t>
        </is>
      </c>
      <c r="M149" s="9"/>
      <c r="N149" s="9"/>
      <c r="O149" s="8"/>
      <c r="P149" s="8"/>
      <c r="Q149" s="10"/>
      <c r="R149" s="10"/>
      <c r="S149" s="10">
        <v>1000000</v>
      </c>
      <c r="T149" s="10"/>
      <c r="U149" s="10"/>
      <c r="V149" s="10"/>
      <c r="W149" s="10"/>
      <c r="X149" s="9"/>
      <c r="Y149" s="9"/>
      <c r="Z149" s="9"/>
      <c r="AA149" s="9"/>
      <c r="AB149" s="9">
        <f>SUM(M149,N149,Q149,R149,S149,T149,U149,V149,W149,X149,Y149,Z149,AA149)</f>
      </c>
      <c r="AC149" s="9">
        <f>I149-AB149</f>
      </c>
      <c r="AD149" s="9">
        <f>AC149-AE149-AF149-AG149-AH149</f>
      </c>
      <c r="AE149" s="9"/>
      <c r="AF149" s="9"/>
      <c r="AG149" s="9"/>
      <c r="AH149" s="9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9"/>
      <c r="AT149" s="9"/>
      <c r="AU149" t="inlineStr" s="8">
        <is>
          <t>3186706811</t>
        </is>
      </c>
      <c r="AV149" t="inlineStr" s="8">
        <is>
          <t>linaloaiza1097@hotmail.com</t>
        </is>
      </c>
      <c r="AW149" s="8"/>
      <c r="AX149" s="8"/>
    </row>
    <row r="150" ht="12.75" customHeight="1">
      <c r="A150" t="inlineStr" s="8">
        <is>
          <t>002010980341</t>
        </is>
      </c>
      <c r="B150" s="8"/>
      <c r="C150" t="inlineStr" s="8">
        <is>
          <t>1506</t>
        </is>
      </c>
      <c r="D150" s="9">
        <v>40.70</v>
      </c>
      <c r="E150" t="inlineStr" s="8">
        <is>
          <t>1097400904</t>
        </is>
      </c>
      <c r="F150" t="inlineStr" s="8">
        <is>
          <t>LOAIZA ARMIROLA LINA MARCELA</t>
        </is>
      </c>
      <c r="G150" s="8"/>
      <c r="H150" s="8"/>
      <c r="I150" s="9">
        <v>173000000.00</v>
      </c>
      <c r="J150" s="8"/>
      <c r="K150" t="inlineStr" s="8">
        <is>
          <t>NCR31</t>
        </is>
      </c>
      <c r="L150" t="inlineStr" s="8">
        <is>
          <t>ABR.27/26F</t>
        </is>
      </c>
      <c r="M150" s="9"/>
      <c r="N150" s="9"/>
      <c r="O150" s="8"/>
      <c r="P150" s="8"/>
      <c r="Q150" s="10"/>
      <c r="R150" s="10">
        <v>1000000</v>
      </c>
      <c r="S150" s="10"/>
      <c r="T150" s="10"/>
      <c r="U150" s="10"/>
      <c r="V150" s="10"/>
      <c r="W150" s="10"/>
      <c r="X150" s="9"/>
      <c r="Y150" s="9"/>
      <c r="Z150" s="9"/>
      <c r="AA150" s="9"/>
      <c r="AB150" s="9">
        <f>SUM(M150,N150,Q150,R150,S150,T150,U150,V150,W150,X150,Y150,Z150,AA150)</f>
      </c>
      <c r="AC150" s="9">
        <f>I150-AB150</f>
      </c>
      <c r="AD150" s="9">
        <f>AC150-AE150-AF150-AG150-AH150</f>
      </c>
      <c r="AE150" s="9"/>
      <c r="AF150" s="9"/>
      <c r="AG150" s="9"/>
      <c r="AH150" s="9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9"/>
      <c r="AT150" s="9"/>
      <c r="AU150" t="inlineStr" s="8">
        <is>
          <t>3186706811</t>
        </is>
      </c>
      <c r="AV150" t="inlineStr" s="8">
        <is>
          <t>linaloaiza1097@hotmail.com</t>
        </is>
      </c>
      <c r="AW150" s="8"/>
      <c r="AX150" s="8"/>
    </row>
    <row r="151" ht="12.75" customHeight="1">
      <c r="A151" t="inlineStr" s="8">
        <is>
          <t>002010980350</t>
        </is>
      </c>
      <c r="B151" s="8"/>
      <c r="C151" t="inlineStr" s="8">
        <is>
          <t>1507</t>
        </is>
      </c>
      <c r="D151" s="9">
        <v>40.80</v>
      </c>
      <c r="E151" t="inlineStr" s="8">
        <is>
          <t>41953384</t>
        </is>
      </c>
      <c r="F151" t="inlineStr" s="8">
        <is>
          <t>LOAIZA VEGA ANDREA CAROLINA</t>
        </is>
      </c>
      <c r="G151" s="8"/>
      <c r="H151" s="8"/>
      <c r="I151" s="9">
        <v>173000000.00</v>
      </c>
      <c r="J151" s="8"/>
      <c r="K151" t="inlineStr" s="8">
        <is>
          <t>NCR8 - NCR39 - NCR60</t>
        </is>
      </c>
      <c r="L151" t="inlineStr" s="8">
        <is>
          <t>ABR.6/26F - ABR.30/26F - MAY.13/26F</t>
        </is>
      </c>
      <c r="M151" s="9"/>
      <c r="N151" s="9"/>
      <c r="O151" s="8"/>
      <c r="P151" s="8"/>
      <c r="Q151" s="10"/>
      <c r="R151" s="10">
        <f>1000000+1000000</f>
      </c>
      <c r="S151" s="10">
        <v>5600000</v>
      </c>
      <c r="T151" s="10"/>
      <c r="U151" s="10"/>
      <c r="V151" s="10"/>
      <c r="W151" s="10"/>
      <c r="X151" s="9"/>
      <c r="Y151" s="9"/>
      <c r="Z151" s="9"/>
      <c r="AA151" s="9"/>
      <c r="AB151" s="9">
        <f>SUM(M151,N151,Q151,R151,S151,T151,U151,V151,W151,X151,Y151,Z151,AA151)</f>
      </c>
      <c r="AC151" s="9">
        <f>I151-AB151</f>
      </c>
      <c r="AD151" s="9">
        <f>AC151-AE151-AF151-AG151-AH151</f>
      </c>
      <c r="AE151" s="9"/>
      <c r="AF151" s="9"/>
      <c r="AG151" s="9"/>
      <c r="AH151" s="9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9"/>
      <c r="AT151" s="9"/>
      <c r="AU151" t="inlineStr" s="8">
        <is>
          <t>3008019965</t>
        </is>
      </c>
      <c r="AV151" t="inlineStr" s="8">
        <is>
          <t>caroo_loaiza@hotmail.com</t>
        </is>
      </c>
      <c r="AW151" s="8"/>
      <c r="AX151" s="8"/>
    </row>
    <row r="152" ht="12.75" customHeight="1">
      <c r="A152" t="inlineStr" s="8">
        <is>
          <t>002010980369</t>
        </is>
      </c>
      <c r="B152" s="8"/>
      <c r="C152" t="inlineStr" s="8">
        <is>
          <t>1508</t>
        </is>
      </c>
      <c r="D152" s="9">
        <v>40.80</v>
      </c>
      <c r="E152" t="inlineStr" s="8">
        <is>
          <t>1029145634</t>
        </is>
      </c>
      <c r="F152" t="inlineStr" s="8">
        <is>
          <t>NARIÑO CASCANTE VALERY HELENA</t>
        </is>
      </c>
      <c r="G152" t="inlineStr" s="8">
        <is>
          <t>CASCANTE GARCIA DIANA MARCELA</t>
        </is>
      </c>
      <c r="H152" s="8"/>
      <c r="I152" s="9">
        <v>173000000.00</v>
      </c>
      <c r="J152" s="8"/>
      <c r="K152" t="inlineStr" s="8">
        <is>
          <t>NCR3 - RC338</t>
        </is>
      </c>
      <c r="L152" t="inlineStr" s="8">
        <is>
          <t>MAR.31/26F - JUL.15/26F</t>
        </is>
      </c>
      <c r="M152" s="9"/>
      <c r="N152" s="9"/>
      <c r="O152" s="8"/>
      <c r="P152" s="8"/>
      <c r="Q152" s="10">
        <v>1000000</v>
      </c>
      <c r="R152" s="10"/>
      <c r="S152" s="10"/>
      <c r="T152" s="10"/>
      <c r="U152" s="10">
        <v>1500000</v>
      </c>
      <c r="V152" s="10"/>
      <c r="W152" s="10"/>
      <c r="X152" s="9"/>
      <c r="Y152" s="9"/>
      <c r="Z152" s="9"/>
      <c r="AA152" s="9"/>
      <c r="AB152" s="9">
        <f>SUM(M152,N152,Q152,R152,S152,T152,U152,V152,W152,X152,Y152,Z152,AA152)</f>
      </c>
      <c r="AC152" s="9">
        <f>I152-AB152</f>
      </c>
      <c r="AD152" s="9">
        <f>AC152-AE152-AF152-AG152-AH152</f>
      </c>
      <c r="AE152" s="9"/>
      <c r="AF152" s="9"/>
      <c r="AG152" s="9"/>
      <c r="AH152" s="9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9"/>
      <c r="AT152" s="9"/>
      <c r="AU152" t="inlineStr" s="8">
        <is>
          <t>3017296521</t>
        </is>
      </c>
      <c r="AV152" t="inlineStr" s="8">
        <is>
          <t>valery.cascante1216@gmail.com</t>
        </is>
      </c>
      <c r="AW152" s="8"/>
      <c r="AX152" s="8"/>
    </row>
    <row r="153" ht="12.75" customHeight="1">
      <c r="A153" s="8"/>
      <c r="B153" s="8"/>
      <c r="C153" t="inlineStr" s="8">
        <is>
          <t>1509</t>
        </is>
      </c>
      <c r="D153" s="9">
        <v>40.70</v>
      </c>
      <c r="E153" s="8"/>
      <c r="F153" s="8"/>
      <c r="G153" s="8"/>
      <c r="H153" s="8"/>
      <c r="I153" s="9">
        <v>173000000.00</v>
      </c>
      <c r="J153" s="8"/>
      <c r="K153" s="8"/>
      <c r="L153" s="8"/>
      <c r="M153" s="9"/>
      <c r="N153" s="9"/>
      <c r="O153" s="8"/>
      <c r="P153" s="8"/>
      <c r="Q153" s="10"/>
      <c r="R153" s="10"/>
      <c r="S153" s="10"/>
      <c r="T153" s="10"/>
      <c r="U153" s="10"/>
      <c r="V153" s="10"/>
      <c r="W153" s="10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9"/>
      <c r="AT153" s="9"/>
      <c r="AU153" s="8"/>
      <c r="AV153" s="8"/>
      <c r="AW153" s="8"/>
      <c r="AX153" s="8"/>
    </row>
    <row r="154" ht="12.75" customHeight="1">
      <c r="A154" s="8"/>
      <c r="B154" s="8"/>
      <c r="C154" t="inlineStr" s="8">
        <is>
          <t>1510</t>
        </is>
      </c>
      <c r="D154" s="9">
        <v>40.70</v>
      </c>
      <c r="E154" s="8"/>
      <c r="F154" s="8"/>
      <c r="G154" s="8"/>
      <c r="H154" s="8"/>
      <c r="I154" s="9">
        <v>173000000.00</v>
      </c>
      <c r="J154" s="8"/>
      <c r="K154" s="8"/>
      <c r="L154" s="8"/>
      <c r="M154" s="9"/>
      <c r="N154" s="9"/>
      <c r="O154" s="8"/>
      <c r="P154" s="8"/>
      <c r="Q154" s="10"/>
      <c r="R154" s="10"/>
      <c r="S154" s="10"/>
      <c r="T154" s="10"/>
      <c r="U154" s="10"/>
      <c r="V154" s="10"/>
      <c r="W154" s="10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9"/>
      <c r="AT154" s="9"/>
      <c r="AU154" s="8"/>
      <c r="AV154" s="8"/>
      <c r="AW154" s="8"/>
      <c r="AX154" s="8"/>
    </row>
    <row r="155" ht="13.15" customHeight="1">
      <c r="A155" s="8"/>
      <c r="B155" s="8"/>
      <c r="C155" s="8"/>
      <c r="D155" s="9">
        <f>SUM(D5:D154)</f>
      </c>
      <c r="E155" s="8"/>
      <c r="F155" t="inlineStr" s="8">
        <is>
          <t>TOTAL VENTAS</t>
        </is>
      </c>
      <c r="G155" s="8"/>
      <c r="H155" s="8"/>
      <c r="I155" s="9">
        <f>SUM(I5:I154)</f>
      </c>
      <c r="J155" s="8"/>
      <c r="K155" s="8"/>
      <c r="L155" s="8"/>
      <c r="M155" s="9"/>
      <c r="N155" s="9">
        <f>SUM(N5:N154)</f>
      </c>
      <c r="O155" s="8"/>
      <c r="P155" s="8"/>
      <c r="Q155" s="10">
        <f>SUM(Q5:Q154)</f>
      </c>
      <c r="R155" s="10">
        <f>SUM(R5:R154)</f>
      </c>
      <c r="S155" s="10">
        <f>SUM(S5:S154)</f>
      </c>
      <c r="T155" s="10">
        <f>SUM(T5:T154)</f>
      </c>
      <c r="U155" s="10">
        <f>SUM(U5:U154)</f>
      </c>
      <c r="V155" s="10">
        <f>SUM(V5:V154)</f>
      </c>
      <c r="W155" s="10">
        <f>SUM(W5:W154)</f>
      </c>
      <c r="X155" s="9">
        <f>SUM(X5:X154)</f>
      </c>
      <c r="Y155" s="9">
        <f>SUM(Y5:Y154)</f>
      </c>
      <c r="Z155" s="9">
        <f>SUM(Z5:Z154)</f>
      </c>
      <c r="AA155" s="9">
        <f>SUM(AA5:AA154)</f>
      </c>
      <c r="AB155" s="9">
        <f>SUM(AB5:AB154)</f>
      </c>
      <c r="AC155" s="9">
        <f>SUM(AC5:AC154)</f>
      </c>
      <c r="AD155" s="9">
        <f>SUM(AD5:AD154)</f>
      </c>
      <c r="AE155" s="9">
        <f>SUM(AE5:AE154)</f>
      </c>
      <c r="AF155" s="9">
        <f>SUM(AF5:AF154)</f>
      </c>
      <c r="AG155" s="9">
        <f>SUM(AG5:AG154)</f>
      </c>
      <c r="AH155" s="9">
        <f>SUM(AH5:AH154)</f>
      </c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9">
        <f>SUM(AS5:AS154)</f>
      </c>
      <c r="AT155" s="9">
        <f>SUM(AT5:AT154)</f>
      </c>
      <c r="AU155" s="8"/>
      <c r="AV155" s="8"/>
      <c r="AW155" s="8"/>
      <c r="AX155" s="8"/>
    </row>
    <row r="156" ht="13.15" customHeight="1">
      <c r="A156" s="8"/>
      <c r="B156" s="8"/>
      <c r="C156" s="8"/>
      <c r="D156" s="9"/>
      <c r="E156" s="8"/>
      <c r="F156" t="inlineStr" s="8">
        <is>
          <t>POR VENDER</t>
        </is>
      </c>
      <c r="G156" s="8"/>
      <c r="H156" s="8"/>
      <c r="I156" s="9"/>
      <c r="J156" s="8"/>
      <c r="K156" s="8"/>
      <c r="L156" s="8"/>
      <c r="M156" s="9"/>
      <c r="N156" s="9"/>
      <c r="O156" s="8"/>
      <c r="P156" s="8"/>
      <c r="Q156" s="10"/>
      <c r="R156" s="10"/>
      <c r="S156" s="10"/>
      <c r="T156" s="10"/>
      <c r="U156" s="10"/>
      <c r="V156" s="10"/>
      <c r="W156" s="10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9"/>
      <c r="AT156" s="9"/>
      <c r="AU156" s="8"/>
      <c r="AV156" s="8"/>
      <c r="AW156" s="8"/>
      <c r="AX156" s="8"/>
    </row>
    <row r="157" ht="13.15" customHeight="1">
      <c r="A157" s="8"/>
      <c r="B157" s="8"/>
      <c r="C157" s="8"/>
      <c r="D157" s="9">
        <f>SUM(D5:D154)</f>
      </c>
      <c r="E157" s="8"/>
      <c r="F157" t="inlineStr" s="8">
        <is>
          <t>TOTAL</t>
        </is>
      </c>
      <c r="G157" s="8"/>
      <c r="H157" s="8"/>
      <c r="I157" s="9">
        <f>SUM(I5:I154)</f>
      </c>
      <c r="J157" s="8"/>
      <c r="K157" s="8"/>
      <c r="L157" s="8"/>
      <c r="M157" s="9"/>
      <c r="N157" s="9">
        <f>SUM(N5:N154)</f>
      </c>
      <c r="O157" s="8"/>
      <c r="P157" s="8"/>
      <c r="Q157" s="10">
        <f>SUM(Q5:Q154)</f>
      </c>
      <c r="R157" s="10">
        <f>SUM(R5:R154)</f>
      </c>
      <c r="S157" s="10">
        <f>SUM(S5:S154)</f>
      </c>
      <c r="T157" s="10">
        <f>SUM(T5:T154)</f>
      </c>
      <c r="U157" s="10">
        <f>SUM(U5:U154)</f>
      </c>
      <c r="V157" s="10">
        <f>SUM(V5:V154)</f>
      </c>
      <c r="W157" s="10">
        <f>SUM(W5:W154)</f>
      </c>
      <c r="X157" s="9">
        <f>SUM(X5:X154)</f>
      </c>
      <c r="Y157" s="9">
        <f>SUM(Y5:Y154)</f>
      </c>
      <c r="Z157" s="9">
        <f>SUM(Z5:Z154)</f>
      </c>
      <c r="AA157" s="9"/>
      <c r="AB157" s="9">
        <f>SUM(AB5:AB154)</f>
      </c>
      <c r="AC157" s="9">
        <f>SUM(AC5:AC154)</f>
      </c>
      <c r="AD157" s="9">
        <f>SUM(AD5:AD154)</f>
      </c>
      <c r="AE157" s="9">
        <f>SUM(AE5:AE154)</f>
      </c>
      <c r="AF157" s="9">
        <f>SUM(AF5:AF154)</f>
      </c>
      <c r="AG157" s="9">
        <f>SUM(AG5:AG154)</f>
      </c>
      <c r="AH157" s="9">
        <f>SUM(AH5:AH154)</f>
      </c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9">
        <f>SUM(AS5:AS154)</f>
      </c>
      <c r="AT157" s="9">
        <f>SUM(AT5:AT154)</f>
      </c>
      <c r="AU157" s="8"/>
      <c r="AV157" s="8"/>
      <c r="AW157" s="8"/>
      <c r="AX157" s="8"/>
    </row>
    <row r="158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</row>
    <row r="159" ht="15.0" customHeight="1">
      <c r="A159" t="inlineStr" s="1">
        <is>
          <t>NOVEDADES / OBSERVACIONES</t>
        </is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13.7" customHeight="1">
      <c r="A160" t="inlineStr" s="8">
        <is>
          <t>002010979111</t>
        </is>
      </c>
      <c r="B160" s="8"/>
      <c r="C160" t="inlineStr" s="8">
        <is>
          <t>303</t>
        </is>
      </c>
      <c r="D160" s="9">
        <v>40.70</v>
      </c>
      <c r="E160" t="inlineStr" s="8">
        <is>
          <t>38874568</t>
        </is>
      </c>
      <c r="F160" t="inlineStr" s="8">
        <is>
          <t>MORENO CARDONA GLORIA TERESA</t>
        </is>
      </c>
      <c r="G160" t="inlineStr" s="8">
        <is>
          <t>*TERMIN.SIN ABONOS</t>
        </is>
      </c>
      <c r="H160" s="8"/>
      <c r="I160" s="9">
        <v>173000000.00</v>
      </c>
      <c r="J160" s="8"/>
      <c r="K160" s="8"/>
      <c r="L160" s="8"/>
      <c r="M160" s="9"/>
      <c r="N160" s="9"/>
      <c r="O160" s="8"/>
      <c r="P160" s="8"/>
      <c r="Q160" s="10"/>
      <c r="R160" s="10"/>
      <c r="S160" s="10"/>
      <c r="T160" s="10"/>
      <c r="U160" s="10"/>
      <c r="V160" s="10"/>
      <c r="W160" s="10"/>
      <c r="X160" s="9"/>
      <c r="Y160" s="9"/>
      <c r="Z160" s="9"/>
      <c r="AA160" s="9"/>
      <c r="AB160" s="9">
        <f>SUM(M160,N160,Q160,R160,S160,T160,U160,V160,W160,X160,Y160,Z160,AA160)</f>
      </c>
      <c r="AC160" s="9">
        <f>I160-AB160</f>
      </c>
      <c r="AD160" s="9">
        <f>AC160-AE160-AF160-AG160-AH160</f>
      </c>
      <c r="AE160" s="9"/>
      <c r="AF160" s="9"/>
      <c r="AG160" s="9"/>
      <c r="AH160" s="9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9"/>
      <c r="AT160" s="9"/>
      <c r="AU160" s="8"/>
      <c r="AV160" s="8"/>
      <c r="AW160" s="8"/>
      <c r="AX160" s="8"/>
    </row>
    <row r="161" ht="13.7" customHeight="1">
      <c r="A161" t="inlineStr" s="8">
        <is>
          <t>002010978960</t>
        </is>
      </c>
      <c r="B161" s="8"/>
      <c r="C161" t="inlineStr" s="8">
        <is>
          <t>108</t>
        </is>
      </c>
      <c r="D161" s="9">
        <v>40.80</v>
      </c>
      <c r="E161" t="inlineStr" s="8">
        <is>
          <t>9771811</t>
        </is>
      </c>
      <c r="F161" t="inlineStr" s="8">
        <is>
          <t>POSADA TORRES JULIAN DAVID</t>
        </is>
      </c>
      <c r="G161" t="inlineStr" s="8">
        <is>
          <t>TERMINACION</t>
        </is>
      </c>
      <c r="H161" s="8"/>
      <c r="I161" s="9">
        <v>173000000.00</v>
      </c>
      <c r="J161" s="8"/>
      <c r="K161" s="8"/>
      <c r="L161" s="8"/>
      <c r="M161" s="9"/>
      <c r="N161" s="9"/>
      <c r="O161" s="8"/>
      <c r="P161" s="8"/>
      <c r="Q161" s="10"/>
      <c r="R161" s="10"/>
      <c r="S161" s="10"/>
      <c r="T161" s="10"/>
      <c r="U161" s="10"/>
      <c r="V161" s="10"/>
      <c r="W161" s="10"/>
      <c r="X161" s="9"/>
      <c r="Y161" s="9"/>
      <c r="Z161" s="9"/>
      <c r="AA161" s="9"/>
      <c r="AB161" s="9">
        <f>SUM(M161,N161,Q161,R161,S161,T161,U161,V161,W161,X161,Y161,Z161,AA161)</f>
      </c>
      <c r="AC161" s="9">
        <f>I161-AB161</f>
      </c>
      <c r="AD161" s="9">
        <f>AC161-AE161-AF161-AG161-AH161</f>
      </c>
      <c r="AE161" s="9"/>
      <c r="AF161" s="9"/>
      <c r="AG161" s="9"/>
      <c r="AH161" s="9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9"/>
      <c r="AT161" s="9"/>
      <c r="AU161" t="inlineStr" s="8">
        <is>
          <t>3116109373</t>
        </is>
      </c>
      <c r="AV161" t="inlineStr" s="8">
        <is>
          <t>ingposada36@gmail.com</t>
        </is>
      </c>
      <c r="AW161" s="8"/>
      <c r="AX161" t="inlineStr" s="8">
        <is>
          <t>AR0001 SEP.1/26 TERMIN JULIAN POSADA *ARRAS 100%</t>
        </is>
      </c>
    </row>
  </sheetData>
</worksheet>
</file>