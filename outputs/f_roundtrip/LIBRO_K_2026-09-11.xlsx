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2.42578125" customWidth="1"/>
    <col min="58" max="58" width="15.5703125" customWidth="1"/>
    <col min="59" max="59" width="15.28515625" customWidth="1"/>
    <col min="60" max="60" width="14.140625" customWidth="1"/>
    <col min="61" max="61" width="15.28515625" customWidth="1"/>
    <col min="62" max="62" width="11.5703125" customWidth="1"/>
    <col min="63" max="63" width="13.0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8.140625" customWidth="1"/>
    <col min="73" max="73" width="11.425781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3.0" customWidth="1"/>
    <col min="81" max="81" width="20.0" customWidth="1"/>
    <col min="82" max="82" width="24.0" customWidth="1"/>
    <col min="83" max="83" width="105.140625" customWidth="1"/>
  </cols>
  <sheetData>
    <row r="1">
      <c r="A1" t="inlineStr" s="1">
        <is>
          <t>CONJUNTO CERRADO KSMP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MAR/2022</t>
        </is>
      </c>
      <c r="S4" t="inlineStr" s="5">
        <is>
          <t>RECIBO FIDUCIA ABR/2022</t>
        </is>
      </c>
      <c r="T4" t="inlineStr" s="5">
        <is>
          <t>RECIBO FIDUCIA MAY/2022</t>
        </is>
      </c>
      <c r="U4" t="inlineStr" s="5">
        <is>
          <t>RECIBO FIDUCIA JUN/2022</t>
        </is>
      </c>
      <c r="V4" t="inlineStr" s="5">
        <is>
          <t>RECIBO FIDUCIA JUL/2022</t>
        </is>
      </c>
      <c r="W4" t="inlineStr" s="5">
        <is>
          <t>RECIBO FIDUCIA AGO/2022</t>
        </is>
      </c>
      <c r="X4" t="inlineStr" s="5">
        <is>
          <t>RECIBO FIDUCIA SEP/2022</t>
        </is>
      </c>
      <c r="Y4" t="inlineStr" s="5">
        <is>
          <t>RECIBO FIDUCIA OCT/2022</t>
        </is>
      </c>
      <c r="Z4" t="inlineStr" s="5">
        <is>
          <t>RECIBO FIDUCIA NOV/2022</t>
        </is>
      </c>
      <c r="AA4" t="inlineStr" s="5">
        <is>
          <t>RECIBO FIDUCIA DIC/2022</t>
        </is>
      </c>
      <c r="AB4" t="inlineStr" s="5">
        <is>
          <t>RECIBO FIDUCIA ENE/2023</t>
        </is>
      </c>
      <c r="AC4" t="inlineStr" s="5">
        <is>
          <t>RECIBO FIDUCIA FEB/2023</t>
        </is>
      </c>
      <c r="AD4" t="inlineStr" s="5">
        <is>
          <t>RECIBO FIDUCIA MAR/2023</t>
        </is>
      </c>
      <c r="AE4" t="inlineStr" s="5">
        <is>
          <t>RECIBO FIDUCIA ABR/2023</t>
        </is>
      </c>
      <c r="AF4" t="inlineStr" s="5">
        <is>
          <t>RECIBO FIDUCIA MAY/2023</t>
        </is>
      </c>
      <c r="AG4" t="inlineStr" s="5">
        <is>
          <t>RECIBO FIDUCIA JUN/2023</t>
        </is>
      </c>
      <c r="AH4" t="inlineStr" s="5">
        <is>
          <t>RECIBO FIDUCIA JUL/2023</t>
        </is>
      </c>
      <c r="AI4" t="inlineStr" s="5">
        <is>
          <t>RECIBO FIDUCIA AGO/2023</t>
        </is>
      </c>
      <c r="AJ4" t="inlineStr" s="5">
        <is>
          <t>RECIBO FIDUCIA SEP/2023</t>
        </is>
      </c>
      <c r="AK4" t="inlineStr" s="5">
        <is>
          <t>RECIBO FIDUCIA OCT/2023</t>
        </is>
      </c>
      <c r="AL4" t="inlineStr" s="5">
        <is>
          <t>RECIBO FIDUCIA NOV/2023</t>
        </is>
      </c>
      <c r="AM4" t="inlineStr" s="5">
        <is>
          <t>RECIBO FIDUCIA DIC/2023</t>
        </is>
      </c>
      <c r="AN4" t="inlineStr" s="5">
        <is>
          <t>RECIBO FIDUCIA ENE/2024</t>
        </is>
      </c>
      <c r="AO4" t="inlineStr" s="5">
        <is>
          <t>RECIBO FIDUCIA FEB/2024</t>
        </is>
      </c>
      <c r="AP4" t="inlineStr" s="5">
        <is>
          <t>RECIBO FIDUCIA MAR/2024</t>
        </is>
      </c>
      <c r="AQ4" t="inlineStr" s="5">
        <is>
          <t>RECIBO FIDUCIA ABR/2024</t>
        </is>
      </c>
      <c r="AR4" t="inlineStr" s="5">
        <is>
          <t>RECIBO FIDUCIA MAY/2024</t>
        </is>
      </c>
      <c r="AS4" t="inlineStr" s="5">
        <is>
          <t>RECIBO FIDUCIA JUN/2024</t>
        </is>
      </c>
      <c r="AT4" t="inlineStr" s="5">
        <is>
          <t>RECIBO FIDUCIA JUL/2024</t>
        </is>
      </c>
      <c r="AU4" t="inlineStr" s="5">
        <is>
          <t>RECIBO FIDUCIA AGO/2024</t>
        </is>
      </c>
      <c r="AV4" t="inlineStr" s="5">
        <is>
          <t>RECIBO FIDUCIA SEP/2024</t>
        </is>
      </c>
      <c r="AW4" t="inlineStr" s="5">
        <is>
          <t>RECIBO FIDUCIA OCT/2024</t>
        </is>
      </c>
      <c r="AX4" t="inlineStr" s="5">
        <is>
          <t>RECIBO FIDUCIA NOV/2024</t>
        </is>
      </c>
      <c r="AY4" t="inlineStr" s="5">
        <is>
          <t>RECIBO FIDUCIA DIC/2024</t>
        </is>
      </c>
      <c r="AZ4" t="inlineStr" s="5">
        <is>
          <t>RECIBO FIDUCIA ENE/2025</t>
        </is>
      </c>
      <c r="BA4" t="inlineStr" s="5">
        <is>
          <t>RECIBO FIDUCIA FEB/2025</t>
        </is>
      </c>
      <c r="BB4" t="inlineStr" s="5">
        <is>
          <t>RECIBO FIDUCIA MAR/2025</t>
        </is>
      </c>
      <c r="BC4" t="inlineStr" s="5">
        <is>
          <t>RECIBO FIDUCIA ABR/2025</t>
        </is>
      </c>
      <c r="BD4" t="inlineStr" s="5">
        <is>
          <t>RECIBO FIDUCIA JUN/2025</t>
        </is>
      </c>
      <c r="BE4" t="inlineStr" s="4">
        <is>
          <t>ABONOS CR CONSTRUCTOR</t>
        </is>
      </c>
      <c r="BF4" t="inlineStr" s="4">
        <is>
          <t>DESEMBOLSO SUBSIDIO CAJAS DE COMPENSACION</t>
        </is>
      </c>
      <c r="BG4" t="inlineStr" s="4">
        <is>
          <t>DESEMBOLSO SUBSIDIOS GOBIERNO</t>
        </is>
      </c>
      <c r="BH4" t="inlineStr" s="2">
        <is>
          <t>AJUSTE</t>
        </is>
      </c>
      <c r="BI4" t="inlineStr" s="2">
        <is>
          <t>TOTAL RECIBIDO</t>
        </is>
      </c>
      <c r="BJ4" t="inlineStr" s="2">
        <is>
          <t>SALDO POR COBRAR</t>
        </is>
      </c>
      <c r="BK4" t="inlineStr" s="2">
        <is>
          <t>RECURSOS PROPIOS</t>
        </is>
      </c>
      <c r="BL4" t="inlineStr" s="2">
        <is>
          <t>CREDITO BANCARIO</t>
        </is>
      </c>
      <c r="BM4" t="inlineStr" s="2">
        <is>
          <t>CAJA HONOR</t>
        </is>
      </c>
      <c r="BN4" t="inlineStr" s="6">
        <is>
          <t>SUBSIDIOS MCY</t>
        </is>
      </c>
      <c r="BO4" t="inlineStr" s="6">
        <is>
          <t>SUBSIDIOS CAJA COMP</t>
        </is>
      </c>
      <c r="BP4" t="inlineStr" s="6">
        <is>
          <t>ENTIDAD</t>
        </is>
      </c>
      <c r="BQ4" t="inlineStr" s="2">
        <is>
          <t>FECHA CONTRATO DE ADHESION</t>
        </is>
      </c>
      <c r="BR4" t="inlineStr" s="2">
        <is>
          <t>FECHA DE PROMESA</t>
        </is>
      </c>
      <c r="BS4" t="inlineStr" s="7">
        <is>
          <t>ENTREGA REAL</t>
        </is>
      </c>
      <c r="BT4" t="inlineStr" s="6">
        <is>
          <t>MATRIC</t>
        </is>
      </c>
      <c r="BU4" t="inlineStr" s="6">
        <is>
          <t>FECHA ESC</t>
        </is>
      </c>
      <c r="BV4" t="inlineStr" s="6">
        <is>
          <t>ESC</t>
        </is>
      </c>
      <c r="BW4" t="inlineStr" s="6">
        <is>
          <t>NOT</t>
        </is>
      </c>
      <c r="BX4" t="inlineStr" s="6">
        <is>
          <t>FECHA C/TRADIC</t>
        </is>
      </c>
      <c r="BY4" t="inlineStr" s="6">
        <is>
          <t>FE</t>
        </is>
      </c>
      <c r="BZ4" t="inlineStr" s="2">
        <is>
          <t>INTERESES</t>
        </is>
      </c>
      <c r="CA4" t="inlineStr" s="2">
        <is>
          <t>VALOR</t>
        </is>
      </c>
      <c r="CB4" t="inlineStr" s="2">
        <is>
          <t>TELEFONO</t>
        </is>
      </c>
      <c r="CC4" t="inlineStr" s="2">
        <is>
          <t>E-MAIL</t>
        </is>
      </c>
      <c r="CD4" t="inlineStr" s="2">
        <is>
          <t>CONTACTO</t>
        </is>
      </c>
      <c r="CE4" t="inlineStr" s="2">
        <is>
          <t>OBSERVACIONES</t>
        </is>
      </c>
    </row>
    <row r="5" ht="12.75" customHeight="1">
      <c r="A5" t="inlineStr" s="8">
        <is>
          <t>60007919073625</t>
        </is>
      </c>
      <c r="B5" s="8"/>
      <c r="C5" t="inlineStr" s="8">
        <is>
          <t>101</t>
        </is>
      </c>
      <c r="D5" s="9">
        <v>55.20</v>
      </c>
      <c r="E5" t="inlineStr" s="8">
        <is>
          <t>73056859</t>
        </is>
      </c>
      <c r="F5" t="inlineStr" s="8">
        <is>
          <t>PARKER SANDY</t>
        </is>
      </c>
      <c r="G5" s="8"/>
      <c r="H5" s="8"/>
      <c r="I5" s="9">
        <v>192172500.00</v>
      </c>
      <c r="J5" t="inlineStr" s="8">
        <is>
          <t>NC3082CESION - NCR3087 - NCR3086 - NCR3096 - NCR3089</t>
        </is>
      </c>
      <c r="K5" t="inlineStr" s="8">
        <is>
          <t>NCR3094 - NCR3084 - NCR3090 - NCR3091 - NCR3092 - NCR3095 - NCR3088 - NCR3093 - NCR3085 - NCR3083</t>
        </is>
      </c>
      <c r="L5" t="inlineStr" s="8">
        <is>
          <t>SEP.13/22F - OCT.8/22F - OCT.12/22F - NOV.20/22F - DIC.20/22F - ENE.7/23F - MAR.10/23F - MAR.27/23F - (MAY.3/23CESION) - JUN.9/23 - JUN.11/23 - JUN.23/23F - JUN.26/23F - JUN.27/23 - JUN.28/23</t>
        </is>
      </c>
      <c r="M5" s="9">
        <f>11340500+7264000+5492000+5847000</f>
      </c>
      <c r="N5" s="9">
        <v>15000000</v>
      </c>
      <c r="O5" s="8"/>
      <c r="P5" s="8"/>
      <c r="Q5" s="10"/>
      <c r="R5" s="10"/>
      <c r="S5" s="10"/>
      <c r="T5" s="10"/>
      <c r="U5" s="10"/>
      <c r="V5" s="10"/>
      <c r="W5" s="10"/>
      <c r="X5" s="10">
        <v>1417000</v>
      </c>
      <c r="Y5" s="10">
        <f>6378000+26930000</f>
      </c>
      <c r="Z5" s="10">
        <v>1417000</v>
      </c>
      <c r="AA5" s="10">
        <v>1595000</v>
      </c>
      <c r="AB5" s="10">
        <v>27462000</v>
      </c>
      <c r="AC5" s="10"/>
      <c r="AD5" s="10">
        <f>5315000+24981000</f>
      </c>
      <c r="AE5" s="10"/>
      <c r="AF5" s="10"/>
      <c r="AG5" s="10">
        <f>2480000+49254000</f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/>
      <c r="BF5" s="9"/>
      <c r="BG5" s="9"/>
      <c r="BH5" s="9"/>
      <c r="BI5" s="9">
        <f>SUM(M5,N5,Q5,R5,S5,T5,U5,V5,W5,X5,Y5,Z5,AA5,AB5,AC5,AD5,AE5,AF5,AG5,AH5,AI5,AJ5,AK5,AL5,AM5,AN5,AO5,AP5,AQ5,AR5,AS5,AT5,AU5,AV5,AW5,AX5,AY5,AZ5,BA5,BB5,BC5,BD5,BE5,BF5,BG5,BH5)</f>
      </c>
      <c r="BJ5" s="9">
        <f>I5-BI5</f>
      </c>
      <c r="BK5" s="9">
        <f>BJ5-BL5-BM5-BN5-BO5</f>
      </c>
      <c r="BL5" s="9"/>
      <c r="BM5" s="9"/>
      <c r="BN5" s="9"/>
      <c r="BO5" s="9"/>
      <c r="BP5" s="8"/>
      <c r="BQ5" t="inlineStr" s="8">
        <is>
          <t>2022-08-23</t>
        </is>
      </c>
      <c r="BR5" t="inlineStr" s="8">
        <is>
          <t>2022-11-26</t>
        </is>
      </c>
      <c r="BS5" t="inlineStr" s="8">
        <is>
          <t>2023-08-19</t>
        </is>
      </c>
      <c r="BT5" s="8"/>
      <c r="BU5" s="8"/>
      <c r="BV5" s="8"/>
      <c r="BW5" s="8"/>
      <c r="BX5" s="8"/>
      <c r="BY5" s="8"/>
      <c r="BZ5" s="9"/>
      <c r="CA5" s="9"/>
      <c r="CB5" t="inlineStr" s="8">
        <is>
          <t>3166089350</t>
        </is>
      </c>
      <c r="CC5" t="inlineStr" s="8">
        <is>
          <t>parker.sandy.73056859@example.com</t>
        </is>
      </c>
      <c r="CD5" t="inlineStr" s="8">
        <is>
          <t>JETSON GEORGE CEL: 3166089652</t>
        </is>
      </c>
      <c r="CE5" t="inlineStr" s="8">
        <is>
          <t>NC3082 MAY.3/23 CESION DE HOWARD TENTACLES A SANDY PARKER *ANTIC $15.000.000 *ARRAS $4'640</t>
        </is>
      </c>
    </row>
    <row r="6" ht="12.75" customHeight="1">
      <c r="A6" t="inlineStr" s="8">
        <is>
          <t>60007919073770</t>
        </is>
      </c>
      <c r="B6" s="8"/>
      <c r="C6" t="inlineStr" s="8">
        <is>
          <t>102</t>
        </is>
      </c>
      <c r="D6" s="9">
        <v>55.20</v>
      </c>
      <c r="E6" t="inlineStr" s="8">
        <is>
          <t>73065643</t>
        </is>
      </c>
      <c r="F6" t="inlineStr" s="8">
        <is>
          <t>WOLOWITZ TONY</t>
        </is>
      </c>
      <c r="G6" s="8"/>
      <c r="H6" t="inlineStr" s="8">
        <is>
          <t>BANCO DE OCCIDENTE</t>
        </is>
      </c>
      <c r="I6" s="9">
        <v>192172500.00</v>
      </c>
      <c r="J6" t="inlineStr" s="8">
        <is>
          <t>NCR3106CR</t>
        </is>
      </c>
      <c r="K6" t="inlineStr" s="8">
        <is>
          <t>NCR3100 - NCR3103 - NCR3101 - NCR3102 - NCR3105 - NCR3099 - NCR3097 - NCR3098 - NCR3104</t>
        </is>
      </c>
      <c r="L6" t="inlineStr" s="8">
        <is>
          <t>OCT.17/22F - NOV.5/22F - NOV.11/22F - NOV.28/22F - DIC.1/22F - DIC.24/22F - DIC.25/22F - DIC.26/22F - MAR.28/23F</t>
        </is>
      </c>
      <c r="M6" s="9"/>
      <c r="N6" s="9"/>
      <c r="O6" t="inlineStr" s="8">
        <is>
          <t>MAR.14/23</t>
        </is>
      </c>
      <c r="P6" s="8"/>
      <c r="Q6" s="10"/>
      <c r="R6" s="10"/>
      <c r="S6" s="10"/>
      <c r="T6" s="10"/>
      <c r="U6" s="10"/>
      <c r="V6" s="10"/>
      <c r="W6" s="10"/>
      <c r="X6" s="10"/>
      <c r="Y6" s="10">
        <v>822000</v>
      </c>
      <c r="Z6" s="10">
        <f>822000+8464000+17174000</f>
      </c>
      <c r="AA6" s="10">
        <f>27033500+19886000+2876000+904000</f>
      </c>
      <c r="AB6" s="10"/>
      <c r="AC6" s="10"/>
      <c r="AD6" s="10">
        <v>4191000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>
        <v>80000000</v>
      </c>
      <c r="BF6" s="9"/>
      <c r="BG6" s="9"/>
      <c r="BH6" s="9"/>
      <c r="BI6" s="9">
        <f>SUM(M6,N6,Q6,R6,S6,T6,U6,V6,W6,X6,Y6,Z6,AA6,AB6,AC6,AD6,AE6,AF6,AG6,AH6,AI6,AJ6,AK6,AL6,AM6,AN6,AO6,AP6,AQ6,AR6,AS6,AT6,AU6,AV6,AW6,AX6,AY6,AZ6,BA6,BB6,BC6,BD6,BE6,BF6,BG6,BH6)</f>
      </c>
      <c r="BJ6" s="9">
        <f>I6-BI6</f>
      </c>
      <c r="BK6" s="9">
        <f>BJ6-BL6-BM6-BN6-BO6</f>
      </c>
      <c r="BL6" s="9"/>
      <c r="BM6" s="9"/>
      <c r="BN6" s="9"/>
      <c r="BO6" s="9"/>
      <c r="BP6" s="8"/>
      <c r="BQ6" t="inlineStr" s="8">
        <is>
          <t>2022-09-13</t>
        </is>
      </c>
      <c r="BR6" t="inlineStr" s="8">
        <is>
          <t>2022-11-10</t>
        </is>
      </c>
      <c r="BS6" s="8"/>
      <c r="BT6" s="8"/>
      <c r="BU6" s="8"/>
      <c r="BV6" s="8"/>
      <c r="BW6" s="8"/>
      <c r="BX6" s="8"/>
      <c r="BY6" s="8"/>
      <c r="BZ6" s="9"/>
      <c r="CA6" s="9"/>
      <c r="CB6" t="inlineStr" s="8">
        <is>
          <t>3166090395</t>
        </is>
      </c>
      <c r="CC6" t="inlineStr" s="8">
        <is>
          <t>wolowitz.tony.73065643@example.com</t>
        </is>
      </c>
      <c r="CD6" t="inlineStr" s="8">
        <is>
          <t>JAKE CEL: 3166090702</t>
        </is>
      </c>
      <c r="CE6" s="8"/>
    </row>
    <row r="7" ht="12.75" customHeight="1">
      <c r="A7" s="8"/>
      <c r="B7" s="8"/>
      <c r="C7" t="inlineStr" s="8">
        <is>
          <t>103</t>
        </is>
      </c>
      <c r="D7" s="9">
        <v>55.20</v>
      </c>
      <c r="E7" s="8"/>
      <c r="F7" s="8"/>
      <c r="G7" s="8"/>
      <c r="H7" t="inlineStr" s="8">
        <is>
          <t>BANCO CAJA SOCIAL</t>
        </is>
      </c>
      <c r="I7" s="9">
        <v>192172500.00</v>
      </c>
      <c r="J7" s="8"/>
      <c r="K7" s="8"/>
      <c r="L7" s="8"/>
      <c r="M7" s="9"/>
      <c r="N7" s="9"/>
      <c r="O7" s="8"/>
      <c r="P7" s="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8"/>
      <c r="BQ7" s="8"/>
      <c r="BR7" s="8"/>
      <c r="BS7" s="8"/>
      <c r="BT7" s="8"/>
      <c r="BU7" s="8"/>
      <c r="BV7" s="8"/>
      <c r="BW7" s="8"/>
      <c r="BX7" s="8"/>
      <c r="BY7" s="8"/>
      <c r="BZ7" s="9"/>
      <c r="CA7" s="9"/>
      <c r="CB7" s="8"/>
      <c r="CC7" s="8"/>
      <c r="CD7" s="8"/>
      <c r="CE7" s="8"/>
    </row>
    <row r="8" ht="12.75" customHeight="1">
      <c r="A8" t="inlineStr" s="8">
        <is>
          <t>60007919073984</t>
        </is>
      </c>
      <c r="B8" s="8"/>
      <c r="C8" t="inlineStr" s="8">
        <is>
          <t>104</t>
        </is>
      </c>
      <c r="D8" s="9">
        <v>55.20</v>
      </c>
      <c r="E8" t="inlineStr" s="8">
        <is>
          <t>73085039</t>
        </is>
      </c>
      <c r="F8" t="inlineStr" s="8">
        <is>
          <t>WHITE BRUCE</t>
        </is>
      </c>
      <c r="G8" s="8"/>
      <c r="H8" t="inlineStr" s="8">
        <is>
          <t>BANCO DE OCCIDENTE</t>
        </is>
      </c>
      <c r="I8" s="9">
        <v>192172500.00</v>
      </c>
      <c r="J8" t="inlineStr" s="8">
        <is>
          <t>NCR3132 - NCR3128 - NCR3137CR</t>
        </is>
      </c>
      <c r="K8" t="inlineStr" s="8">
        <is>
          <t>NCR3125 - NCR3123 - NCR3124 - NCR3133 - NCR3126 - NCR3127 - NCR3131 - NCR3136 - NCR3130 - NCR3129 - NCR3134 - NCR3135</t>
        </is>
      </c>
      <c r="L8" t="inlineStr" s="8">
        <is>
          <t>JUL.10/22F - JUL.20/22F - JUL.24/22F - SEP.10/22F - OCT.23/22F - NOV.25/22F - ENE.2/23F - FEB.15/23F - MAR.2/23F - MAR.14/23F - ABR.16/23F - ABR.22/23F - JUN.9/23 - JUN.15/23</t>
        </is>
      </c>
      <c r="M8" s="9">
        <f>304000+11635000</f>
      </c>
      <c r="N8" s="9"/>
      <c r="O8" t="inlineStr" s="8">
        <is>
          <t>NOV.23/22</t>
        </is>
      </c>
      <c r="P8" s="8"/>
      <c r="Q8" s="10"/>
      <c r="R8" s="10"/>
      <c r="S8" s="10"/>
      <c r="T8" s="10"/>
      <c r="U8" s="10"/>
      <c r="V8" s="10">
        <f>8296000+1214000+304000</f>
      </c>
      <c r="W8" s="10"/>
      <c r="X8" s="10">
        <v>4350000</v>
      </c>
      <c r="Y8" s="10">
        <v>9611000</v>
      </c>
      <c r="Z8" s="10">
        <v>3136000</v>
      </c>
      <c r="AA8" s="10"/>
      <c r="AB8" s="10">
        <v>7487000</v>
      </c>
      <c r="AC8" s="10">
        <v>18413500</v>
      </c>
      <c r="AD8" s="10">
        <f>17503000+3035000</f>
      </c>
      <c r="AE8" s="10">
        <f>607000+15277000</f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>
        <v>55000000</v>
      </c>
      <c r="BF8" s="9"/>
      <c r="BG8" s="9"/>
      <c r="BH8" s="9"/>
      <c r="BI8" s="9">
        <f>SUM(M8,N8,Q8,R8,S8,T8,U8,V8,W8,X8,Y8,Z8,AA8,AB8,AC8,AD8,AE8,AF8,AG8,AH8,AI8,AJ8,AK8,AL8,AM8,AN8,AO8,AP8,AQ8,AR8,AS8,AT8,AU8,AV8,AW8,AX8,AY8,AZ8,BA8,BB8,BC8,BD8,BE8,BF8,BG8,BH8)</f>
      </c>
      <c r="BJ8" s="9">
        <f>I8-BI8</f>
      </c>
      <c r="BK8" s="9">
        <f>BJ8-BL8-BM8-BN8-BO8</f>
      </c>
      <c r="BL8" s="9"/>
      <c r="BM8" s="9"/>
      <c r="BN8" s="9"/>
      <c r="BO8" s="9"/>
      <c r="BP8" s="8"/>
      <c r="BQ8" t="inlineStr" s="8">
        <is>
          <t>2022-07-28</t>
        </is>
      </c>
      <c r="BR8" t="inlineStr" s="8">
        <is>
          <t>2022-10-10</t>
        </is>
      </c>
      <c r="BS8" s="8"/>
      <c r="BT8" s="8"/>
      <c r="BU8" s="8"/>
      <c r="BV8" s="8"/>
      <c r="BW8" s="8"/>
      <c r="BX8" s="8"/>
      <c r="BY8" s="8"/>
      <c r="BZ8" s="9"/>
      <c r="CA8" s="9"/>
      <c r="CB8" t="inlineStr" s="8">
        <is>
          <t>3166092313</t>
        </is>
      </c>
      <c r="CC8" t="inlineStr" s="8">
        <is>
          <t>white.bruce.73085039@example.com</t>
        </is>
      </c>
      <c r="CD8" t="inlineStr" s="8">
        <is>
          <t>JAKE CEL: 3166092956</t>
        </is>
      </c>
      <c r="CE8" s="8"/>
    </row>
    <row r="9" ht="12.75" customHeight="1">
      <c r="A9" t="inlineStr" s="8">
        <is>
          <t>60007919074131</t>
        </is>
      </c>
      <c r="B9" s="8"/>
      <c r="C9" t="inlineStr" s="8">
        <is>
          <t>105</t>
        </is>
      </c>
      <c r="D9" s="9">
        <v>55.20</v>
      </c>
      <c r="E9" t="inlineStr" s="8">
        <is>
          <t>73093983</t>
        </is>
      </c>
      <c r="F9" t="inlineStr" s="8">
        <is>
          <t>WATSON JOHN</t>
        </is>
      </c>
      <c r="G9" t="inlineStr" s="8">
        <is>
          <t>BARTON TYRION</t>
        </is>
      </c>
      <c r="H9" t="inlineStr" s="8">
        <is>
          <t>BANCO DE BOGOTA</t>
        </is>
      </c>
      <c r="I9" s="9">
        <v>192172500.00</v>
      </c>
      <c r="J9" t="inlineStr" s="8">
        <is>
          <t>NCR3142 - NCR3140 - NCR3153 - NCR3141 - NCR3154CR</t>
        </is>
      </c>
      <c r="K9" t="inlineStr" s="8">
        <is>
          <t>NCR3149 - NCR3143 - NCR3146 - NCR3152 - NCR3147 - NCR3150 - NCR3151 - NCR3144 - NCR3145 - NCR3148</t>
        </is>
      </c>
      <c r="L9" t="inlineStr" s="8">
        <is>
          <t>JUN.27/22F - FEB.8/23F - MAR.23/23F - JUN.15/23F - JUL.10/23F - AGO.8/23F - OCT.1/23 - OCT.3/23 - OCT.5/23 - OCT.24/23 - OCT.27/23F - ENE.25/24F - FEB.19/24F - ABR.21/24F</t>
        </is>
      </c>
      <c r="M9" s="9">
        <f>1142000+4702000+5374000+5507500</f>
      </c>
      <c r="N9" s="9"/>
      <c r="O9" t="inlineStr" s="8">
        <is>
          <t>DIC.19/23</t>
        </is>
      </c>
      <c r="P9" s="8"/>
      <c r="Q9" s="10"/>
      <c r="R9" s="10"/>
      <c r="S9" s="10"/>
      <c r="T9" s="10"/>
      <c r="U9" s="10">
        <v>10479000</v>
      </c>
      <c r="V9" s="10"/>
      <c r="W9" s="10"/>
      <c r="X9" s="10"/>
      <c r="Y9" s="10"/>
      <c r="Z9" s="10"/>
      <c r="AA9" s="10"/>
      <c r="AB9" s="10"/>
      <c r="AC9" s="10">
        <v>4702000</v>
      </c>
      <c r="AD9" s="10">
        <v>4568000</v>
      </c>
      <c r="AE9" s="10"/>
      <c r="AF9" s="10"/>
      <c r="AG9" s="10">
        <v>9606000</v>
      </c>
      <c r="AH9" s="10">
        <v>134000</v>
      </c>
      <c r="AI9" s="10">
        <v>672000</v>
      </c>
      <c r="AJ9" s="10"/>
      <c r="AK9" s="10">
        <v>1075000</v>
      </c>
      <c r="AL9" s="10"/>
      <c r="AM9" s="10"/>
      <c r="AN9" s="10">
        <v>14173000</v>
      </c>
      <c r="AO9" s="10">
        <v>739000</v>
      </c>
      <c r="AP9" s="10"/>
      <c r="AQ9" s="10">
        <v>4299000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9">
        <v>115000000</v>
      </c>
      <c r="BF9" s="9"/>
      <c r="BG9" s="9"/>
      <c r="BH9" s="9"/>
      <c r="BI9" s="9">
        <f>SUM(M9,N9,Q9,R9,S9,T9,U9,V9,W9,X9,Y9,Z9,AA9,AB9,AC9,AD9,AE9,AF9,AG9,AH9,AI9,AJ9,AK9,AL9,AM9,AN9,AO9,AP9,AQ9,AR9,AS9,AT9,AU9,AV9,AW9,AX9,AY9,AZ9,BA9,BB9,BC9,BD9,BE9,BF9,BG9,BH9)</f>
      </c>
      <c r="BJ9" s="9">
        <f>I9-BI9</f>
      </c>
      <c r="BK9" s="9">
        <f>BJ9-BL9-BM9-BN9-BO9</f>
      </c>
      <c r="BL9" s="9"/>
      <c r="BM9" s="9"/>
      <c r="BN9" s="9"/>
      <c r="BO9" s="9"/>
      <c r="BP9" s="8"/>
      <c r="BQ9" t="inlineStr" s="8">
        <is>
          <t>2022-10-05</t>
        </is>
      </c>
      <c r="BR9" t="inlineStr" s="8">
        <is>
          <t>2023-01-09</t>
        </is>
      </c>
      <c r="BS9" s="8"/>
      <c r="BT9" s="8"/>
      <c r="BU9" s="8"/>
      <c r="BV9" s="8"/>
      <c r="BW9" s="8"/>
      <c r="BX9" s="8"/>
      <c r="BY9" s="8"/>
      <c r="BZ9" s="9"/>
      <c r="CA9" s="9"/>
      <c r="CB9" t="inlineStr" s="8">
        <is>
          <t>3166093325</t>
        </is>
      </c>
      <c r="CC9" t="inlineStr" s="8">
        <is>
          <t>watson.john.73093983@example.com</t>
        </is>
      </c>
      <c r="CD9" t="inlineStr" s="8">
        <is>
          <t>PANTHER PINK CEL: 3166094539</t>
        </is>
      </c>
      <c r="CE9" s="8"/>
    </row>
    <row r="10" ht="12.75" customHeight="1">
      <c r="A10" t="inlineStr" s="8">
        <is>
          <t>60007919074291</t>
        </is>
      </c>
      <c r="B10" s="8"/>
      <c r="C10" t="inlineStr" s="8">
        <is>
          <t>106</t>
        </is>
      </c>
      <c r="D10" s="9">
        <v>55.20</v>
      </c>
      <c r="E10" t="inlineStr" s="8">
        <is>
          <t>73103354</t>
        </is>
      </c>
      <c r="F10" t="inlineStr" s="8">
        <is>
          <t>COOPER LOIS</t>
        </is>
      </c>
      <c r="G10" s="8"/>
      <c r="H10" t="inlineStr" s="8">
        <is>
          <t>BANCO DAVIVIENDA</t>
        </is>
      </c>
      <c r="I10" s="9">
        <v>192172500.00</v>
      </c>
      <c r="J10" t="inlineStr" s="8">
        <is>
          <t>NCR3164 - NCR3158 - NCR3163 - NCR3169CR</t>
        </is>
      </c>
      <c r="K10" t="inlineStr" s="8">
        <is>
          <t>NCR3162 - NCR3166 - NCR3168 - NCR3167 - NCR3159 - NCR3161 - NCR3160 - NCR3157 - NCR3155 - NCR3156 - NCR3165</t>
        </is>
      </c>
      <c r="L10" t="inlineStr" s="8">
        <is>
          <t>DIC.27/23 - ENE.27/24F - ABR.5/24F - JUL.16/24F - JUL.17/24F - SEP.8/24F - SEP.22/24F - NOV.23/24F - DIC.2/24 - DIC.9/24F - DIC.18/24 - DIC.20/24F - DIC.21/24F - JUN.15/25F</t>
        </is>
      </c>
      <c r="M10" s="9">
        <f>15485000+6636000+7650000</f>
      </c>
      <c r="N10" s="9"/>
      <c r="O10" t="inlineStr" s="8">
        <is>
          <t>FEB.17/25</t>
        </is>
      </c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>
        <v>5069000</v>
      </c>
      <c r="AO10" s="10"/>
      <c r="AP10" s="10"/>
      <c r="AQ10" s="10">
        <v>277000</v>
      </c>
      <c r="AR10" s="10"/>
      <c r="AS10" s="10"/>
      <c r="AT10" s="10">
        <f>12905500+1659000</f>
      </c>
      <c r="AU10" s="10"/>
      <c r="AV10" s="10">
        <f>9125000+645000</f>
      </c>
      <c r="AW10" s="10"/>
      <c r="AX10" s="10">
        <v>3318000</v>
      </c>
      <c r="AY10" s="10">
        <f>1843000+10139000+830000</f>
      </c>
      <c r="AZ10" s="10"/>
      <c r="BA10" s="10"/>
      <c r="BB10" s="10"/>
      <c r="BC10" s="10"/>
      <c r="BD10" s="10">
        <v>16591000</v>
      </c>
      <c r="BE10" s="9">
        <v>80000000</v>
      </c>
      <c r="BF10" s="9"/>
      <c r="BG10" s="9"/>
      <c r="BH10" s="9"/>
      <c r="BI10" s="9">
        <f>SUM(M10,N10,Q10,R10,S10,T10,U10,V10,W10,X10,Y10,Z10,AA10,AB10,AC10,AD10,AE10,AF10,AG10,AH10,AI10,AJ10,AK10,AL10,AM10,AN10,AO10,AP10,AQ10,AR10,AS10,AT10,AU10,AV10,AW10,AX10,AY10,AZ10,BA10,BB10,BC10,BD10,BE10,BF10,BG10,BH10)</f>
      </c>
      <c r="BJ10" s="9">
        <f>I10-BI10</f>
      </c>
      <c r="BK10" s="9">
        <f>BJ10-BL10-BM10-BN10-BO10</f>
      </c>
      <c r="BL10" s="9"/>
      <c r="BM10" s="9"/>
      <c r="BN10" s="9"/>
      <c r="BO10" s="9"/>
      <c r="BP10" s="8"/>
      <c r="BQ10" t="inlineStr" s="8">
        <is>
          <t>2024-03-17</t>
        </is>
      </c>
      <c r="BR10" t="inlineStr" s="8">
        <is>
          <t>2024-05-06</t>
        </is>
      </c>
      <c r="BS10" s="8"/>
      <c r="BT10" s="8"/>
      <c r="BU10" s="8"/>
      <c r="BV10" s="8"/>
      <c r="BW10" s="8"/>
      <c r="BX10" s="8"/>
      <c r="BY10" s="8"/>
      <c r="BZ10" s="9"/>
      <c r="CA10" s="9"/>
      <c r="CB10" t="inlineStr" s="8">
        <is>
          <t>3166095324</t>
        </is>
      </c>
      <c r="CC10" t="inlineStr" s="8">
        <is>
          <t>cooper.lois.73103354@example.com</t>
        </is>
      </c>
      <c r="CD10" t="inlineStr" s="8">
        <is>
          <t>FLINTSTONE FRED CEL: 3166095434</t>
        </is>
      </c>
      <c r="CE10" s="8"/>
    </row>
    <row r="11" ht="12.75" customHeight="1">
      <c r="A11" t="inlineStr" s="8">
        <is>
          <t>60007919074416</t>
        </is>
      </c>
      <c r="B11" s="8"/>
      <c r="C11" t="inlineStr" s="8">
        <is>
          <t>107</t>
        </is>
      </c>
      <c r="D11" s="9">
        <v>55.20</v>
      </c>
      <c r="E11" t="inlineStr" s="8">
        <is>
          <t>73111936</t>
        </is>
      </c>
      <c r="F11" t="inlineStr" s="8">
        <is>
          <t>SINCLAIR BETH</t>
        </is>
      </c>
      <c r="G11" s="8"/>
      <c r="H11" s="8"/>
      <c r="I11" s="9">
        <v>192172500.00</v>
      </c>
      <c r="J11" t="inlineStr" s="8">
        <is>
          <t>NCR3177 - NCR3180</t>
        </is>
      </c>
      <c r="K11" t="inlineStr" s="8">
        <is>
          <t>NCR3179 - NCR3181 - NCR3172 - NCR3173 - NCR3178 - NCR3174 - NCR3176 - NCR3175</t>
        </is>
      </c>
      <c r="L11" t="inlineStr" s="8">
        <is>
          <t>NOV.1/22F - NOV.20/22F - ENE.18/23F - ABR.4/23F - JUN.17/23 - JUN.25/23F - JUL.20/23 - AGO.15/23F - ABR.13/24F - ABR.15/24F</t>
        </is>
      </c>
      <c r="M11" s="9">
        <f>15244000+9730000</f>
      </c>
      <c r="N11" s="9"/>
      <c r="O11" s="8"/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>
        <f>23677000+648500</f>
      </c>
      <c r="AA11" s="10"/>
      <c r="AB11" s="10">
        <v>23677000</v>
      </c>
      <c r="AC11" s="10"/>
      <c r="AD11" s="10"/>
      <c r="AE11" s="10">
        <v>48003000</v>
      </c>
      <c r="AF11" s="10"/>
      <c r="AG11" s="10">
        <v>24326000</v>
      </c>
      <c r="AH11" s="10"/>
      <c r="AI11" s="10">
        <v>811000</v>
      </c>
      <c r="AJ11" s="10"/>
      <c r="AK11" s="10"/>
      <c r="AL11" s="10"/>
      <c r="AM11" s="10"/>
      <c r="AN11" s="10"/>
      <c r="AO11" s="10"/>
      <c r="AP11" s="10"/>
      <c r="AQ11" s="10">
        <f>1460000+14596000</f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9"/>
      <c r="BF11" s="9"/>
      <c r="BG11" s="9"/>
      <c r="BH11" s="9"/>
      <c r="BI11" s="9">
        <f>SUM(M11,N11,Q11,R11,S11,T11,U11,V11,W11,X11,Y11,Z11,AA11,AB11,AC11,AD11,AE11,AF11,AG11,AH11,AI11,AJ11,AK11,AL11,AM11,AN11,AO11,AP11,AQ11,AR11,AS11,AT11,AU11,AV11,AW11,AX11,AY11,AZ11,BA11,BB11,BC11,BD11,BE11,BF11,BG11,BH11)</f>
      </c>
      <c r="BJ11" s="9">
        <f>I11-BI11</f>
      </c>
      <c r="BK11" s="9">
        <f>BJ11-BL11-BM11-BN11-BO11</f>
      </c>
      <c r="BL11" s="9"/>
      <c r="BM11" s="9"/>
      <c r="BN11" s="9"/>
      <c r="BO11" s="9"/>
      <c r="BP11" s="8"/>
      <c r="BQ11" t="inlineStr" s="8">
        <is>
          <t>2022-10-21</t>
        </is>
      </c>
      <c r="BR11" t="inlineStr" s="8">
        <is>
          <t>2022-12-19</t>
        </is>
      </c>
      <c r="BS11" s="8"/>
      <c r="BT11" s="8"/>
      <c r="BU11" s="8"/>
      <c r="BV11" s="8"/>
      <c r="BW11" s="8"/>
      <c r="BX11" s="8"/>
      <c r="BY11" s="8"/>
      <c r="BZ11" s="9"/>
      <c r="CA11" s="9"/>
      <c r="CB11" t="inlineStr" s="8">
        <is>
          <t>3166095682</t>
        </is>
      </c>
      <c r="CC11" t="inlineStr" s="8">
        <is>
          <t>sinclair.beth.73111936@example.com</t>
        </is>
      </c>
      <c r="CD11" t="inlineStr" s="8">
        <is>
          <t>FINN CEL: 3166096609</t>
        </is>
      </c>
      <c r="CE11" s="8"/>
    </row>
    <row r="12" ht="12.75" customHeight="1">
      <c r="A12" t="inlineStr" s="8">
        <is>
          <t>60007919074519</t>
        </is>
      </c>
      <c r="B12" s="8"/>
      <c r="C12" t="inlineStr" s="8">
        <is>
          <t>201</t>
        </is>
      </c>
      <c r="D12" s="9">
        <v>55.20</v>
      </c>
      <c r="E12" t="inlineStr" s="8">
        <is>
          <t>73123251</t>
        </is>
      </c>
      <c r="F12" t="inlineStr" s="8">
        <is>
          <t>KRABS CHLOE</t>
        </is>
      </c>
      <c r="G12" s="8"/>
      <c r="H12" t="inlineStr" s="8">
        <is>
          <t>BBVA</t>
        </is>
      </c>
      <c r="I12" s="9">
        <v>192172500.00</v>
      </c>
      <c r="J12" t="inlineStr" s="8">
        <is>
          <t>NC3183CESION - NCR3184CR</t>
        </is>
      </c>
      <c r="K12" s="8"/>
      <c r="L12" t="inlineStr" s="8">
        <is>
          <t>(JUL.5/23CESION)</t>
        </is>
      </c>
      <c r="M12" s="9"/>
      <c r="N12" s="9">
        <v>20000000</v>
      </c>
      <c r="O12" t="inlineStr" s="8">
        <is>
          <t>DIC.22/22</t>
        </is>
      </c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>
        <v>82750000</v>
      </c>
      <c r="BF12" s="9"/>
      <c r="BG12" s="9"/>
      <c r="BH12" s="9"/>
      <c r="BI12" s="9">
        <f>SUM(M12,N12,Q12,R12,S12,T12,U12,V12,W12,X12,Y12,Z12,AA12,AB12,AC12,AD12,AE12,AF12,AG12,AH12,AI12,AJ12,AK12,AL12,AM12,AN12,AO12,AP12,AQ12,AR12,AS12,AT12,AU12,AV12,AW12,AX12,AY12,AZ12,BA12,BB12,BC12,BD12,BE12,BF12,BG12,BH12)</f>
      </c>
      <c r="BJ12" s="9">
        <f>I12-BI12</f>
      </c>
      <c r="BK12" s="9">
        <f>BJ12-BL12-BM12-BN12-BO12</f>
      </c>
      <c r="BL12" s="9"/>
      <c r="BM12" s="9"/>
      <c r="BN12" s="9"/>
      <c r="BO12" s="9"/>
      <c r="BP12" s="8"/>
      <c r="BQ12" t="inlineStr" s="8">
        <is>
          <t>2022-09-20</t>
        </is>
      </c>
      <c r="BR12" t="inlineStr" s="8">
        <is>
          <t>2022-12-04</t>
        </is>
      </c>
      <c r="BS12" s="8"/>
      <c r="BT12" s="8"/>
      <c r="BU12" s="8"/>
      <c r="BV12" s="8"/>
      <c r="BW12" s="8"/>
      <c r="BX12" s="8"/>
      <c r="BY12" s="8"/>
      <c r="BZ12" s="9"/>
      <c r="CA12" s="9"/>
      <c r="CB12" t="inlineStr" s="8">
        <is>
          <t>3166097434</t>
        </is>
      </c>
      <c r="CC12" t="inlineStr" s="8">
        <is>
          <t>krabs.chloe.73123251@example.com</t>
        </is>
      </c>
      <c r="CD12" t="inlineStr" s="8">
        <is>
          <t>PANTHER PINK CEL: 3166097546</t>
        </is>
      </c>
      <c r="CE12" t="inlineStr" s="8">
        <is>
          <t>NC3183 JUL.5/23 CESION DE SPONGEBOB BING A CHLOE KRABS *ANTIC $20.000.000 *ARRAS $4'640</t>
        </is>
      </c>
    </row>
    <row r="13" ht="12.75" customHeight="1">
      <c r="A13" t="inlineStr" s="8">
        <is>
          <t>60007919074577</t>
        </is>
      </c>
      <c r="B13" s="8"/>
      <c r="C13" t="inlineStr" s="8">
        <is>
          <t>202</t>
        </is>
      </c>
      <c r="D13" s="9">
        <v>55.20</v>
      </c>
      <c r="E13" t="inlineStr" s="8">
        <is>
          <t>73124798</t>
        </is>
      </c>
      <c r="F13" t="inlineStr" s="8">
        <is>
          <t>WATSON MORTY</t>
        </is>
      </c>
      <c r="G13" s="8"/>
      <c r="H13" s="8"/>
      <c r="I13" s="9">
        <v>192172500.00</v>
      </c>
      <c r="J13" t="inlineStr" s="8">
        <is>
          <t>NCR3191</t>
        </is>
      </c>
      <c r="K13" t="inlineStr" s="8">
        <is>
          <t>NCR3189 - NCR3193 - NCR3192 - NCR3188 - NCR3186 - NCR3187 - NCR3190</t>
        </is>
      </c>
      <c r="L13" t="inlineStr" s="8">
        <is>
          <t>ENE.28/23F - AGO.3/23 - DIC.9/23F - ENE.12/24F - FEB.2/24F - FEB.15/24F - FEB.26/24F - MAY.16/24F</t>
        </is>
      </c>
      <c r="M13" s="9">
        <v>4216000</v>
      </c>
      <c r="N13" s="9"/>
      <c r="O13" s="8"/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57247000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>
        <v>11678500</v>
      </c>
      <c r="AN13" s="10">
        <v>54814000</v>
      </c>
      <c r="AO13" s="10">
        <f>2919000+4216000+23028000</f>
      </c>
      <c r="AP13" s="10"/>
      <c r="AQ13" s="10"/>
      <c r="AR13" s="10">
        <v>4054000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9"/>
      <c r="BF13" s="9"/>
      <c r="BG13" s="9"/>
      <c r="BH13" s="9"/>
      <c r="BI13" s="9">
        <f>SUM(M13,N13,Q13,R13,S13,T13,U13,V13,W13,X13,Y13,Z13,AA13,AB13,AC13,AD13,AE13,AF13,AG13,AH13,AI13,AJ13,AK13,AL13,AM13,AN13,AO13,AP13,AQ13,AR13,AS13,AT13,AU13,AV13,AW13,AX13,AY13,AZ13,BA13,BB13,BC13,BD13,BE13,BF13,BG13,BH13)</f>
      </c>
      <c r="BJ13" s="9">
        <f>I13-BI13</f>
      </c>
      <c r="BK13" s="9">
        <f>BJ13-BL13-BM13-BN13-BO13</f>
      </c>
      <c r="BL13" s="9"/>
      <c r="BM13" s="9"/>
      <c r="BN13" s="9"/>
      <c r="BO13" s="9"/>
      <c r="BP13" s="8"/>
      <c r="BQ13" t="inlineStr" s="8">
        <is>
          <t>2022-12-27</t>
        </is>
      </c>
      <c r="BR13" t="inlineStr" s="8">
        <is>
          <t>2023-04-04</t>
        </is>
      </c>
      <c r="BS13" t="inlineStr" s="8">
        <is>
          <t>2024-09-06</t>
        </is>
      </c>
      <c r="BT13" s="8"/>
      <c r="BU13" s="8"/>
      <c r="BV13" s="8"/>
      <c r="BW13" s="8"/>
      <c r="BX13" s="8"/>
      <c r="BY13" s="8"/>
      <c r="BZ13" s="9"/>
      <c r="CA13" s="9"/>
      <c r="CB13" t="inlineStr" s="8">
        <is>
          <t>3166098353</t>
        </is>
      </c>
      <c r="CC13" t="inlineStr" s="8">
        <is>
          <t>watson.morty.73124798@example.com</t>
        </is>
      </c>
      <c r="CD13" t="inlineStr" s="8">
        <is>
          <t>FLINTSTONE FRED CEL: 3166098444</t>
        </is>
      </c>
      <c r="CE13" s="8"/>
    </row>
    <row r="14" ht="12.75" customHeight="1">
      <c r="A14" t="inlineStr" s="8">
        <is>
          <t>60007919074601</t>
        </is>
      </c>
      <c r="B14" s="8"/>
      <c r="C14" t="inlineStr" s="8">
        <is>
          <t>203</t>
        </is>
      </c>
      <c r="D14" s="9">
        <v>55.20</v>
      </c>
      <c r="E14" t="inlineStr" s="8">
        <is>
          <t>73132208</t>
        </is>
      </c>
      <c r="F14" t="inlineStr" s="8">
        <is>
          <t>TENTACLES JIM</t>
        </is>
      </c>
      <c r="G14" s="8"/>
      <c r="H14" t="inlineStr" s="8">
        <is>
          <t>BBVA</t>
        </is>
      </c>
      <c r="I14" s="9">
        <v>192172500.00</v>
      </c>
      <c r="J14" t="inlineStr" s="8">
        <is>
          <t>NCR3200CR</t>
        </is>
      </c>
      <c r="K14" t="inlineStr" s="8">
        <is>
          <t>NCR3199 - NCR3197 - NCR3198 - NCR3195 - NCR3196</t>
        </is>
      </c>
      <c r="L14" t="inlineStr" s="8">
        <is>
          <t>FEB.22/24F - JUL.3/24F - JUL.7/24F - JUL.18/24F - JUL.28/24F</t>
        </is>
      </c>
      <c r="M14" s="9"/>
      <c r="N14" s="9"/>
      <c r="O14" t="inlineStr" s="8">
        <is>
          <t>NOV.30/24</t>
        </is>
      </c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>
        <v>61613500</v>
      </c>
      <c r="AP14" s="10"/>
      <c r="AQ14" s="10"/>
      <c r="AR14" s="10"/>
      <c r="AS14" s="10"/>
      <c r="AT14" s="10">
        <f>21651000+3238000+7487000+7183226</f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>
        <v>65000000</v>
      </c>
      <c r="BF14" s="9"/>
      <c r="BG14" s="9"/>
      <c r="BH14" s="9"/>
      <c r="BI14" s="9">
        <f>SUM(M14,N14,Q14,R14,S14,T14,U14,V14,W14,X14,Y14,Z14,AA14,AB14,AC14,AD14,AE14,AF14,AG14,AH14,AI14,AJ14,AK14,AL14,AM14,AN14,AO14,AP14,AQ14,AR14,AS14,AT14,AU14,AV14,AW14,AX14,AY14,AZ14,BA14,BB14,BC14,BD14,BE14,BF14,BG14,BH14)</f>
      </c>
      <c r="BJ14" s="9">
        <f>I14-BI14</f>
      </c>
      <c r="BK14" s="9">
        <f>BJ14-BL14-BM14-BN14-BO14</f>
      </c>
      <c r="BL14" s="9"/>
      <c r="BM14" s="9"/>
      <c r="BN14" s="9"/>
      <c r="BO14" s="9"/>
      <c r="BP14" s="8"/>
      <c r="BQ14" t="inlineStr" s="8">
        <is>
          <t>2023-11-20</t>
        </is>
      </c>
      <c r="BR14" t="inlineStr" s="8">
        <is>
          <t>2024-02-11</t>
        </is>
      </c>
      <c r="BS14" t="inlineStr" s="8">
        <is>
          <t>2025-06-21</t>
        </is>
      </c>
      <c r="BT14" s="8"/>
      <c r="BU14" s="8"/>
      <c r="BV14" s="8"/>
      <c r="BW14" s="8"/>
      <c r="BX14" s="8"/>
      <c r="BY14" s="8"/>
      <c r="BZ14" s="9"/>
      <c r="CA14" s="9"/>
      <c r="CB14" t="inlineStr" s="8">
        <is>
          <t>3166099034</t>
        </is>
      </c>
      <c r="CC14" t="inlineStr" s="8">
        <is>
          <t>tentacles.jim.73132208@example.com</t>
        </is>
      </c>
      <c r="CD14" t="inlineStr" s="8">
        <is>
          <t>FINN CEL: 3166099747</t>
        </is>
      </c>
      <c r="CE14" s="8"/>
    </row>
    <row r="15" ht="12.75" customHeight="1">
      <c r="A15" s="8"/>
      <c r="B15" s="8"/>
      <c r="C15" t="inlineStr" s="8">
        <is>
          <t>204</t>
        </is>
      </c>
      <c r="D15" s="9">
        <v>55.20</v>
      </c>
      <c r="E15" s="8"/>
      <c r="F15" s="8"/>
      <c r="G15" s="8"/>
      <c r="H15" t="inlineStr" s="8">
        <is>
          <t>BANCO DE OCCIDENTE</t>
        </is>
      </c>
      <c r="I15" s="9">
        <v>192172500.00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9"/>
      <c r="CA15" s="9"/>
      <c r="CB15" s="8"/>
      <c r="CC15" s="8"/>
      <c r="CD15" s="8"/>
      <c r="CE15" s="8"/>
    </row>
    <row r="16" ht="12.75" customHeight="1">
      <c r="A16" t="inlineStr" s="8">
        <is>
          <t>60007919074749</t>
        </is>
      </c>
      <c r="B16" s="8"/>
      <c r="C16" t="inlineStr" s="8">
        <is>
          <t>205</t>
        </is>
      </c>
      <c r="D16" s="9">
        <v>55.20</v>
      </c>
      <c r="E16" t="inlineStr" s="8">
        <is>
          <t>73147350</t>
        </is>
      </c>
      <c r="F16" t="inlineStr" s="8">
        <is>
          <t>POIROT JON</t>
        </is>
      </c>
      <c r="G16" t="inlineStr" s="8">
        <is>
          <t>SINCLAIR JIM</t>
        </is>
      </c>
      <c r="H16" t="inlineStr" s="8">
        <is>
          <t>BANCO DE OCCIDENTE</t>
        </is>
      </c>
      <c r="I16" s="9">
        <v>192172500.00</v>
      </c>
      <c r="J16" t="inlineStr" s="8">
        <is>
          <t>NCR3224 - NCR3217 - NCR3215 - NCR3227 - NCR3219 - NCR3216 - NCR3226 - NCR3228CR</t>
        </is>
      </c>
      <c r="K16" t="inlineStr" s="8">
        <is>
          <t>NCR3218 - NCR3225 - NCR3214 - NCR3221 - NCR3223 - NCR3222 - NCR3220</t>
        </is>
      </c>
      <c r="L16" t="inlineStr" s="8">
        <is>
          <t>AGO.12/23F - AGO.25/23F - SEP.10/23 - SEP.13/23 - SEP.18/23F - NOV.12/23F - DIC.3/23 - DIC.6/23 - DIC.10/23 - DIC.16/23 - DIC.17/23F - DIC.26/23 - DIC.28/23F - FEB.1/24F</t>
        </is>
      </c>
      <c r="M16" s="9">
        <f>1530000+4631000+1772000+12121000+564000+2537000+5155000</f>
      </c>
      <c r="N16" s="9"/>
      <c r="O16" t="inlineStr" s="8">
        <is>
          <t>OCT.26/23</t>
        </is>
      </c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>
        <f>765000+2014000</f>
      </c>
      <c r="AJ16" s="10">
        <v>564000</v>
      </c>
      <c r="AK16" s="10"/>
      <c r="AL16" s="10">
        <v>242000</v>
      </c>
      <c r="AM16" s="10">
        <f>2094000+2738000</f>
      </c>
      <c r="AN16" s="10"/>
      <c r="AO16" s="10">
        <v>3544000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>
        <v>95000000</v>
      </c>
      <c r="BF16" s="9"/>
      <c r="BG16" s="9"/>
      <c r="BH16" s="9"/>
      <c r="BI16" s="9">
        <f>SUM(M16,N16,Q16,R16,S16,T16,U16,V16,W16,X16,Y16,Z16,AA16,AB16,AC16,AD16,AE16,AF16,AG16,AH16,AI16,AJ16,AK16,AL16,AM16,AN16,AO16,AP16,AQ16,AR16,AS16,AT16,AU16,AV16,AW16,AX16,AY16,AZ16,BA16,BB16,BC16,BD16,BE16,BF16,BG16,BH16)</f>
      </c>
      <c r="BJ16" s="9">
        <f>I16-BI16</f>
      </c>
      <c r="BK16" s="9">
        <f>BJ16-BL16-BM16-BN16-BO16</f>
      </c>
      <c r="BL16" s="9"/>
      <c r="BM16" s="9"/>
      <c r="BN16" s="9"/>
      <c r="BO16" s="9"/>
      <c r="BP16" s="8"/>
      <c r="BQ16" t="inlineStr" s="8">
        <is>
          <t>2023-07-14</t>
        </is>
      </c>
      <c r="BR16" t="inlineStr" s="8">
        <is>
          <t>2023-10-07</t>
        </is>
      </c>
      <c r="BS16" s="8"/>
      <c r="BT16" s="8"/>
      <c r="BU16" s="8"/>
      <c r="BV16" s="8"/>
      <c r="BW16" s="8"/>
      <c r="BX16" s="8"/>
      <c r="BY16" s="8"/>
      <c r="BZ16" s="9"/>
      <c r="CA16" s="9"/>
      <c r="CB16" t="inlineStr" s="8">
        <is>
          <t>3166100802</t>
        </is>
      </c>
      <c r="CC16" t="inlineStr" s="8">
        <is>
          <t>poirot.jon.73147350@example.com</t>
        </is>
      </c>
      <c r="CD16" t="inlineStr" s="8">
        <is>
          <t>BUNNY BUGS CEL: 3166101851</t>
        </is>
      </c>
      <c r="CE16" s="8"/>
    </row>
    <row r="17" ht="12.75" customHeight="1">
      <c r="A17" t="inlineStr" s="8">
        <is>
          <t>60007919074897</t>
        </is>
      </c>
      <c r="B17" s="8"/>
      <c r="C17" t="inlineStr" s="8">
        <is>
          <t>206</t>
        </is>
      </c>
      <c r="D17" s="9">
        <v>55.20</v>
      </c>
      <c r="E17" t="inlineStr" s="8">
        <is>
          <t>73163149</t>
        </is>
      </c>
      <c r="F17" t="inlineStr" s="8">
        <is>
          <t>SCHRUTE CHANDLER</t>
        </is>
      </c>
      <c r="G17" t="inlineStr" s="8">
        <is>
          <t>SMITH CLEVELAND</t>
        </is>
      </c>
      <c r="H17" s="8"/>
      <c r="I17" s="9">
        <v>192172500.00</v>
      </c>
      <c r="J17" t="inlineStr" s="8">
        <is>
          <t>NCR3230 - NCR3231 - NCR3232 - NCR3236 - NCR3238 - NCR3233</t>
        </is>
      </c>
      <c r="K17" t="inlineStr" s="8">
        <is>
          <t>NCR3234 - NCR3237 - NCR3235 - NCR3240 - NCR3239</t>
        </is>
      </c>
      <c r="L17" t="inlineStr" s="8">
        <is>
          <t>SEP.7/23F - OCT.5/23 - OCT.8/23 - OCT.11/23 - OCT.26/23F - DIC.1/23 - DIC.19/23 - DIC.23/23 - ENE.17/24F - MAR.27/24F - JUL.11/24F</t>
        </is>
      </c>
      <c r="M17" s="9">
        <f>30171000+6918000+6534000+384000+33246000+7687000</f>
      </c>
      <c r="N17" s="9"/>
      <c r="O17" s="8"/>
      <c r="P17" s="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9609000</v>
      </c>
      <c r="AK17" s="10">
        <v>73794000</v>
      </c>
      <c r="AL17" s="10"/>
      <c r="AM17" s="10"/>
      <c r="AN17" s="10">
        <v>3075000</v>
      </c>
      <c r="AO17" s="10"/>
      <c r="AP17" s="10">
        <v>4612500</v>
      </c>
      <c r="AQ17" s="10"/>
      <c r="AR17" s="10"/>
      <c r="AS17" s="10"/>
      <c r="AT17" s="10">
        <v>16142000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/>
      <c r="BF17" s="9"/>
      <c r="BG17" s="9"/>
      <c r="BH17" s="9"/>
      <c r="BI17" s="9">
        <f>SUM(M17,N17,Q17,R17,S17,T17,U17,V17,W17,X17,Y17,Z17,AA17,AB17,AC17,AD17,AE17,AF17,AG17,AH17,AI17,AJ17,AK17,AL17,AM17,AN17,AO17,AP17,AQ17,AR17,AS17,AT17,AU17,AV17,AW17,AX17,AY17,AZ17,BA17,BB17,BC17,BD17,BE17,BF17,BG17,BH17)</f>
      </c>
      <c r="BJ17" s="9">
        <f>I17-BI17</f>
      </c>
      <c r="BK17" s="9">
        <f>BJ17-BL17-BM17-BN17-BO17</f>
      </c>
      <c r="BL17" s="9"/>
      <c r="BM17" s="9"/>
      <c r="BN17" s="9"/>
      <c r="BO17" s="9"/>
      <c r="BP17" s="8"/>
      <c r="BQ17" t="inlineStr" s="8">
        <is>
          <t>2023-11-03</t>
        </is>
      </c>
      <c r="BR17" t="inlineStr" s="8">
        <is>
          <t>2023-11-13</t>
        </is>
      </c>
      <c r="BS17" s="8"/>
      <c r="BT17" s="8"/>
      <c r="BU17" s="8"/>
      <c r="BV17" s="8"/>
      <c r="BW17" s="8"/>
      <c r="BX17" s="8"/>
      <c r="BY17" s="8"/>
      <c r="BZ17" s="9"/>
      <c r="CA17" s="9"/>
      <c r="CB17" t="inlineStr" s="8">
        <is>
          <t>3166102263</t>
        </is>
      </c>
      <c r="CC17" t="inlineStr" s="8">
        <is>
          <t>schrute.chandler.73163149@example.com</t>
        </is>
      </c>
      <c r="CD17" t="inlineStr" s="8">
        <is>
          <t>BUNNY BUGS CEL: 3166103624</t>
        </is>
      </c>
      <c r="CE17" s="8"/>
    </row>
    <row r="18" ht="12.75" customHeight="1">
      <c r="A18" t="inlineStr" s="8">
        <is>
          <t>60007919074965</t>
        </is>
      </c>
      <c r="B18" s="8"/>
      <c r="C18" t="inlineStr" s="8">
        <is>
          <t>207</t>
        </is>
      </c>
      <c r="D18" s="9">
        <v>55.20</v>
      </c>
      <c r="E18" t="inlineStr" s="8">
        <is>
          <t>73178187</t>
        </is>
      </c>
      <c r="F18" t="inlineStr" s="8">
        <is>
          <t>ROMANOFF JOHN</t>
        </is>
      </c>
      <c r="G18" s="8"/>
      <c r="H18" s="8"/>
      <c r="I18" s="9">
        <v>192172500.00</v>
      </c>
      <c r="J18" t="inlineStr" s="8">
        <is>
          <t>NC3241CESION</t>
        </is>
      </c>
      <c r="K18" t="inlineStr" s="8">
        <is>
          <t>NCR3251 - NCR3246 - NCR3245 - NCR3250 - NCR3247 - NCR3248 - NCR3244 - NCR3243 - NCR3242 - NCR3249</t>
        </is>
      </c>
      <c r="L18" t="inlineStr" s="8">
        <is>
          <t>MAY.16/22F - MAY.19/22F - MAY.27/22F - JUN.7/22F - SEP.4/22F - SEP.21/22F - SEP.28/22F - DIC.26/22F - (FEB.25/23CESION) - MAR.8/23F - ABR.19/23F</t>
        </is>
      </c>
      <c r="M18" s="9"/>
      <c r="N18" s="9">
        <v>12000000</v>
      </c>
      <c r="O18" s="8"/>
      <c r="P18" s="8"/>
      <c r="Q18" s="10"/>
      <c r="R18" s="10"/>
      <c r="S18" s="10"/>
      <c r="T18" s="10">
        <f>24113500+17178000+7102000</f>
      </c>
      <c r="U18" s="10">
        <v>10076000</v>
      </c>
      <c r="V18" s="10"/>
      <c r="W18" s="10"/>
      <c r="X18" s="10">
        <f>1817000+7433000+12223000</f>
      </c>
      <c r="Y18" s="10"/>
      <c r="Z18" s="10"/>
      <c r="AA18" s="10">
        <v>36999000</v>
      </c>
      <c r="AB18" s="10"/>
      <c r="AC18" s="10"/>
      <c r="AD18" s="10">
        <v>1487000</v>
      </c>
      <c r="AE18" s="10">
        <v>46744000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9"/>
      <c r="BF18" s="9"/>
      <c r="BG18" s="9"/>
      <c r="BH18" s="9"/>
      <c r="BI18" s="9">
        <f>SUM(M18,N18,Q18,R18,S18,T18,U18,V18,W18,X18,Y18,Z18,AA18,AB18,AC18,AD18,AE18,AF18,AG18,AH18,AI18,AJ18,AK18,AL18,AM18,AN18,AO18,AP18,AQ18,AR18,AS18,AT18,AU18,AV18,AW18,AX18,AY18,AZ18,BA18,BB18,BC18,BD18,BE18,BF18,BG18,BH18)</f>
      </c>
      <c r="BJ18" s="9">
        <f>I18-BI18</f>
      </c>
      <c r="BK18" s="9">
        <f>BJ18-BL18-BM18-BN18-BO18</f>
      </c>
      <c r="BL18" s="9"/>
      <c r="BM18" s="9"/>
      <c r="BN18" s="9"/>
      <c r="BO18" s="9"/>
      <c r="BP18" s="8"/>
      <c r="BQ18" t="inlineStr" s="8">
        <is>
          <t>2022-05-02</t>
        </is>
      </c>
      <c r="BR18" t="inlineStr" s="8">
        <is>
          <t>2022-06-07</t>
        </is>
      </c>
      <c r="BS18" s="8"/>
      <c r="BT18" s="8"/>
      <c r="BU18" s="8"/>
      <c r="BV18" s="8"/>
      <c r="BW18" s="8"/>
      <c r="BX18" s="8"/>
      <c r="BY18" s="8"/>
      <c r="BZ18" s="9"/>
      <c r="CA18" s="9"/>
      <c r="CB18" t="inlineStr" s="8">
        <is>
          <t>3166105043</t>
        </is>
      </c>
      <c r="CC18" t="inlineStr" s="8">
        <is>
          <t>romanoff.john.73178187@example.com</t>
        </is>
      </c>
      <c r="CD18" t="inlineStr" s="8">
        <is>
          <t>DUCK DAFFY CEL: 3166105528</t>
        </is>
      </c>
      <c r="CE18" t="inlineStr" s="8">
        <is>
          <t>NC3241 FEB.25/23 CESION DE SPONGEBOB HENDERSON A JOHN ROMANOFF *ANTIC $12.000.000 *ARRAS $4'640</t>
        </is>
      </c>
    </row>
    <row r="19" ht="12.75" customHeight="1">
      <c r="A19" t="inlineStr" s="8">
        <is>
          <t>60007919075087</t>
        </is>
      </c>
      <c r="B19" s="8"/>
      <c r="C19" t="inlineStr" s="8">
        <is>
          <t>301</t>
        </is>
      </c>
      <c r="D19" s="9">
        <v>55.20</v>
      </c>
      <c r="E19" t="inlineStr" s="8">
        <is>
          <t>73179833</t>
        </is>
      </c>
      <c r="F19" t="inlineStr" s="8">
        <is>
          <t>HOFSTADTER MAX</t>
        </is>
      </c>
      <c r="G19" t="inlineStr" s="8">
        <is>
          <t>STARK SHELDON</t>
        </is>
      </c>
      <c r="H19" s="8"/>
      <c r="I19" s="9">
        <v>192172500.00</v>
      </c>
      <c r="J19" t="inlineStr" s="8">
        <is>
          <t>NCR3257 - NCR3256 - NCR3255</t>
        </is>
      </c>
      <c r="K19" t="inlineStr" s="8">
        <is>
          <t>NCR3258 - NCR3259</t>
        </is>
      </c>
      <c r="L19" t="inlineStr" s="8">
        <is>
          <t>FEB.12/23F - MAR.20/23F - JUL.8/23 - JUL.19/23 - JUL.27/23</t>
        </is>
      </c>
      <c r="M19" s="9">
        <f>33732000+52544000+1784000</f>
      </c>
      <c r="N19" s="9"/>
      <c r="O19" s="8"/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15082000</v>
      </c>
      <c r="AD19" s="10">
        <v>59030500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9"/>
      <c r="BF19" s="9"/>
      <c r="BG19" s="9"/>
      <c r="BH19" s="9"/>
      <c r="BI19" s="9">
        <f>SUM(M19,N19,Q19,R19,S19,T19,U19,V19,W19,X19,Y19,Z19,AA19,AB19,AC19,AD19,AE19,AF19,AG19,AH19,AI19,AJ19,AK19,AL19,AM19,AN19,AO19,AP19,AQ19,AR19,AS19,AT19,AU19,AV19,AW19,AX19,AY19,AZ19,BA19,BB19,BC19,BD19,BE19,BF19,BG19,BH19)</f>
      </c>
      <c r="BJ19" s="9">
        <f>I19-BI19</f>
      </c>
      <c r="BK19" s="9">
        <f>BJ19-BL19-BM19-BN19-BO19</f>
      </c>
      <c r="BL19" s="9"/>
      <c r="BM19" s="9"/>
      <c r="BN19" s="9"/>
      <c r="BO19" s="9"/>
      <c r="BP19" s="8"/>
      <c r="BQ19" t="inlineStr" s="8">
        <is>
          <t>2023-01-31</t>
        </is>
      </c>
      <c r="BR19" t="inlineStr" s="8">
        <is>
          <t>2023-05-15</t>
        </is>
      </c>
      <c r="BS19" t="inlineStr" s="8">
        <is>
          <t>2023-11-28</t>
        </is>
      </c>
      <c r="BT19" s="8"/>
      <c r="BU19" s="8"/>
      <c r="BV19" s="8"/>
      <c r="BW19" s="8"/>
      <c r="BX19" s="8"/>
      <c r="BY19" s="8"/>
      <c r="BZ19" s="9"/>
      <c r="CA19" s="9"/>
      <c r="CB19" t="inlineStr" s="8">
        <is>
          <t>3166105706</t>
        </is>
      </c>
      <c r="CC19" t="inlineStr" s="8">
        <is>
          <t>hofstadter.max.73179833@example.com</t>
        </is>
      </c>
      <c r="CD19" t="inlineStr" s="8">
        <is>
          <t>MOUSE MICKEY CEL: 3166106561</t>
        </is>
      </c>
      <c r="CE19" s="8"/>
    </row>
    <row r="20" ht="12.75" customHeight="1">
      <c r="A20" t="inlineStr" s="8">
        <is>
          <t>60007919075302</t>
        </is>
      </c>
      <c r="B20" s="8"/>
      <c r="C20" t="inlineStr" s="8">
        <is>
          <t>302</t>
        </is>
      </c>
      <c r="D20" s="9">
        <v>55.20</v>
      </c>
      <c r="E20" t="inlineStr" s="8">
        <is>
          <t>73196638</t>
        </is>
      </c>
      <c r="F20" t="inlineStr" s="8">
        <is>
          <t>SQUAREPANTS SQUIDWARD</t>
        </is>
      </c>
      <c r="G20" t="inlineStr" s="8">
        <is>
          <t>HOFSTADTER STEWIE</t>
        </is>
      </c>
      <c r="H20" s="8"/>
      <c r="I20" s="9">
        <v>192172500.00</v>
      </c>
      <c r="J20" t="inlineStr" s="8">
        <is>
          <t>NCR3269 - NCR3263</t>
        </is>
      </c>
      <c r="K20" t="inlineStr" s="8">
        <is>
          <t>NCR3264 - NCR3271 - NCR3273 - NCR3262 - NCR3266 - NCR3267 - NCR3270 - NCR3272 - NCR3265 - NCR3268</t>
        </is>
      </c>
      <c r="L20" t="inlineStr" s="8">
        <is>
          <t>SEP.2/23F - OCT.2/23 - MAR.19/24F - MAR.27/24F - ABR.14/24F - ABR.15/24F - JUN.5/24 - JUN.12/24F - SEP.4/24F - OCT.15/24F - DIC.25/24F - MAR.26/25F</t>
        </is>
      </c>
      <c r="M20" s="9">
        <f>4203000+795000</f>
      </c>
      <c r="N20" s="9"/>
      <c r="O20" s="8"/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659000</v>
      </c>
      <c r="AK20" s="10"/>
      <c r="AL20" s="10"/>
      <c r="AM20" s="10"/>
      <c r="AN20" s="10"/>
      <c r="AO20" s="10"/>
      <c r="AP20" s="10">
        <f>2544000+2747000</f>
      </c>
      <c r="AQ20" s="10">
        <f>750000+2045000</f>
      </c>
      <c r="AR20" s="10"/>
      <c r="AS20" s="10">
        <v>4566000</v>
      </c>
      <c r="AT20" s="10"/>
      <c r="AU20" s="10"/>
      <c r="AV20" s="10">
        <v>3090000</v>
      </c>
      <c r="AW20" s="10">
        <v>909000</v>
      </c>
      <c r="AX20" s="10"/>
      <c r="AY20" s="10">
        <v>136000</v>
      </c>
      <c r="AZ20" s="10"/>
      <c r="BA20" s="10"/>
      <c r="BB20" s="10">
        <v>273000</v>
      </c>
      <c r="BC20" s="10"/>
      <c r="BD20" s="10"/>
      <c r="BE20" s="9"/>
      <c r="BF20" s="9"/>
      <c r="BG20" s="9"/>
      <c r="BH20" s="9"/>
      <c r="BI20" s="9">
        <f>SUM(M20,N20,Q20,R20,S20,T20,U20,V20,W20,X20,Y20,Z20,AA20,AB20,AC20,AD20,AE20,AF20,AG20,AH20,AI20,AJ20,AK20,AL20,AM20,AN20,AO20,AP20,AQ20,AR20,AS20,AT20,AU20,AV20,AW20,AX20,AY20,AZ20,BA20,BB20,BC20,BD20,BE20,BF20,BG20,BH20)</f>
      </c>
      <c r="BJ20" s="9">
        <f>I20-BI20</f>
      </c>
      <c r="BK20" s="9">
        <f>BJ20-BL20-BM20-BN20-BO20</f>
      </c>
      <c r="BL20" s="9"/>
      <c r="BM20" s="9"/>
      <c r="BN20" s="9"/>
      <c r="BO20" s="9"/>
      <c r="BP20" s="8"/>
      <c r="BQ20" t="inlineStr" s="8">
        <is>
          <t>2023-09-20</t>
        </is>
      </c>
      <c r="BR20" t="inlineStr" s="8">
        <is>
          <t>2024-01-05</t>
        </is>
      </c>
      <c r="BS20" s="8"/>
      <c r="BT20" s="8"/>
      <c r="BU20" s="8"/>
      <c r="BV20" s="8"/>
      <c r="BW20" s="8"/>
      <c r="BX20" s="8"/>
      <c r="BY20" s="8"/>
      <c r="BZ20" s="9"/>
      <c r="CA20" s="9"/>
      <c r="CB20" t="inlineStr" s="8">
        <is>
          <t>3166107316</t>
        </is>
      </c>
      <c r="CC20" t="inlineStr" s="8">
        <is>
          <t>squarepants.squidward.73196638@example.com</t>
        </is>
      </c>
      <c r="CD20" t="inlineStr" s="8">
        <is>
          <t>BUNNY BUGS CEL: 3166108803</t>
        </is>
      </c>
      <c r="CE20" s="8"/>
    </row>
    <row r="21" ht="12.75" customHeight="1">
      <c r="A21" t="inlineStr" s="8">
        <is>
          <t>60007919075514</t>
        </is>
      </c>
      <c r="B21" s="8"/>
      <c r="C21" t="inlineStr" s="8">
        <is>
          <t>303</t>
        </is>
      </c>
      <c r="D21" s="9">
        <v>55.20</v>
      </c>
      <c r="E21" t="inlineStr" s="8">
        <is>
          <t>73207194</t>
        </is>
      </c>
      <c r="F21" t="inlineStr" s="8">
        <is>
          <t>PINKMAN JIM</t>
        </is>
      </c>
      <c r="G21" s="8"/>
      <c r="H21" t="inlineStr" s="8">
        <is>
          <t>BBVA</t>
        </is>
      </c>
      <c r="I21" s="9">
        <v>192172500.00</v>
      </c>
      <c r="J21" t="inlineStr" s="8">
        <is>
          <t>NCR3289CR</t>
        </is>
      </c>
      <c r="K21" t="inlineStr" s="8">
        <is>
          <t>NCR3276 - NCR3277 - NCR3288 - NCR3275 - NCR3284 - NCR3278 - NCR3285 - NCR3287 - NCR3280 - NCR3283 - NCR3282 - NCR3281 - NCR3279 - NCR3286</t>
        </is>
      </c>
      <c r="L21" t="inlineStr" s="8">
        <is>
          <t>DIC.8/23F - DIC.11/23F - DIC.21/23F - DIC.23/23F - DIC.25/23F - ENE.8/24F - MAR.6/24F - MAR.14/24F - MAY.3/24F - MAY.7/24F - MAY.8/24F - JUL.15/24F - AGO.27/24F - OCT.22/24F</t>
        </is>
      </c>
      <c r="M21" s="9"/>
      <c r="N21" s="9"/>
      <c r="O21" t="inlineStr" s="8">
        <is>
          <t>JUL.19/24</t>
        </is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>
        <f>8700000+15388000+6851334+109000+2501000</f>
      </c>
      <c r="AN21" s="10">
        <v>2284000</v>
      </c>
      <c r="AO21" s="10"/>
      <c r="AP21" s="10">
        <f>2719000+435000</f>
      </c>
      <c r="AQ21" s="10"/>
      <c r="AR21" s="10">
        <f>2338000+2121000+4078000</f>
      </c>
      <c r="AS21" s="10"/>
      <c r="AT21" s="10">
        <v>3208000</v>
      </c>
      <c r="AU21" s="10">
        <v>109000</v>
      </c>
      <c r="AV21" s="10"/>
      <c r="AW21" s="10">
        <v>3534000</v>
      </c>
      <c r="AX21" s="10"/>
      <c r="AY21" s="10"/>
      <c r="AZ21" s="10"/>
      <c r="BA21" s="10"/>
      <c r="BB21" s="10"/>
      <c r="BC21" s="10"/>
      <c r="BD21" s="10"/>
      <c r="BE21" s="9">
        <v>27187666</v>
      </c>
      <c r="BF21" s="9"/>
      <c r="BG21" s="9"/>
      <c r="BH21" s="9"/>
      <c r="BI21" s="9">
        <f>SUM(M21,N21,Q21,R21,S21,T21,U21,V21,W21,X21,Y21,Z21,AA21,AB21,AC21,AD21,AE21,AF21,AG21,AH21,AI21,AJ21,AK21,AL21,AM21,AN21,AO21,AP21,AQ21,AR21,AS21,AT21,AU21,AV21,AW21,AX21,AY21,AZ21,BA21,BB21,BC21,BD21,BE21,BF21,BG21,BH21)</f>
      </c>
      <c r="BJ21" s="9">
        <f>I21-BI21</f>
      </c>
      <c r="BK21" s="9">
        <f>BJ21-BL21-BM21-BN21-BO21</f>
      </c>
      <c r="BL21" s="9"/>
      <c r="BM21" s="9"/>
      <c r="BN21" s="9"/>
      <c r="BO21" s="9"/>
      <c r="BP21" s="8"/>
      <c r="BQ21" t="inlineStr" s="8">
        <is>
          <t>2024-01-17</t>
        </is>
      </c>
      <c r="BR21" t="inlineStr" s="8">
        <is>
          <t>2024-05-03</t>
        </is>
      </c>
      <c r="BS21" s="8"/>
      <c r="BT21" s="8"/>
      <c r="BU21" s="8"/>
      <c r="BV21" s="8"/>
      <c r="BW21" s="8"/>
      <c r="BX21" s="8"/>
      <c r="BY21" s="8"/>
      <c r="BZ21" s="9"/>
      <c r="CA21" s="9"/>
      <c r="CB21" t="inlineStr" s="8">
        <is>
          <t>3166109618</t>
        </is>
      </c>
      <c r="CC21" t="inlineStr" s="8">
        <is>
          <t>pinkman.jim.73207194@example.com</t>
        </is>
      </c>
      <c r="CD21" t="inlineStr" s="8">
        <is>
          <t>MOUSE MICKEY CEL: 3166110436</t>
        </is>
      </c>
      <c r="CE21" s="8"/>
    </row>
    <row r="22" ht="12.75" customHeight="1">
      <c r="A22" t="inlineStr" s="8">
        <is>
          <t>60007919075620</t>
        </is>
      </c>
      <c r="B22" s="8"/>
      <c r="C22" t="inlineStr" s="8">
        <is>
          <t>304</t>
        </is>
      </c>
      <c r="D22" s="9">
        <v>55.20</v>
      </c>
      <c r="E22" t="inlineStr" s="8">
        <is>
          <t>73213112</t>
        </is>
      </c>
      <c r="F22" t="inlineStr" s="8">
        <is>
          <t>ROMANOFF MAX</t>
        </is>
      </c>
      <c r="G22" t="inlineStr" s="8">
        <is>
          <t>SIMPSON CHLOE</t>
        </is>
      </c>
      <c r="H22" t="inlineStr" s="8">
        <is>
          <t>BANCO DE OCCIDENTE</t>
        </is>
      </c>
      <c r="I22" s="9">
        <v>192172500.00</v>
      </c>
      <c r="J22" t="inlineStr" s="8">
        <is>
          <t>NCR3297CR</t>
        </is>
      </c>
      <c r="K22" t="inlineStr" s="8">
        <is>
          <t>NCR3295 - NCR3294 - NCR3290 - NCR3293 - NCR3292 - NCR3296 - NCR3291</t>
        </is>
      </c>
      <c r="L22" t="inlineStr" s="8">
        <is>
          <t>JUN.15/22F - SEP.14/22F - MAR.3/23F - MAR.5/23F - MAR.8/23F - MAR.15/23F - MAR.17/23F</t>
        </is>
      </c>
      <c r="M22" s="9"/>
      <c r="N22" s="9"/>
      <c r="O22" t="inlineStr" s="8">
        <is>
          <t>MAR.27/23</t>
        </is>
      </c>
      <c r="P22" s="8"/>
      <c r="Q22" s="10"/>
      <c r="R22" s="10"/>
      <c r="S22" s="10"/>
      <c r="T22" s="10"/>
      <c r="U22" s="10">
        <v>11954000</v>
      </c>
      <c r="V22" s="10"/>
      <c r="W22" s="10"/>
      <c r="X22" s="10">
        <v>4705000</v>
      </c>
      <c r="Y22" s="10"/>
      <c r="Z22" s="10"/>
      <c r="AA22" s="10"/>
      <c r="AB22" s="10"/>
      <c r="AC22" s="10"/>
      <c r="AD22" s="10">
        <f>15134000+24926000+32429000+30012500+8012000</f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>
        <v>65000000</v>
      </c>
      <c r="BF22" s="9"/>
      <c r="BG22" s="9"/>
      <c r="BH22" s="9"/>
      <c r="BI22" s="9">
        <f>SUM(M22,N22,Q22,R22,S22,T22,U22,V22,W22,X22,Y22,Z22,AA22,AB22,AC22,AD22,AE22,AF22,AG22,AH22,AI22,AJ22,AK22,AL22,AM22,AN22,AO22,AP22,AQ22,AR22,AS22,AT22,AU22,AV22,AW22,AX22,AY22,AZ22,BA22,BB22,BC22,BD22,BE22,BF22,BG22,BH22)</f>
      </c>
      <c r="BJ22" s="9">
        <f>I22-BI22</f>
      </c>
      <c r="BK22" s="9">
        <f>BJ22-BL22-BM22-BN22-BO22</f>
      </c>
      <c r="BL22" s="9"/>
      <c r="BM22" s="9"/>
      <c r="BN22" s="9"/>
      <c r="BO22" s="9"/>
      <c r="BP22" s="8"/>
      <c r="BQ22" t="inlineStr" s="8">
        <is>
          <t>2022-09-25</t>
        </is>
      </c>
      <c r="BR22" t="inlineStr" s="8">
        <is>
          <t>2022-12-25</t>
        </is>
      </c>
      <c r="BS22" s="8"/>
      <c r="BT22" s="8"/>
      <c r="BU22" s="8"/>
      <c r="BV22" s="8"/>
      <c r="BW22" s="8"/>
      <c r="BX22" s="8"/>
      <c r="BY22" s="8"/>
      <c r="BZ22" s="9"/>
      <c r="CA22" s="9"/>
      <c r="CB22" t="inlineStr" s="8">
        <is>
          <t>3166110760</t>
        </is>
      </c>
      <c r="CC22" t="inlineStr" s="8">
        <is>
          <t>romanoff.max.73213112@example.com</t>
        </is>
      </c>
      <c r="CD22" t="inlineStr" s="8">
        <is>
          <t>MOUSE MINNIE CEL: 3166111809</t>
        </is>
      </c>
      <c r="CE22" s="8"/>
    </row>
    <row r="23" ht="12.75" customHeight="1">
      <c r="A23" t="inlineStr" s="8">
        <is>
          <t>60007919075711</t>
        </is>
      </c>
      <c r="B23" s="8"/>
      <c r="C23" t="inlineStr" s="8">
        <is>
          <t>305</t>
        </is>
      </c>
      <c r="D23" s="9">
        <v>55.20</v>
      </c>
      <c r="E23" t="inlineStr" s="8">
        <is>
          <t>73222147</t>
        </is>
      </c>
      <c r="F23" t="inlineStr" s="8">
        <is>
          <t>GRANGER CLINT</t>
        </is>
      </c>
      <c r="G23" s="8"/>
      <c r="H23" t="inlineStr" s="8">
        <is>
          <t>BANCOLOMBIA</t>
        </is>
      </c>
      <c r="I23" s="9">
        <v>192172500.00</v>
      </c>
      <c r="J23" t="inlineStr" s="8">
        <is>
          <t>NC3298CESION - NCR3308CR</t>
        </is>
      </c>
      <c r="K23" t="inlineStr" s="8">
        <is>
          <t>NCR3306 - NCR3303 - NCR3299 - NCR3304 - NCR3301 - NCR3300 - NCR3305 - NCR3307 - NCR3302</t>
        </is>
      </c>
      <c r="L23" t="inlineStr" s="8">
        <is>
          <t>NOV.3/22F - DIC.4/22F - DIC.7/22F - FEB.5/23F - MAR.14/23F - MAY.24/23F - (SEP.6/23CESION) - SEP.15/23F - OCT.24/23F - NOV.20/23F</t>
        </is>
      </c>
      <c r="M23" s="9"/>
      <c r="N23" s="9">
        <v>12000000</v>
      </c>
      <c r="O23" t="inlineStr" s="8">
        <is>
          <t>NOV.27/22</t>
        </is>
      </c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>
        <v>2849000</v>
      </c>
      <c r="AA23" s="10">
        <f>6507000+100000</f>
      </c>
      <c r="AB23" s="10"/>
      <c r="AC23" s="10">
        <v>2324000</v>
      </c>
      <c r="AD23" s="10">
        <v>3638000</v>
      </c>
      <c r="AE23" s="10"/>
      <c r="AF23" s="10">
        <v>202000</v>
      </c>
      <c r="AG23" s="10"/>
      <c r="AH23" s="10"/>
      <c r="AI23" s="10"/>
      <c r="AJ23" s="10">
        <v>2041000</v>
      </c>
      <c r="AK23" s="10">
        <v>82667</v>
      </c>
      <c r="AL23" s="10">
        <v>2465000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>
        <v>16104333</v>
      </c>
      <c r="BF23" s="9"/>
      <c r="BG23" s="9"/>
      <c r="BH23" s="9"/>
      <c r="BI23" s="9">
        <f>SUM(M23,N23,Q23,R23,S23,T23,U23,V23,W23,X23,Y23,Z23,AA23,AB23,AC23,AD23,AE23,AF23,AG23,AH23,AI23,AJ23,AK23,AL23,AM23,AN23,AO23,AP23,AQ23,AR23,AS23,AT23,AU23,AV23,AW23,AX23,AY23,AZ23,BA23,BB23,BC23,BD23,BE23,BF23,BG23,BH23)</f>
      </c>
      <c r="BJ23" s="9">
        <f>I23-BI23</f>
      </c>
      <c r="BK23" s="9">
        <f>BJ23-BL23-BM23-BN23-BO23</f>
      </c>
      <c r="BL23" s="9"/>
      <c r="BM23" s="9"/>
      <c r="BN23" s="9"/>
      <c r="BO23" s="9"/>
      <c r="BP23" s="8"/>
      <c r="BQ23" t="inlineStr" s="8">
        <is>
          <t>2022-07-25</t>
        </is>
      </c>
      <c r="BR23" t="inlineStr" s="8">
        <is>
          <t>2022-09-02</t>
        </is>
      </c>
      <c r="BS23" s="8"/>
      <c r="BT23" s="8"/>
      <c r="BU23" s="8"/>
      <c r="BV23" s="8"/>
      <c r="BW23" s="8"/>
      <c r="BX23" s="8"/>
      <c r="BY23" s="8"/>
      <c r="BZ23" s="9"/>
      <c r="CA23" s="9"/>
      <c r="CB23" t="inlineStr" s="8">
        <is>
          <t>3166113861</t>
        </is>
      </c>
      <c r="CC23" t="inlineStr" s="8">
        <is>
          <t>granger.clint.73222147@example.com</t>
        </is>
      </c>
      <c r="CD23" t="inlineStr" s="8">
        <is>
          <t>DUCK DAFFY CEL: 3166114206</t>
        </is>
      </c>
      <c r="CE23" t="inlineStr" s="8">
        <is>
          <t>NC3298 SEP.6/23 CESION DE BRUCE BING/CLARK BEESLY A CLINT GRANGER *ANTIC $12.000.000 *ARRAS $4'640</t>
        </is>
      </c>
    </row>
    <row r="24" ht="12.75" customHeight="1">
      <c r="A24" t="inlineStr" s="8">
        <is>
          <t>60007919075846</t>
        </is>
      </c>
      <c r="B24" s="8"/>
      <c r="C24" t="inlineStr" s="8">
        <is>
          <t>306</t>
        </is>
      </c>
      <c r="D24" s="9">
        <v>55.20</v>
      </c>
      <c r="E24" t="inlineStr" s="8">
        <is>
          <t>73229348</t>
        </is>
      </c>
      <c r="F24" t="inlineStr" s="8">
        <is>
          <t>KENOBI BART</t>
        </is>
      </c>
      <c r="G24" s="8"/>
      <c r="H24" t="inlineStr" s="8">
        <is>
          <t>BANCOLOMBIA</t>
        </is>
      </c>
      <c r="I24" s="9">
        <v>192172500.00</v>
      </c>
      <c r="J24" t="inlineStr" s="8">
        <is>
          <t>NCR3310CR</t>
        </is>
      </c>
      <c r="K24" s="8"/>
      <c r="L24" s="8"/>
      <c r="M24" s="9"/>
      <c r="N24" s="9"/>
      <c r="O24" t="inlineStr" s="8">
        <is>
          <t>ENE.28/23</t>
        </is>
      </c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>
        <v>117986000</v>
      </c>
      <c r="BF24" s="9"/>
      <c r="BG24" s="9"/>
      <c r="BH24" s="9"/>
      <c r="BI24" s="9">
        <f>SUM(M24,N24,Q24,R24,S24,T24,U24,V24,W24,X24,Y24,Z24,AA24,AB24,AC24,AD24,AE24,AF24,AG24,AH24,AI24,AJ24,AK24,AL24,AM24,AN24,AO24,AP24,AQ24,AR24,AS24,AT24,AU24,AV24,AW24,AX24,AY24,AZ24,BA24,BB24,BC24,BD24,BE24,BF24,BG24,BH24)</f>
      </c>
      <c r="BJ24" s="9">
        <f>I24-BI24</f>
      </c>
      <c r="BK24" s="9">
        <f>BJ24-BL24-BM24-BN24-BO24</f>
      </c>
      <c r="BL24" s="9"/>
      <c r="BM24" s="9"/>
      <c r="BN24" s="9"/>
      <c r="BO24" s="9"/>
      <c r="BP24" s="8"/>
      <c r="BQ24" t="inlineStr" s="8">
        <is>
          <t>2022-06-25</t>
        </is>
      </c>
      <c r="BR24" t="inlineStr" s="8">
        <is>
          <t>2022-08-31</t>
        </is>
      </c>
      <c r="BS24" s="8"/>
      <c r="BT24" s="8"/>
      <c r="BU24" s="8"/>
      <c r="BV24" s="8"/>
      <c r="BW24" s="8"/>
      <c r="BX24" s="8"/>
      <c r="BY24" s="8"/>
      <c r="BZ24" s="9"/>
      <c r="CA24" s="9"/>
      <c r="CB24" t="inlineStr" s="8">
        <is>
          <t>3166115004</t>
        </is>
      </c>
      <c r="CC24" t="inlineStr" s="8">
        <is>
          <t>kenobi.bart.73229348@example.com</t>
        </is>
      </c>
      <c r="CD24" t="inlineStr" s="8">
        <is>
          <t>MOUSE MINNIE CEL: 3166115248</t>
        </is>
      </c>
      <c r="CE24" s="8"/>
    </row>
    <row r="25" ht="12.75" customHeight="1">
      <c r="A25" t="inlineStr" s="8">
        <is>
          <t>60007919075902</t>
        </is>
      </c>
      <c r="B25" s="8"/>
      <c r="C25" t="inlineStr" s="8">
        <is>
          <t>307</t>
        </is>
      </c>
      <c r="D25" s="9">
        <v>55.20</v>
      </c>
      <c r="E25" t="inlineStr" s="8">
        <is>
          <t>73237835</t>
        </is>
      </c>
      <c r="F25" t="inlineStr" s="8">
        <is>
          <t>POIROT MAX</t>
        </is>
      </c>
      <c r="G25" s="8"/>
      <c r="H25" t="inlineStr" s="8">
        <is>
          <t>BANCO DE OCCIDENTE</t>
        </is>
      </c>
      <c r="I25" s="9">
        <v>192172500.00</v>
      </c>
      <c r="J25" t="inlineStr" s="8">
        <is>
          <t>NCR3317 - NCR3314 - NCR3324CR</t>
        </is>
      </c>
      <c r="K25" t="inlineStr" s="8">
        <is>
          <t>NCR3313 - NCR3320 - NCR3323 - NCR3311 - NCR3322 - NCR3319 - NCR3315 - NCR3312 - NCR3321 - NCR3318 - NCR3316</t>
        </is>
      </c>
      <c r="L25" t="inlineStr" s="8">
        <is>
          <t>JUL.14/22F - AGO.9/22F - AGO.17/22F - SEP.8/22F - SEP.27/22F - NOV.18/22F - NOV.22/22F - ENE.3/23F - FEB.7/23F - MAY.4/23F - JUN.4/23 - JUN.12/23F - NOV.10/23</t>
        </is>
      </c>
      <c r="M25" s="9">
        <f>4332000+5069000</f>
      </c>
      <c r="N25" s="9"/>
      <c r="O25" t="inlineStr" s="8">
        <is>
          <t>JUN.17/23</t>
        </is>
      </c>
      <c r="P25" s="8"/>
      <c r="Q25" s="10"/>
      <c r="R25" s="10"/>
      <c r="S25" s="10"/>
      <c r="T25" s="10"/>
      <c r="U25" s="10"/>
      <c r="V25" s="10">
        <v>3410000</v>
      </c>
      <c r="W25" s="10">
        <f>184000+11983500</f>
      </c>
      <c r="X25" s="10">
        <f>30509000+5991000</f>
      </c>
      <c r="Y25" s="10"/>
      <c r="Z25" s="10">
        <f>553000+7558000</f>
      </c>
      <c r="AA25" s="10"/>
      <c r="AB25" s="10">
        <v>6729000</v>
      </c>
      <c r="AC25" s="10">
        <v>2120000</v>
      </c>
      <c r="AD25" s="10"/>
      <c r="AE25" s="10"/>
      <c r="AF25" s="10">
        <v>277000</v>
      </c>
      <c r="AG25" s="10">
        <v>13457000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>
        <v>80000000</v>
      </c>
      <c r="BF25" s="9"/>
      <c r="BG25" s="9"/>
      <c r="BH25" s="9"/>
      <c r="BI25" s="9">
        <f>SUM(M25,N25,Q25,R25,S25,T25,U25,V25,W25,X25,Y25,Z25,AA25,AB25,AC25,AD25,AE25,AF25,AG25,AH25,AI25,AJ25,AK25,AL25,AM25,AN25,AO25,AP25,AQ25,AR25,AS25,AT25,AU25,AV25,AW25,AX25,AY25,AZ25,BA25,BB25,BC25,BD25,BE25,BF25,BG25,BH25)</f>
      </c>
      <c r="BJ25" s="9">
        <f>I25-BI25</f>
      </c>
      <c r="BK25" s="9">
        <f>BJ25-BL25-BM25-BN25-BO25</f>
      </c>
      <c r="BL25" s="9"/>
      <c r="BM25" s="9"/>
      <c r="BN25" s="9"/>
      <c r="BO25" s="9"/>
      <c r="BP25" s="8"/>
      <c r="BQ25" t="inlineStr" s="8">
        <is>
          <t>2022-08-02</t>
        </is>
      </c>
      <c r="BR25" t="inlineStr" s="8">
        <is>
          <t>2022-11-18</t>
        </is>
      </c>
      <c r="BS25" s="8"/>
      <c r="BT25" s="8"/>
      <c r="BU25" s="8"/>
      <c r="BV25" s="8"/>
      <c r="BW25" s="8"/>
      <c r="BX25" s="8"/>
      <c r="BY25" s="8"/>
      <c r="BZ25" s="9"/>
      <c r="CA25" s="9"/>
      <c r="CB25" t="inlineStr" s="8">
        <is>
          <t>3166116072</t>
        </is>
      </c>
      <c r="CC25" t="inlineStr" s="8">
        <is>
          <t>poirot.max.73237835@example.com</t>
        </is>
      </c>
      <c r="CD25" t="inlineStr" s="8">
        <is>
          <t>JETSON GEORGE CEL: 3166116855</t>
        </is>
      </c>
      <c r="CE25" s="8"/>
    </row>
    <row r="26" ht="12.75" customHeight="1">
      <c r="A26" t="inlineStr" s="8">
        <is>
          <t>60007919076039</t>
        </is>
      </c>
      <c r="B26" s="8"/>
      <c r="C26" t="inlineStr" s="8">
        <is>
          <t>401</t>
        </is>
      </c>
      <c r="D26" s="9">
        <v>55.20</v>
      </c>
      <c r="E26" t="inlineStr" s="8">
        <is>
          <t>73240962</t>
        </is>
      </c>
      <c r="F26" t="inlineStr" s="8">
        <is>
          <t>MORNINGSTAR JOEY</t>
        </is>
      </c>
      <c r="G26" s="8"/>
      <c r="H26" t="inlineStr" s="8">
        <is>
          <t>BANCO DE OCCIDENTE</t>
        </is>
      </c>
      <c r="I26" s="9">
        <v>192172500.00</v>
      </c>
      <c r="J26" t="inlineStr" s="8">
        <is>
          <t>NCR3340CR</t>
        </is>
      </c>
      <c r="K26" t="inlineStr" s="8">
        <is>
          <t>NCR3333 - NCR3337 - NCR3335 - NCR3330 - NCR3336 - NCR3339 - NCR3332 - NCR3334 - NCR3338 - NCR3331 - NCR3327 - NCR3328 - NCR3329</t>
        </is>
      </c>
      <c r="L26" t="inlineStr" s="8">
        <is>
          <t>JUL.11/22F - JUL.16/22F - SEP.10/22F - SEP.16/22F - SEP.27/22F - NOV.6/22F - NOV.16/22F - DIC.15/22F - FEB.3/23F - FEB.11/23F - FEB.14/23F - FEB.17/23F - FEB.25/23F</t>
        </is>
      </c>
      <c r="M26" s="9"/>
      <c r="N26" s="9"/>
      <c r="O26" t="inlineStr" s="8">
        <is>
          <t>ENE.18/23</t>
        </is>
      </c>
      <c r="P26" s="8"/>
      <c r="Q26" s="10"/>
      <c r="R26" s="10"/>
      <c r="S26" s="10"/>
      <c r="T26" s="10"/>
      <c r="U26" s="10"/>
      <c r="V26" s="10">
        <f>6316000+19823000</f>
      </c>
      <c r="W26" s="10"/>
      <c r="X26" s="10">
        <f>7579000+8746000+9717000</f>
      </c>
      <c r="Y26" s="10"/>
      <c r="Z26" s="10">
        <f>10398500+875000</f>
      </c>
      <c r="AA26" s="10">
        <v>21184000</v>
      </c>
      <c r="AB26" s="10"/>
      <c r="AC26" s="10">
        <f>2526000+1263000+1749000+6316000+680000</f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9">
        <v>80000000</v>
      </c>
      <c r="BF26" s="9"/>
      <c r="BG26" s="9"/>
      <c r="BH26" s="9"/>
      <c r="BI26" s="9">
        <f>SUM(M26,N26,Q26,R26,S26,T26,U26,V26,W26,X26,Y26,Z26,AA26,AB26,AC26,AD26,AE26,AF26,AG26,AH26,AI26,AJ26,AK26,AL26,AM26,AN26,AO26,AP26,AQ26,AR26,AS26,AT26,AU26,AV26,AW26,AX26,AY26,AZ26,BA26,BB26,BC26,BD26,BE26,BF26,BG26,BH26)</f>
      </c>
      <c r="BJ26" s="9">
        <f>I26-BI26</f>
      </c>
      <c r="BK26" s="9">
        <f>BJ26-BL26-BM26-BN26-BO26</f>
      </c>
      <c r="BL26" s="9"/>
      <c r="BM26" s="9"/>
      <c r="BN26" s="9"/>
      <c r="BO26" s="9"/>
      <c r="BP26" s="8"/>
      <c r="BQ26" t="inlineStr" s="8">
        <is>
          <t>2022-09-05</t>
        </is>
      </c>
      <c r="BR26" t="inlineStr" s="8">
        <is>
          <t>2022-10-31</t>
        </is>
      </c>
      <c r="BS26" t="inlineStr" s="8">
        <is>
          <t>2023-08-16</t>
        </is>
      </c>
      <c r="BT26" s="8"/>
      <c r="BU26" s="8"/>
      <c r="BV26" s="8"/>
      <c r="BW26" s="8"/>
      <c r="BX26" s="8"/>
      <c r="BY26" s="8"/>
      <c r="BZ26" s="9"/>
      <c r="CA26" s="9"/>
      <c r="CB26" t="inlineStr" s="8">
        <is>
          <t>3166116973</t>
        </is>
      </c>
      <c r="CC26" t="inlineStr" s="8">
        <is>
          <t>morningstar.joey.73240962@example.com</t>
        </is>
      </c>
      <c r="CD26" t="inlineStr" s="8">
        <is>
          <t>FINN CEL: 3166117374</t>
        </is>
      </c>
      <c r="CE26" s="8"/>
    </row>
    <row r="27" ht="12.75" customHeight="1">
      <c r="A27" t="inlineStr" s="8">
        <is>
          <t>60007919076149</t>
        </is>
      </c>
      <c r="B27" s="8"/>
      <c r="C27" t="inlineStr" s="8">
        <is>
          <t>402</t>
        </is>
      </c>
      <c r="D27" s="9">
        <v>55.20</v>
      </c>
      <c r="E27" t="inlineStr" s="8">
        <is>
          <t>73247392</t>
        </is>
      </c>
      <c r="F27" t="inlineStr" s="8">
        <is>
          <t>HOLMES LEONARD</t>
        </is>
      </c>
      <c r="G27" s="8"/>
      <c r="H27" t="inlineStr" s="8">
        <is>
          <t>BANCO DE BOGOTA</t>
        </is>
      </c>
      <c r="I27" s="9">
        <v>192172500.00</v>
      </c>
      <c r="J27" t="inlineStr" s="8">
        <is>
          <t>NCR3343 - NCR3352 - NCR3345 - NCR3348 - NCR3350 - NCR3351 - NCR3346 - NCR3353CR</t>
        </is>
      </c>
      <c r="K27" t="inlineStr" s="8">
        <is>
          <t>NCR3344 - NCR3342 - NCR3349 - NCR3347</t>
        </is>
      </c>
      <c r="L27" t="inlineStr" s="8">
        <is>
          <t>JUN.23/23 - JUL.7/23 - JUL.18/23 - OCT.20/23F - NOV.4/23 - NOV.9/23 - NOV.10/23 - DIC.22/23 - ENE.1/24F - FEB.20/24F - AGO.21/24F</t>
        </is>
      </c>
      <c r="M27" s="9">
        <f>307000+251000+9375334+3572000+586000+6446000+2372000</f>
      </c>
      <c r="N27" s="9"/>
      <c r="O27" t="inlineStr" s="8">
        <is>
          <t>JUN.2/24</t>
        </is>
      </c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1311000</v>
      </c>
      <c r="AL27" s="10"/>
      <c r="AM27" s="10"/>
      <c r="AN27" s="10">
        <v>1060000</v>
      </c>
      <c r="AO27" s="10">
        <v>1256000</v>
      </c>
      <c r="AP27" s="10"/>
      <c r="AQ27" s="10"/>
      <c r="AR27" s="10"/>
      <c r="AS27" s="10"/>
      <c r="AT27" s="10"/>
      <c r="AU27" s="10">
        <v>1367000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9">
        <v>21451666</v>
      </c>
      <c r="BF27" s="9"/>
      <c r="BG27" s="9"/>
      <c r="BH27" s="9"/>
      <c r="BI27" s="9">
        <f>SUM(M27,N27,Q27,R27,S27,T27,U27,V27,W27,X27,Y27,Z27,AA27,AB27,AC27,AD27,AE27,AF27,AG27,AH27,AI27,AJ27,AK27,AL27,AM27,AN27,AO27,AP27,AQ27,AR27,AS27,AT27,AU27,AV27,AW27,AX27,AY27,AZ27,BA27,BB27,BC27,BD27,BE27,BF27,BG27,BH27)</f>
      </c>
      <c r="BJ27" s="9">
        <f>I27-BI27</f>
      </c>
      <c r="BK27" s="9">
        <f>BJ27-BL27-BM27-BN27-BO27</f>
      </c>
      <c r="BL27" s="9"/>
      <c r="BM27" s="9"/>
      <c r="BN27" s="9"/>
      <c r="BO27" s="9"/>
      <c r="BP27" s="8"/>
      <c r="BQ27" t="inlineStr" s="8">
        <is>
          <t>2023-02-26</t>
        </is>
      </c>
      <c r="BR27" t="inlineStr" s="8">
        <is>
          <t>2023-06-02</t>
        </is>
      </c>
      <c r="BS27" s="8"/>
      <c r="BT27" s="8"/>
      <c r="BU27" s="8"/>
      <c r="BV27" s="8"/>
      <c r="BW27" s="8"/>
      <c r="BX27" s="8"/>
      <c r="BY27" s="8"/>
      <c r="BZ27" s="9"/>
      <c r="CA27" s="9"/>
      <c r="CB27" t="inlineStr" s="8">
        <is>
          <t>3166118308</t>
        </is>
      </c>
      <c r="CC27" t="inlineStr" s="8">
        <is>
          <t>holmes.leonard.73247392@example.com</t>
        </is>
      </c>
      <c r="CD27" t="inlineStr" s="8">
        <is>
          <t>JAKE CEL: 3166119080</t>
        </is>
      </c>
      <c r="CE27" s="8"/>
    </row>
    <row r="28" ht="12.75" customHeight="1">
      <c r="A28" t="inlineStr" s="8">
        <is>
          <t>60007919076189</t>
        </is>
      </c>
      <c r="B28" s="8"/>
      <c r="C28" t="inlineStr" s="8">
        <is>
          <t>403</t>
        </is>
      </c>
      <c r="D28" s="9">
        <v>55.20</v>
      </c>
      <c r="E28" t="inlineStr" s="8">
        <is>
          <t>73255731</t>
        </is>
      </c>
      <c r="F28" t="inlineStr" s="8">
        <is>
          <t>STARK CHLOE</t>
        </is>
      </c>
      <c r="G28" s="8"/>
      <c r="H28" s="8"/>
      <c r="I28" s="9">
        <v>192172500.00</v>
      </c>
      <c r="J28" t="inlineStr" s="8">
        <is>
          <t>NCR3368 - NCR3364</t>
        </is>
      </c>
      <c r="K28" t="inlineStr" s="8">
        <is>
          <t>NCR3358 - NCR3366 - NCR3356 - NCR3355 - NCR3363 - NCR3361 - NCR3367 - NCR3365 - NCR3360 - NCR3362 - NCR3357 - NCR3359</t>
        </is>
      </c>
      <c r="L28" t="inlineStr" s="8">
        <is>
          <t>JUL.27/23F - AGO.12/23 - SEP.17/23F - DIC.3/23 - FEB.21/24F - ABR.13/24F - ABR.19/24F - MAY.9/24F - JUN.24/24F - AGO.21/24F - OCT.11/24F - OCT.22/24F - NOV.5/24F - NOV.10/24F</t>
        </is>
      </c>
      <c r="M28" s="9">
        <f>2492000+3049000</f>
      </c>
      <c r="N28" s="9"/>
      <c r="O28" s="8"/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>
        <v>10899000</v>
      </c>
      <c r="AI28" s="10"/>
      <c r="AJ28" s="10">
        <v>9299000</v>
      </c>
      <c r="AK28" s="10"/>
      <c r="AL28" s="10"/>
      <c r="AM28" s="10"/>
      <c r="AN28" s="10"/>
      <c r="AO28" s="10">
        <v>100000</v>
      </c>
      <c r="AP28" s="10"/>
      <c r="AQ28" s="10">
        <f>8384000+457000</f>
      </c>
      <c r="AR28" s="10">
        <v>152000</v>
      </c>
      <c r="AS28" s="10">
        <v>14101000</v>
      </c>
      <c r="AT28" s="10"/>
      <c r="AU28" s="10">
        <v>1220000</v>
      </c>
      <c r="AV28" s="10"/>
      <c r="AW28" s="10">
        <f>11814000+152000</f>
      </c>
      <c r="AX28" s="10">
        <f>13720000+381000</f>
      </c>
      <c r="AY28" s="10"/>
      <c r="AZ28" s="10"/>
      <c r="BA28" s="10"/>
      <c r="BB28" s="10"/>
      <c r="BC28" s="10"/>
      <c r="BD28" s="10"/>
      <c r="BE28" s="9"/>
      <c r="BF28" s="9"/>
      <c r="BG28" s="9"/>
      <c r="BH28" s="9"/>
      <c r="BI28" s="9">
        <f>SUM(M28,N28,Q28,R28,S28,T28,U28,V28,W28,X28,Y28,Z28,AA28,AB28,AC28,AD28,AE28,AF28,AG28,AH28,AI28,AJ28,AK28,AL28,AM28,AN28,AO28,AP28,AQ28,AR28,AS28,AT28,AU28,AV28,AW28,AX28,AY28,AZ28,BA28,BB28,BC28,BD28,BE28,BF28,BG28,BH28)</f>
      </c>
      <c r="BJ28" s="9">
        <f>I28-BI28</f>
      </c>
      <c r="BK28" s="9">
        <f>BJ28-BL28-BM28-BN28-BO28</f>
      </c>
      <c r="BL28" s="9"/>
      <c r="BM28" s="9"/>
      <c r="BN28" s="9"/>
      <c r="BO28" s="9"/>
      <c r="BP28" s="8"/>
      <c r="BQ28" t="inlineStr" s="8">
        <is>
          <t>2023-11-11</t>
        </is>
      </c>
      <c r="BR28" t="inlineStr" s="8">
        <is>
          <t>2024-02-28</t>
        </is>
      </c>
      <c r="BS28" s="8"/>
      <c r="BT28" s="8"/>
      <c r="BU28" s="8"/>
      <c r="BV28" s="8"/>
      <c r="BW28" s="8"/>
      <c r="BX28" s="8"/>
      <c r="BY28" s="8"/>
      <c r="BZ28" s="9"/>
      <c r="CA28" s="9"/>
      <c r="CB28" t="inlineStr" s="8">
        <is>
          <t>3166119920</t>
        </is>
      </c>
      <c r="CC28" t="inlineStr" s="8">
        <is>
          <t>stark.chloe.73255731@example.com</t>
        </is>
      </c>
      <c r="CD28" t="inlineStr" s="8">
        <is>
          <t>MOUSE MINNIE CEL: 3166120786</t>
        </is>
      </c>
      <c r="CE28" s="8"/>
    </row>
    <row r="29" ht="12.75" customHeight="1">
      <c r="A29" t="inlineStr" s="8">
        <is>
          <t>60007919076282</t>
        </is>
      </c>
      <c r="B29" s="8"/>
      <c r="C29" t="inlineStr" s="8">
        <is>
          <t>404</t>
        </is>
      </c>
      <c r="D29" s="9">
        <v>55.20</v>
      </c>
      <c r="E29" t="inlineStr" s="8">
        <is>
          <t>73265512</t>
        </is>
      </c>
      <c r="F29" t="inlineStr" s="8">
        <is>
          <t>KENT LEIA</t>
        </is>
      </c>
      <c r="G29" s="8"/>
      <c r="H29" s="8"/>
      <c r="I29" s="9">
        <v>192172500.00</v>
      </c>
      <c r="J29" t="inlineStr" s="8">
        <is>
          <t>NCR3376 - NCR3377 - NC3370TRASLADO - NCR3379 - NCR3382</t>
        </is>
      </c>
      <c r="K29" t="inlineStr" s="8">
        <is>
          <t>NCR3378 - NCR3381 - NCR3374 - NCR3372 - NCR3371 - NCR3373 - NCR3380 - NCR3375</t>
        </is>
      </c>
      <c r="L29" t="inlineStr" s="8">
        <is>
          <t>OCT.19/23F - NOV.10/23 - NOV.15/23F - DIC.11/23 - DIC.22/23F - ABR.19/24F - ABR.22/24F - ABR.25/24F - (MAY.17/24TRASLADO) - JUN.5/24 - JUN.7/24 - JUL.6/24F - JUL.9/24F</t>
        </is>
      </c>
      <c r="M29" s="9">
        <f>40218000+2126000+11160500+26222000</f>
      </c>
      <c r="N29" s="9">
        <v>15000000</v>
      </c>
      <c r="O29" s="8"/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>
        <v>1063000</v>
      </c>
      <c r="AL29" s="10">
        <v>11871000</v>
      </c>
      <c r="AM29" s="10">
        <v>6378000</v>
      </c>
      <c r="AN29" s="10"/>
      <c r="AO29" s="10"/>
      <c r="AP29" s="10"/>
      <c r="AQ29" s="10">
        <f>3721000+18957000+20375000</f>
      </c>
      <c r="AR29" s="10"/>
      <c r="AS29" s="10"/>
      <c r="AT29" s="10">
        <f>17009000+18072000</f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9"/>
      <c r="BF29" s="9"/>
      <c r="BG29" s="9"/>
      <c r="BH29" s="9"/>
      <c r="BI29" s="9">
        <f>SUM(M29,N29,Q29,R29,S29,T29,U29,V29,W29,X29,Y29,Z29,AA29,AB29,AC29,AD29,AE29,AF29,AG29,AH29,AI29,AJ29,AK29,AL29,AM29,AN29,AO29,AP29,AQ29,AR29,AS29,AT29,AU29,AV29,AW29,AX29,AY29,AZ29,BA29,BB29,BC29,BD29,BE29,BF29,BG29,BH29)</f>
      </c>
      <c r="BJ29" s="9">
        <f>I29-BI29</f>
      </c>
      <c r="BK29" s="9">
        <f>BJ29-BL29-BM29-BN29-BO29</f>
      </c>
      <c r="BL29" s="9"/>
      <c r="BM29" s="9"/>
      <c r="BN29" s="9"/>
      <c r="BO29" s="9"/>
      <c r="BP29" s="8"/>
      <c r="BQ29" t="inlineStr" s="8">
        <is>
          <t>2023-10-16</t>
        </is>
      </c>
      <c r="BR29" t="inlineStr" s="8">
        <is>
          <t>2023-12-12</t>
        </is>
      </c>
      <c r="BS29" s="8"/>
      <c r="BT29" s="8"/>
      <c r="BU29" s="8"/>
      <c r="BV29" s="8"/>
      <c r="BW29" s="8"/>
      <c r="BX29" s="8"/>
      <c r="BY29" s="8"/>
      <c r="BZ29" s="9"/>
      <c r="CA29" s="9"/>
      <c r="CB29" t="inlineStr" s="8">
        <is>
          <t>3166121981</t>
        </is>
      </c>
      <c r="CC29" t="inlineStr" s="8">
        <is>
          <t>kent.leia.73265512@example.com</t>
        </is>
      </c>
      <c r="CD29" t="inlineStr" s="8">
        <is>
          <t>FLINTSTONE FRED CEL: 3166122592</t>
        </is>
      </c>
      <c r="CE29" t="inlineStr" s="8">
        <is>
          <t>NC3370 MAY.17/24 TRASLADO DE CHANDLER TRIBBIANI A LEIA KENT *ANTIC $15.000.000 *ARRAS $4'640</t>
        </is>
      </c>
    </row>
    <row r="30" ht="12.75" customHeight="1">
      <c r="A30" t="inlineStr" s="8">
        <is>
          <t>60007919076315</t>
        </is>
      </c>
      <c r="B30" s="8"/>
      <c r="C30" t="inlineStr" s="8">
        <is>
          <t>405</t>
        </is>
      </c>
      <c r="D30" s="9">
        <v>55.20</v>
      </c>
      <c r="E30" t="inlineStr" s="8">
        <is>
          <t>73274945</t>
        </is>
      </c>
      <c r="F30" t="inlineStr" s="8">
        <is>
          <t>SANCHEZ JON</t>
        </is>
      </c>
      <c r="G30" s="8"/>
      <c r="H30" t="inlineStr" s="8">
        <is>
          <t>BANCO DE OCCIDENTE</t>
        </is>
      </c>
      <c r="I30" s="9">
        <v>192172500.00</v>
      </c>
      <c r="J30" t="inlineStr" s="8">
        <is>
          <t>NCR3396 - NCR3391 - NC3383CESION - NCR3398CR</t>
        </is>
      </c>
      <c r="K30" t="inlineStr" s="8">
        <is>
          <t>NCR3388 - NCR3394 - NCR3387 - NCR3386 - NCR3385 - NCR3384 - NCR3393 - NCR3395 - NCR3390 - NCR3392 - NCR3389 - NCR3397</t>
        </is>
      </c>
      <c r="L30" t="inlineStr" s="8">
        <is>
          <t>AGO.24/23F - SEP.4/23F - OCT.3/23F - OCT.16/23F - OCT.23/23F - OCT.26/23F - NOV.2/23 - NOV.3/23F - DIC.27/23 - ENE.8/24F - FEB.27/24F - ABR.1/24F - JUN.5/24F - JUL.1/24F - (SEP.20/24CESION)</t>
        </is>
      </c>
      <c r="M30" s="9">
        <f>1645000+2235000</f>
      </c>
      <c r="N30" s="9">
        <v>25000000</v>
      </c>
      <c r="O30" t="inlineStr" s="8">
        <is>
          <t>JUN.30/24</t>
        </is>
      </c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>
        <v>1856000</v>
      </c>
      <c r="AJ30" s="10">
        <v>10248000</v>
      </c>
      <c r="AK30" s="10">
        <f>2446000+3669000+2741000+3332000</f>
      </c>
      <c r="AL30" s="10">
        <v>211000</v>
      </c>
      <c r="AM30" s="10"/>
      <c r="AN30" s="10">
        <v>843000</v>
      </c>
      <c r="AO30" s="10">
        <v>3247000</v>
      </c>
      <c r="AP30" s="10"/>
      <c r="AQ30" s="10">
        <v>253000</v>
      </c>
      <c r="AR30" s="10"/>
      <c r="AS30" s="10">
        <v>5778000</v>
      </c>
      <c r="AT30" s="10">
        <v>3668500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9">
        <v>110000000</v>
      </c>
      <c r="BF30" s="9"/>
      <c r="BG30" s="9"/>
      <c r="BH30" s="9"/>
      <c r="BI30" s="9">
        <f>SUM(M30,N30,Q30,R30,S30,T30,U30,V30,W30,X30,Y30,Z30,AA30,AB30,AC30,AD30,AE30,AF30,AG30,AH30,AI30,AJ30,AK30,AL30,AM30,AN30,AO30,AP30,AQ30,AR30,AS30,AT30,AU30,AV30,AW30,AX30,AY30,AZ30,BA30,BB30,BC30,BD30,BE30,BF30,BG30,BH30)</f>
      </c>
      <c r="BJ30" s="9">
        <f>I30-BI30</f>
      </c>
      <c r="BK30" s="9">
        <f>BJ30-BL30-BM30-BN30-BO30</f>
      </c>
      <c r="BL30" s="9"/>
      <c r="BM30" s="9"/>
      <c r="BN30" s="9"/>
      <c r="BO30" s="9"/>
      <c r="BP30" s="8"/>
      <c r="BQ30" t="inlineStr" s="8">
        <is>
          <t>2023-12-24</t>
        </is>
      </c>
      <c r="BR30" t="inlineStr" s="8">
        <is>
          <t>2024-04-13</t>
        </is>
      </c>
      <c r="BS30" t="inlineStr" s="8">
        <is>
          <t>2024-11-11</t>
        </is>
      </c>
      <c r="BT30" s="8"/>
      <c r="BU30" s="8"/>
      <c r="BV30" s="8"/>
      <c r="BW30" s="8"/>
      <c r="BX30" s="8"/>
      <c r="BY30" s="8"/>
      <c r="BZ30" s="9"/>
      <c r="CA30" s="9"/>
      <c r="CB30" t="inlineStr" s="8">
        <is>
          <t>3166124156</t>
        </is>
      </c>
      <c r="CC30" t="inlineStr" s="8">
        <is>
          <t>sanchez.jon.73274945@example.com</t>
        </is>
      </c>
      <c r="CD30" t="inlineStr" s="8">
        <is>
          <t>FLINTSTONE FRED CEL: 3166125068</t>
        </is>
      </c>
      <c r="CE30" t="inlineStr" s="8">
        <is>
          <t>NC3383 SEP.20/24 CESION DE STEVE TRIBBIANI A JON SANCHEZ *ANTIC $25.000.000 *ARRAS $4'640</t>
        </is>
      </c>
    </row>
    <row r="31" ht="12.75" customHeight="1">
      <c r="A31" t="inlineStr" s="8">
        <is>
          <t>60007919076395</t>
        </is>
      </c>
      <c r="B31" s="8"/>
      <c r="C31" t="inlineStr" s="8">
        <is>
          <t>406</t>
        </is>
      </c>
      <c r="D31" s="9">
        <v>55.20</v>
      </c>
      <c r="E31" t="inlineStr" s="8">
        <is>
          <t>73278391</t>
        </is>
      </c>
      <c r="F31" t="inlineStr" s="8">
        <is>
          <t>HENDERSON STEVE</t>
        </is>
      </c>
      <c r="G31" s="8"/>
      <c r="H31" t="inlineStr" s="8">
        <is>
          <t>BANCOLOMBIA</t>
        </is>
      </c>
      <c r="I31" s="9">
        <v>192172500.00</v>
      </c>
      <c r="J31" t="inlineStr" s="8">
        <is>
          <t>NCR3401 - NCR3406 - NCR3403 - NCR3408 - NCR3404 - NCR3409CR</t>
        </is>
      </c>
      <c r="K31" t="inlineStr" s="8">
        <is>
          <t>NCR3400 - NCR3407 - NCR3405 - NCR3402</t>
        </is>
      </c>
      <c r="L31" t="inlineStr" s="8">
        <is>
          <t>MAR.11/23F - MAY.11/23F - JUN.3/23 - JUN.21/23 - JUL.4/23 - AGO.9/23 - SEP.17/23F - NOV.19/23 - DIC.3/23F</t>
        </is>
      </c>
      <c r="M31" s="9">
        <f>679000+1341000+614000+2618667+436000</f>
      </c>
      <c r="N31" s="9"/>
      <c r="O31" t="inlineStr" s="8">
        <is>
          <t>SEP.24/23</t>
        </is>
      </c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2069000</v>
      </c>
      <c r="AE31" s="10"/>
      <c r="AF31" s="10">
        <v>5446000</v>
      </c>
      <c r="AG31" s="10"/>
      <c r="AH31" s="10"/>
      <c r="AI31" s="10"/>
      <c r="AJ31" s="10">
        <v>1519000</v>
      </c>
      <c r="AK31" s="10"/>
      <c r="AL31" s="10"/>
      <c r="AM31" s="10">
        <v>1438000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9">
        <v>8080333</v>
      </c>
      <c r="BF31" s="9"/>
      <c r="BG31" s="9"/>
      <c r="BH31" s="9"/>
      <c r="BI31" s="9">
        <f>SUM(M31,N31,Q31,R31,S31,T31,U31,V31,W31,X31,Y31,Z31,AA31,AB31,AC31,AD31,AE31,AF31,AG31,AH31,AI31,AJ31,AK31,AL31,AM31,AN31,AO31,AP31,AQ31,AR31,AS31,AT31,AU31,AV31,AW31,AX31,AY31,AZ31,BA31,BB31,BC31,BD31,BE31,BF31,BG31,BH31)</f>
      </c>
      <c r="BJ31" s="9">
        <f>I31-BI31</f>
      </c>
      <c r="BK31" s="9">
        <f>BJ31-BL31-BM31-BN31-BO31</f>
      </c>
      <c r="BL31" s="9"/>
      <c r="BM31" s="9"/>
      <c r="BN31" s="9"/>
      <c r="BO31" s="9"/>
      <c r="BP31" s="8"/>
      <c r="BQ31" t="inlineStr" s="8">
        <is>
          <t>2023-02-27</t>
        </is>
      </c>
      <c r="BR31" t="inlineStr" s="8">
        <is>
          <t>2023-06-22</t>
        </is>
      </c>
      <c r="BS31" s="8"/>
      <c r="BT31" s="8"/>
      <c r="BU31" s="8"/>
      <c r="BV31" s="8"/>
      <c r="BW31" s="8"/>
      <c r="BX31" s="8"/>
      <c r="BY31" s="8"/>
      <c r="BZ31" s="9"/>
      <c r="CA31" s="9"/>
      <c r="CB31" t="inlineStr" s="8">
        <is>
          <t>3166125716</t>
        </is>
      </c>
      <c r="CC31" t="inlineStr" s="8">
        <is>
          <t>henderson.steve.73278391@example.com</t>
        </is>
      </c>
      <c r="CD31" t="inlineStr" s="8">
        <is>
          <t>JAKE CEL: 3166126607</t>
        </is>
      </c>
      <c r="CE31" s="8"/>
    </row>
    <row r="32" ht="12.75" customHeight="1">
      <c r="A32" t="inlineStr" s="8">
        <is>
          <t>60007919076540</t>
        </is>
      </c>
      <c r="B32" s="8"/>
      <c r="C32" t="inlineStr" s="8">
        <is>
          <t>407</t>
        </is>
      </c>
      <c r="D32" s="9">
        <v>55.20</v>
      </c>
      <c r="E32" t="inlineStr" s="8">
        <is>
          <t>73292388</t>
        </is>
      </c>
      <c r="F32" t="inlineStr" s="8">
        <is>
          <t>ORGANA LEGOLAS</t>
        </is>
      </c>
      <c r="G32" s="8"/>
      <c r="H32" t="inlineStr" s="8">
        <is>
          <t>BBVA</t>
        </is>
      </c>
      <c r="I32" s="9">
        <v>192172500.00</v>
      </c>
      <c r="J32" t="inlineStr" s="8">
        <is>
          <t>NCR3434CR</t>
        </is>
      </c>
      <c r="K32" t="inlineStr" s="8">
        <is>
          <t>NCR3430 - NCR3427 - NCR3426 - NCR3428 - NCR3433 - NCR3431 - NCR3429 - NCR3432</t>
        </is>
      </c>
      <c r="L32" t="inlineStr" s="8">
        <is>
          <t>DIC.14/23F - DIC.20/23F - DIC.22/23F - ENE.3/24F - ENE.14/24F - FEB.23/24F - AGO.11/24F - DIC.7/24F</t>
        </is>
      </c>
      <c r="M32" s="9"/>
      <c r="N32" s="9"/>
      <c r="O32" t="inlineStr" s="8">
        <is>
          <t>MAY.25/24</t>
        </is>
      </c>
      <c r="P32" s="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>
        <f>7835000+7374000+28389000</f>
      </c>
      <c r="AN32" s="10">
        <f>19172000+14562500</f>
      </c>
      <c r="AO32" s="10">
        <v>5807000</v>
      </c>
      <c r="AP32" s="10"/>
      <c r="AQ32" s="10"/>
      <c r="AR32" s="10"/>
      <c r="AS32" s="10"/>
      <c r="AT32" s="10"/>
      <c r="AU32" s="10">
        <v>1383000</v>
      </c>
      <c r="AV32" s="10"/>
      <c r="AW32" s="10"/>
      <c r="AX32" s="10"/>
      <c r="AY32" s="10">
        <v>7650000</v>
      </c>
      <c r="AZ32" s="10"/>
      <c r="BA32" s="10"/>
      <c r="BB32" s="10"/>
      <c r="BC32" s="10"/>
      <c r="BD32" s="10"/>
      <c r="BE32" s="9">
        <v>80000000</v>
      </c>
      <c r="BF32" s="9"/>
      <c r="BG32" s="9"/>
      <c r="BH32" s="9"/>
      <c r="BI32" s="9">
        <f>SUM(M32,N32,Q32,R32,S32,T32,U32,V32,W32,X32,Y32,Z32,AA32,AB32,AC32,AD32,AE32,AF32,AG32,AH32,AI32,AJ32,AK32,AL32,AM32,AN32,AO32,AP32,AQ32,AR32,AS32,AT32,AU32,AV32,AW32,AX32,AY32,AZ32,BA32,BB32,BC32,BD32,BE32,BF32,BG32,BH32)</f>
      </c>
      <c r="BJ32" s="9">
        <f>I32-BI32</f>
      </c>
      <c r="BK32" s="9">
        <f>BJ32-BL32-BM32-BN32-BO32</f>
      </c>
      <c r="BL32" s="9"/>
      <c r="BM32" s="9"/>
      <c r="BN32" s="9"/>
      <c r="BO32" s="9"/>
      <c r="BP32" s="8"/>
      <c r="BQ32" t="inlineStr" s="8">
        <is>
          <t>2024-03-14</t>
        </is>
      </c>
      <c r="BR32" t="inlineStr" s="8">
        <is>
          <t>2024-04-12</t>
        </is>
      </c>
      <c r="BS32" t="inlineStr" s="8">
        <is>
          <t>2025-02-28</t>
        </is>
      </c>
      <c r="BT32" s="8"/>
      <c r="BU32" s="8"/>
      <c r="BV32" s="8"/>
      <c r="BW32" s="8"/>
      <c r="BX32" s="8"/>
      <c r="BY32" s="8"/>
      <c r="BZ32" s="9"/>
      <c r="CA32" s="9"/>
      <c r="CB32" t="inlineStr" s="8">
        <is>
          <t>3166127461</t>
        </is>
      </c>
      <c r="CC32" t="inlineStr" s="8">
        <is>
          <t>organa.legolas.73292388@example.com</t>
        </is>
      </c>
      <c r="CD32" t="inlineStr" s="8">
        <is>
          <t>JAKE CEL: 3166127601</t>
        </is>
      </c>
      <c r="CE32" s="8"/>
    </row>
    <row r="33" ht="12.75" customHeight="1">
      <c r="A33" t="inlineStr" s="8">
        <is>
          <t>60007919076561</t>
        </is>
      </c>
      <c r="B33" s="8"/>
      <c r="C33" t="inlineStr" s="8">
        <is>
          <t>501</t>
        </is>
      </c>
      <c r="D33" s="9">
        <v>55.20</v>
      </c>
      <c r="E33" t="inlineStr" s="8">
        <is>
          <t>73305429</t>
        </is>
      </c>
      <c r="F33" t="inlineStr" s="8">
        <is>
          <t>MALFOY FRODO</t>
        </is>
      </c>
      <c r="G33" s="8"/>
      <c r="H33" t="inlineStr" s="8">
        <is>
          <t>BBVA</t>
        </is>
      </c>
      <c r="I33" s="9">
        <v>192172500.00</v>
      </c>
      <c r="J33" t="inlineStr" s="8">
        <is>
          <t>NC3436TRASLADO - NCR3442CR</t>
        </is>
      </c>
      <c r="K33" t="inlineStr" s="8">
        <is>
          <t>NCR3438 - NCR3439 - NCR3437 - NCR3440 - NCR3441</t>
        </is>
      </c>
      <c r="L33" t="inlineStr" s="8">
        <is>
          <t>ENE.12/22F - ENE.14/22F - ENE.23/22F - ENE.25/22F - MAR.22/22F - (AGO.2/22TRASLADO)</t>
        </is>
      </c>
      <c r="M33" s="9"/>
      <c r="N33" s="9">
        <v>25000000</v>
      </c>
      <c r="O33" t="inlineStr" s="8">
        <is>
          <t>ENE.30/23</t>
        </is>
      </c>
      <c r="P33" s="8"/>
      <c r="Q33" s="10">
        <f>15691000+5928000+1046000+17173000</f>
      </c>
      <c r="R33" s="10">
        <v>47334500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9">
        <v>65000000</v>
      </c>
      <c r="BF33" s="9"/>
      <c r="BG33" s="9"/>
      <c r="BH33" s="9"/>
      <c r="BI33" s="9">
        <f>SUM(M33,N33,Q33,R33,S33,T33,U33,V33,W33,X33,Y33,Z33,AA33,AB33,AC33,AD33,AE33,AF33,AG33,AH33,AI33,AJ33,AK33,AL33,AM33,AN33,AO33,AP33,AQ33,AR33,AS33,AT33,AU33,AV33,AW33,AX33,AY33,AZ33,BA33,BB33,BC33,BD33,BE33,BF33,BG33,BH33)</f>
      </c>
      <c r="BJ33" s="9">
        <f>I33-BI33</f>
      </c>
      <c r="BK33" s="9">
        <f>BJ33-BL33-BM33-BN33-BO33</f>
      </c>
      <c r="BL33" s="9"/>
      <c r="BM33" s="9"/>
      <c r="BN33" s="9"/>
      <c r="BO33" s="9"/>
      <c r="BP33" s="8"/>
      <c r="BQ33" t="inlineStr" s="8">
        <is>
          <t>2022-03-20</t>
        </is>
      </c>
      <c r="BR33" t="inlineStr" s="8">
        <is>
          <t>2022-07-07</t>
        </is>
      </c>
      <c r="BS33" s="8"/>
      <c r="BT33" s="8"/>
      <c r="BU33" s="8"/>
      <c r="BV33" s="8"/>
      <c r="BW33" s="8"/>
      <c r="BX33" s="8"/>
      <c r="BY33" s="8"/>
      <c r="BZ33" s="9"/>
      <c r="CA33" s="9"/>
      <c r="CB33" t="inlineStr" s="8">
        <is>
          <t>3166128450</t>
        </is>
      </c>
      <c r="CC33" t="inlineStr" s="8">
        <is>
          <t>malfoy.frodo.73305429@example.com</t>
        </is>
      </c>
      <c r="CD33" t="inlineStr" s="8">
        <is>
          <t>FLINTSTONE FRED CEL: 3166128634</t>
        </is>
      </c>
      <c r="CE33" t="inlineStr" s="8">
        <is>
          <t>NC3436 AGO.2/22 TRASLADO DE MICHAEL WAYNE A FRODO MALFOY *ANTIC $25.000.000 *ARRAS $4'640</t>
        </is>
      </c>
    </row>
    <row r="34" ht="12.75" customHeight="1">
      <c r="A34" t="inlineStr" s="8">
        <is>
          <t>60007919076777</t>
        </is>
      </c>
      <c r="B34" s="8"/>
      <c r="C34" t="inlineStr" s="8">
        <is>
          <t>502</t>
        </is>
      </c>
      <c r="D34" s="9">
        <v>55.20</v>
      </c>
      <c r="E34" t="inlineStr" s="8">
        <is>
          <t>73308408</t>
        </is>
      </c>
      <c r="F34" t="inlineStr" s="8">
        <is>
          <t>SIMPSON EDDIE</t>
        </is>
      </c>
      <c r="G34" s="8"/>
      <c r="H34" t="inlineStr" s="8">
        <is>
          <t>BANCO DAVIVIENDA</t>
        </is>
      </c>
      <c r="I34" s="9">
        <v>192172500.00</v>
      </c>
      <c r="J34" t="inlineStr" s="8">
        <is>
          <t>NCR3445CR</t>
        </is>
      </c>
      <c r="K34" s="8"/>
      <c r="L34" s="8"/>
      <c r="M34" s="9"/>
      <c r="N34" s="9"/>
      <c r="O34" t="inlineStr" s="8">
        <is>
          <t>SEP.28/23</t>
        </is>
      </c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9">
        <v>93171000</v>
      </c>
      <c r="BF34" s="9"/>
      <c r="BG34" s="9"/>
      <c r="BH34" s="9"/>
      <c r="BI34" s="9">
        <f>SUM(M34,N34,Q34,R34,S34,T34,U34,V34,W34,X34,Y34,Z34,AA34,AB34,AC34,AD34,AE34,AF34,AG34,AH34,AI34,AJ34,AK34,AL34,AM34,AN34,AO34,AP34,AQ34,AR34,AS34,AT34,AU34,AV34,AW34,AX34,AY34,AZ34,BA34,BB34,BC34,BD34,BE34,BF34,BG34,BH34)</f>
      </c>
      <c r="BJ34" s="9">
        <f>I34-BI34</f>
      </c>
      <c r="BK34" s="9">
        <f>BJ34-BL34-BM34-BN34-BO34</f>
      </c>
      <c r="BL34" s="9"/>
      <c r="BM34" s="9"/>
      <c r="BN34" s="9"/>
      <c r="BO34" s="9"/>
      <c r="BP34" s="8"/>
      <c r="BQ34" t="inlineStr" s="8">
        <is>
          <t>2023-05-06</t>
        </is>
      </c>
      <c r="BR34" t="inlineStr" s="8">
        <is>
          <t>2023-06-17</t>
        </is>
      </c>
      <c r="BS34" s="8"/>
      <c r="BT34" s="8"/>
      <c r="BU34" s="8"/>
      <c r="BV34" s="8"/>
      <c r="BW34" s="8"/>
      <c r="BX34" s="8"/>
      <c r="BY34" s="8"/>
      <c r="BZ34" s="9"/>
      <c r="CA34" s="9"/>
      <c r="CB34" t="inlineStr" s="8">
        <is>
          <t>3166128665</t>
        </is>
      </c>
      <c r="CC34" t="inlineStr" s="8">
        <is>
          <t>simpson.eddie.73308408@example.com</t>
        </is>
      </c>
      <c r="CD34" t="inlineStr" s="8">
        <is>
          <t>DUCK DAFFY CEL: 3166129272</t>
        </is>
      </c>
      <c r="CE34" s="8"/>
    </row>
    <row r="35" ht="12.75" customHeight="1">
      <c r="A35" t="inlineStr" s="8">
        <is>
          <t>60007919076809</t>
        </is>
      </c>
      <c r="B35" s="8"/>
      <c r="C35" t="inlineStr" s="8">
        <is>
          <t>503</t>
        </is>
      </c>
      <c r="D35" s="9">
        <v>55.20</v>
      </c>
      <c r="E35" t="inlineStr" s="8">
        <is>
          <t>73317291</t>
        </is>
      </c>
      <c r="F35" t="inlineStr" s="8">
        <is>
          <t>WATSON PATRICK</t>
        </is>
      </c>
      <c r="G35" t="inlineStr" s="8">
        <is>
          <t>JANE MICHAEL</t>
        </is>
      </c>
      <c r="H35" s="8"/>
      <c r="I35" s="9">
        <v>192172500.00</v>
      </c>
      <c r="J35" t="inlineStr" s="8">
        <is>
          <t>NCR3455 - NCR3457 - NCR3447 - NCR3448</t>
        </is>
      </c>
      <c r="K35" t="inlineStr" s="8">
        <is>
          <t>NCR3458 - NCR3454 - NCR3456 - NCR3446 - NCR3451 - NCR3450 - NCR3452 - NCR3449 - NCR3453</t>
        </is>
      </c>
      <c r="L35" t="inlineStr" s="8">
        <is>
          <t>AGO.4/23F - OCT.5/23 - OCT.6/23 - NOV.5/23 - NOV.13/23F - NOV.15/23F - NOV.22/23 - NOV.26/23F - DIC.4/23F - DIC.11/23F - ENE.7/24F - ENE.12/24F - SEP.4/24F</t>
        </is>
      </c>
      <c r="M35" s="9">
        <f>811000+39570000+10379000+17352000</f>
      </c>
      <c r="N35" s="9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9568500</v>
      </c>
      <c r="AJ35" s="10"/>
      <c r="AK35" s="10"/>
      <c r="AL35" s="10">
        <f>43624000+324000+2433000</f>
      </c>
      <c r="AM35" s="10">
        <f>6973000+11028000</f>
      </c>
      <c r="AN35" s="10">
        <f>6325000+2757000</f>
      </c>
      <c r="AO35" s="10"/>
      <c r="AP35" s="10"/>
      <c r="AQ35" s="10"/>
      <c r="AR35" s="10"/>
      <c r="AS35" s="10"/>
      <c r="AT35" s="10"/>
      <c r="AU35" s="10"/>
      <c r="AV35" s="10">
        <v>11028000</v>
      </c>
      <c r="AW35" s="10"/>
      <c r="AX35" s="10"/>
      <c r="AY35" s="10"/>
      <c r="AZ35" s="10"/>
      <c r="BA35" s="10"/>
      <c r="BB35" s="10"/>
      <c r="BC35" s="10"/>
      <c r="BD35" s="10"/>
      <c r="BE35" s="9"/>
      <c r="BF35" s="9"/>
      <c r="BG35" s="9"/>
      <c r="BH35" s="9"/>
      <c r="BI35" s="9">
        <f>SUM(M35,N35,Q35,R35,S35,T35,U35,V35,W35,X35,Y35,Z35,AA35,AB35,AC35,AD35,AE35,AF35,AG35,AH35,AI35,AJ35,AK35,AL35,AM35,AN35,AO35,AP35,AQ35,AR35,AS35,AT35,AU35,AV35,AW35,AX35,AY35,AZ35,BA35,BB35,BC35,BD35,BE35,BF35,BG35,BH35)</f>
      </c>
      <c r="BJ35" s="9">
        <f>I35-BI35</f>
      </c>
      <c r="BK35" s="9">
        <f>BJ35-BL35-BM35-BN35-BO35</f>
      </c>
      <c r="BL35" s="9"/>
      <c r="BM35" s="9"/>
      <c r="BN35" s="9"/>
      <c r="BO35" s="9"/>
      <c r="BP35" s="8"/>
      <c r="BQ35" t="inlineStr" s="8">
        <is>
          <t>2023-08-19</t>
        </is>
      </c>
      <c r="BR35" t="inlineStr" s="8">
        <is>
          <t>2023-09-05</t>
        </is>
      </c>
      <c r="BS35" s="8"/>
      <c r="BT35" s="8"/>
      <c r="BU35" s="8"/>
      <c r="BV35" s="8"/>
      <c r="BW35" s="8"/>
      <c r="BX35" s="8"/>
      <c r="BY35" s="8"/>
      <c r="BZ35" s="9"/>
      <c r="CA35" s="9"/>
      <c r="CB35" t="inlineStr" s="8">
        <is>
          <t>3166130144</t>
        </is>
      </c>
      <c r="CC35" t="inlineStr" s="8">
        <is>
          <t>watson.patrick.73317291@example.com</t>
        </is>
      </c>
      <c r="CD35" t="inlineStr" s="8">
        <is>
          <t>BUNNY BUGS CEL: 3166131208</t>
        </is>
      </c>
      <c r="CE35" s="8"/>
    </row>
    <row r="36" ht="12.75" customHeight="1">
      <c r="A36" t="inlineStr" s="8">
        <is>
          <t>60007919076887</t>
        </is>
      </c>
      <c r="B36" s="8"/>
      <c r="C36" t="inlineStr" s="8">
        <is>
          <t>504</t>
        </is>
      </c>
      <c r="D36" s="9">
        <v>55.20</v>
      </c>
      <c r="E36" t="inlineStr" s="8">
        <is>
          <t>73332568</t>
        </is>
      </c>
      <c r="F36" t="inlineStr" s="8">
        <is>
          <t>BING MIKE</t>
        </is>
      </c>
      <c r="G36" s="8"/>
      <c r="H36" t="inlineStr" s="8">
        <is>
          <t>BANCO CAJA SOCIAL</t>
        </is>
      </c>
      <c r="I36" s="9">
        <v>192172500.00</v>
      </c>
      <c r="J36" t="inlineStr" s="8">
        <is>
          <t>NCR3462 - NCR3465 - NCR3463 - NCR3469CR</t>
        </is>
      </c>
      <c r="K36" t="inlineStr" s="8">
        <is>
          <t>NCR3460 - NCR3461 - NCR3468 - NCR3467 - NCR3464 - NCR3466</t>
        </is>
      </c>
      <c r="L36" t="inlineStr" s="8">
        <is>
          <t>JUN.2/23 - JUN.6/23F - JUN.11/23F - JUN.24/23 - OCT.24/23 - DIC.6/23F - DIC.17/23F - FEB.3/24F - MAY.8/24F</t>
        </is>
      </c>
      <c r="M36" s="9">
        <f>8217000+9121000+7478000</f>
      </c>
      <c r="N36" s="9"/>
      <c r="O36" t="inlineStr" s="8">
        <is>
          <t>JUN.2/24</t>
        </is>
      </c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>
        <f>21365000+9203000</f>
      </c>
      <c r="AH36" s="10"/>
      <c r="AI36" s="10"/>
      <c r="AJ36" s="10"/>
      <c r="AK36" s="10"/>
      <c r="AL36" s="10"/>
      <c r="AM36" s="10">
        <f>657500+822000</f>
      </c>
      <c r="AN36" s="10"/>
      <c r="AO36" s="10">
        <v>13065000</v>
      </c>
      <c r="AP36" s="10"/>
      <c r="AQ36" s="10"/>
      <c r="AR36" s="10">
        <v>12244000</v>
      </c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9">
        <v>110000000</v>
      </c>
      <c r="BF36" s="9"/>
      <c r="BG36" s="9"/>
      <c r="BH36" s="9"/>
      <c r="BI36" s="9">
        <f>SUM(M36,N36,Q36,R36,S36,T36,U36,V36,W36,X36,Y36,Z36,AA36,AB36,AC36,AD36,AE36,AF36,AG36,AH36,AI36,AJ36,AK36,AL36,AM36,AN36,AO36,AP36,AQ36,AR36,AS36,AT36,AU36,AV36,AW36,AX36,AY36,AZ36,BA36,BB36,BC36,BD36,BE36,BF36,BG36,BH36)</f>
      </c>
      <c r="BJ36" s="9">
        <f>I36-BI36</f>
      </c>
      <c r="BK36" s="9">
        <f>BJ36-BL36-BM36-BN36-BO36</f>
      </c>
      <c r="BL36" s="9"/>
      <c r="BM36" s="9"/>
      <c r="BN36" s="9"/>
      <c r="BO36" s="9"/>
      <c r="BP36" s="8"/>
      <c r="BQ36" t="inlineStr" s="8">
        <is>
          <t>2023-10-06</t>
        </is>
      </c>
      <c r="BR36" t="inlineStr" s="8">
        <is>
          <t>2023-10-18</t>
        </is>
      </c>
      <c r="BS36" t="inlineStr" s="8">
        <is>
          <t>2024-10-31</t>
        </is>
      </c>
      <c r="BT36" s="8"/>
      <c r="BU36" s="8"/>
      <c r="BV36" s="8"/>
      <c r="BW36" s="8"/>
      <c r="BX36" s="8"/>
      <c r="BY36" s="8"/>
      <c r="BZ36" s="9"/>
      <c r="CA36" s="9"/>
      <c r="CB36" t="inlineStr" s="8">
        <is>
          <t>3166131549</t>
        </is>
      </c>
      <c r="CC36" t="inlineStr" s="8">
        <is>
          <t>bing.mike.73332568@example.com</t>
        </is>
      </c>
      <c r="CD36" t="inlineStr" s="8">
        <is>
          <t>MOUSE MICKEY CEL: 3166131672</t>
        </is>
      </c>
      <c r="CE36" s="8"/>
    </row>
    <row r="37" ht="12.75" customHeight="1">
      <c r="A37" t="inlineStr" s="8">
        <is>
          <t>60007919076953</t>
        </is>
      </c>
      <c r="B37" s="8"/>
      <c r="C37" t="inlineStr" s="8">
        <is>
          <t>505</t>
        </is>
      </c>
      <c r="D37" s="9">
        <v>55.20</v>
      </c>
      <c r="E37" t="inlineStr" s="8">
        <is>
          <t>73350233</t>
        </is>
      </c>
      <c r="F37" t="inlineStr" s="8">
        <is>
          <t>TENTACLES STEVE</t>
        </is>
      </c>
      <c r="G37" t="inlineStr" s="8">
        <is>
          <t>SKYWALKER SAUL</t>
        </is>
      </c>
      <c r="H37" t="inlineStr" s="8">
        <is>
          <t>BBVA</t>
        </is>
      </c>
      <c r="I37" s="9">
        <v>192172500.00</v>
      </c>
      <c r="J37" t="inlineStr" s="8">
        <is>
          <t>NCR3475 - NCR3476 - NCR3481 - NCR3473 - NC3471CESION - NCR3479 - NCR3484CR</t>
        </is>
      </c>
      <c r="K37" t="inlineStr" s="8">
        <is>
          <t>NCR3482 - NCR3480 - NCR3483 - NCR3474 - NCR3472 - NCR3478 - NCR3477</t>
        </is>
      </c>
      <c r="L37" t="inlineStr" s="8">
        <is>
          <t>ABR.6/23F - JUN.1/23 - JUN.6/23 - JUL.27/23F - AGO.26/23F - SEP.28/23F - OCT.1/23 - OCT.19/23 - NOV.3/23F - (NOV.10/23CESION) - ABR.12/24F - ABR.20/24F - JUN.27/24</t>
        </is>
      </c>
      <c r="M37" s="9">
        <f>1826000+887000+6313000+2817000+2035000</f>
      </c>
      <c r="N37" s="9">
        <v>25000000</v>
      </c>
      <c r="O37" t="inlineStr" s="8">
        <is>
          <t>MAY.16/24</t>
        </is>
      </c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11321000</v>
      </c>
      <c r="AF37" s="10"/>
      <c r="AG37" s="10"/>
      <c r="AH37" s="10">
        <v>3652000</v>
      </c>
      <c r="AI37" s="10">
        <v>2295500</v>
      </c>
      <c r="AJ37" s="10">
        <v>7252000</v>
      </c>
      <c r="AK37" s="10"/>
      <c r="AL37" s="10">
        <v>6417000</v>
      </c>
      <c r="AM37" s="10"/>
      <c r="AN37" s="10"/>
      <c r="AO37" s="10"/>
      <c r="AP37" s="10"/>
      <c r="AQ37" s="10">
        <f>3183000+4174000</f>
      </c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9">
        <v>95000000</v>
      </c>
      <c r="BF37" s="9"/>
      <c r="BG37" s="9"/>
      <c r="BH37" s="9"/>
      <c r="BI37" s="9">
        <f>SUM(M37,N37,Q37,R37,S37,T37,U37,V37,W37,X37,Y37,Z37,AA37,AB37,AC37,AD37,AE37,AF37,AG37,AH37,AI37,AJ37,AK37,AL37,AM37,AN37,AO37,AP37,AQ37,AR37,AS37,AT37,AU37,AV37,AW37,AX37,AY37,AZ37,BA37,BB37,BC37,BD37,BE37,BF37,BG37,BH37)</f>
      </c>
      <c r="BJ37" s="9">
        <f>I37-BI37</f>
      </c>
      <c r="BK37" s="9">
        <f>BJ37-BL37-BM37-BN37-BO37</f>
      </c>
      <c r="BL37" s="9"/>
      <c r="BM37" s="9"/>
      <c r="BN37" s="9"/>
      <c r="BO37" s="9"/>
      <c r="BP37" s="8"/>
      <c r="BQ37" t="inlineStr" s="8">
        <is>
          <t>2023-06-05</t>
        </is>
      </c>
      <c r="BR37" t="inlineStr" s="8">
        <is>
          <t>2023-07-31</t>
        </is>
      </c>
      <c r="BS37" t="inlineStr" s="8">
        <is>
          <t>2024-08-25</t>
        </is>
      </c>
      <c r="BT37" s="8"/>
      <c r="BU37" s="8"/>
      <c r="BV37" s="8"/>
      <c r="BW37" s="8"/>
      <c r="BX37" s="8"/>
      <c r="BY37" s="8"/>
      <c r="BZ37" s="9"/>
      <c r="CA37" s="9"/>
      <c r="CB37" t="inlineStr" s="8">
        <is>
          <t>3166132184</t>
        </is>
      </c>
      <c r="CC37" t="inlineStr" s="8">
        <is>
          <t>tentacles.steve.73350233@example.com</t>
        </is>
      </c>
      <c r="CD37" t="inlineStr" s="8">
        <is>
          <t>FINN CEL: 3166133401</t>
        </is>
      </c>
      <c r="CE37" s="8"/>
    </row>
    <row r="38" ht="12.75" customHeight="1">
      <c r="A38" t="inlineStr" s="8">
        <is>
          <t>60007919077036</t>
        </is>
      </c>
      <c r="B38" s="8"/>
      <c r="C38" t="inlineStr" s="8">
        <is>
          <t>506</t>
        </is>
      </c>
      <c r="D38" s="9">
        <v>55.20</v>
      </c>
      <c r="E38" t="inlineStr" s="8">
        <is>
          <t>73365117</t>
        </is>
      </c>
      <c r="F38" t="inlineStr" s="8">
        <is>
          <t>PINKMAN JOEY</t>
        </is>
      </c>
      <c r="G38" s="8"/>
      <c r="H38" t="inlineStr" s="8">
        <is>
          <t>BANCO DE OCCIDENTE</t>
        </is>
      </c>
      <c r="I38" s="9">
        <v>192172500.00</v>
      </c>
      <c r="J38" t="inlineStr" s="8">
        <is>
          <t>NC3487TRASLADO - NCR3488CR</t>
        </is>
      </c>
      <c r="K38" s="8"/>
      <c r="L38" t="inlineStr" s="8">
        <is>
          <t>(JUL.8/24TRASLADO)</t>
        </is>
      </c>
      <c r="M38" s="9"/>
      <c r="N38" s="9">
        <v>15000000</v>
      </c>
      <c r="O38" t="inlineStr" s="8">
        <is>
          <t>JUN.22/24</t>
        </is>
      </c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9">
        <v>102254000</v>
      </c>
      <c r="BF38" s="9"/>
      <c r="BG38" s="9"/>
      <c r="BH38" s="9"/>
      <c r="BI38" s="9">
        <f>SUM(M38,N38,Q38,R38,S38,T38,U38,V38,W38,X38,Y38,Z38,AA38,AB38,AC38,AD38,AE38,AF38,AG38,AH38,AI38,AJ38,AK38,AL38,AM38,AN38,AO38,AP38,AQ38,AR38,AS38,AT38,AU38,AV38,AW38,AX38,AY38,AZ38,BA38,BB38,BC38,BD38,BE38,BF38,BG38,BH38)</f>
      </c>
      <c r="BJ38" s="9">
        <f>I38-BI38</f>
      </c>
      <c r="BK38" s="9">
        <f>BJ38-BL38-BM38-BN38-BO38</f>
      </c>
      <c r="BL38" s="9"/>
      <c r="BM38" s="9"/>
      <c r="BN38" s="9"/>
      <c r="BO38" s="9"/>
      <c r="BP38" s="8"/>
      <c r="BQ38" t="inlineStr" s="8">
        <is>
          <t>2023-10-08</t>
        </is>
      </c>
      <c r="BR38" t="inlineStr" s="8">
        <is>
          <t>2024-01-01</t>
        </is>
      </c>
      <c r="BS38" s="8"/>
      <c r="BT38" s="8"/>
      <c r="BU38" s="8"/>
      <c r="BV38" s="8"/>
      <c r="BW38" s="8"/>
      <c r="BX38" s="8"/>
      <c r="BY38" s="8"/>
      <c r="BZ38" s="9"/>
      <c r="CA38" s="9"/>
      <c r="CB38" t="inlineStr" s="8">
        <is>
          <t>3166134545</t>
        </is>
      </c>
      <c r="CC38" t="inlineStr" s="8">
        <is>
          <t>pinkman.joey.73365117@example.com</t>
        </is>
      </c>
      <c r="CD38" t="inlineStr" s="8">
        <is>
          <t>MOUSE MINNIE CEL: 3166135117</t>
        </is>
      </c>
      <c r="CE38" t="inlineStr" s="8">
        <is>
          <t>NC3487 JUL.8/24 TRASLADO DE LEONARD TARGARYEN A JOEY PINKMAN *ANTIC $15.000.000 *ARRAS $4'640</t>
        </is>
      </c>
    </row>
    <row r="39" ht="12.75" customHeight="1">
      <c r="A39" t="inlineStr" s="8">
        <is>
          <t>60007919077276</t>
        </is>
      </c>
      <c r="B39" s="8"/>
      <c r="C39" t="inlineStr" s="8">
        <is>
          <t>507</t>
        </is>
      </c>
      <c r="D39" s="9">
        <v>55.20</v>
      </c>
      <c r="E39" t="inlineStr" s="8">
        <is>
          <t>73369695</t>
        </is>
      </c>
      <c r="F39" t="inlineStr" s="8">
        <is>
          <t>BROWN CLEVELAND</t>
        </is>
      </c>
      <c r="G39" t="inlineStr" s="8">
        <is>
          <t>KRABS CLINT</t>
        </is>
      </c>
      <c r="H39" t="inlineStr" s="8">
        <is>
          <t>BANCO DAVIVIENDA</t>
        </is>
      </c>
      <c r="I39" s="9">
        <v>192172500.00</v>
      </c>
      <c r="J39" t="inlineStr" s="8">
        <is>
          <t>NCR3489CR</t>
        </is>
      </c>
      <c r="K39" s="8"/>
      <c r="L39" s="8"/>
      <c r="M39" s="9"/>
      <c r="N39" s="9"/>
      <c r="O39" t="inlineStr" s="8">
        <is>
          <t>JUL.25/23</t>
        </is>
      </c>
      <c r="P39" s="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9">
        <v>9133000</v>
      </c>
      <c r="BF39" s="9"/>
      <c r="BG39" s="9"/>
      <c r="BH39" s="9"/>
      <c r="BI39" s="9">
        <f>SUM(M39,N39,Q39,R39,S39,T39,U39,V39,W39,X39,Y39,Z39,AA39,AB39,AC39,AD39,AE39,AF39,AG39,AH39,AI39,AJ39,AK39,AL39,AM39,AN39,AO39,AP39,AQ39,AR39,AS39,AT39,AU39,AV39,AW39,AX39,AY39,AZ39,BA39,BB39,BC39,BD39,BE39,BF39,BG39,BH39)</f>
      </c>
      <c r="BJ39" s="9">
        <f>I39-BI39</f>
      </c>
      <c r="BK39" s="9">
        <f>BJ39-BL39-BM39-BN39-BO39</f>
      </c>
      <c r="BL39" s="9"/>
      <c r="BM39" s="9"/>
      <c r="BN39" s="9"/>
      <c r="BO39" s="9"/>
      <c r="BP39" s="8"/>
      <c r="BQ39" t="inlineStr" s="8">
        <is>
          <t>2022-02-27</t>
        </is>
      </c>
      <c r="BR39" t="inlineStr" s="8">
        <is>
          <t>2022-06-08</t>
        </is>
      </c>
      <c r="BS39" s="8"/>
      <c r="BT39" s="8"/>
      <c r="BU39" s="8"/>
      <c r="BV39" s="8"/>
      <c r="BW39" s="8"/>
      <c r="BX39" s="8"/>
      <c r="BY39" s="8"/>
      <c r="BZ39" s="9"/>
      <c r="CA39" s="9"/>
      <c r="CB39" t="inlineStr" s="8">
        <is>
          <t>3166135808</t>
        </is>
      </c>
      <c r="CC39" t="inlineStr" s="8">
        <is>
          <t>brown.cleveland.73369695@example.com</t>
        </is>
      </c>
      <c r="CD39" t="inlineStr" s="8">
        <is>
          <t>JAKE CEL: 3166136812</t>
        </is>
      </c>
      <c r="CE39" s="8"/>
    </row>
    <row r="40" ht="12.75" customHeight="1">
      <c r="A40" t="inlineStr" s="8">
        <is>
          <t>60007919077426</t>
        </is>
      </c>
      <c r="B40" s="8"/>
      <c r="C40" t="inlineStr" s="8">
        <is>
          <t>601</t>
        </is>
      </c>
      <c r="D40" s="9">
        <v>55.20</v>
      </c>
      <c r="E40" t="inlineStr" s="8">
        <is>
          <t>73380832</t>
        </is>
      </c>
      <c r="F40" t="inlineStr" s="8">
        <is>
          <t>SIMPSON MORTY</t>
        </is>
      </c>
      <c r="G40" s="8"/>
      <c r="H40" s="8"/>
      <c r="I40" s="9">
        <v>192172500.00</v>
      </c>
      <c r="J40" t="inlineStr" s="8">
        <is>
          <t>NCR3499 - NCR3496 - NC3491CESION</t>
        </is>
      </c>
      <c r="K40" t="inlineStr" s="8">
        <is>
          <t>NCR3492 - NCR3494 - NCR3495 - NCR3493 - NCR3497 - NCR3498 - NCR3500</t>
        </is>
      </c>
      <c r="L40" t="inlineStr" s="8">
        <is>
          <t>MAY.15/22F - MAY.15/22F - MAY.15/22F - MAY.27/22F - DIC.14/22F - ENE.25/23F - JUN.7/23F - SEP.9/23 - DIC.22/23 - (ENE.10/24CESION)</t>
        </is>
      </c>
      <c r="M40" s="9">
        <f>3690000+14600000</f>
      </c>
      <c r="N40" s="9">
        <v>12000000</v>
      </c>
      <c r="O40" s="8"/>
      <c r="P40" s="8"/>
      <c r="Q40" s="10"/>
      <c r="R40" s="10"/>
      <c r="S40" s="10"/>
      <c r="T40" s="10">
        <f>4733000+3530000+11953000+642000</f>
      </c>
      <c r="U40" s="10"/>
      <c r="V40" s="10"/>
      <c r="W40" s="10"/>
      <c r="X40" s="10"/>
      <c r="Y40" s="10"/>
      <c r="Z40" s="10"/>
      <c r="AA40" s="10">
        <v>36501000</v>
      </c>
      <c r="AB40" s="10">
        <v>1604000</v>
      </c>
      <c r="AC40" s="10"/>
      <c r="AD40" s="10"/>
      <c r="AE40" s="10"/>
      <c r="AF40" s="10"/>
      <c r="AG40" s="10">
        <v>2968000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/>
      <c r="BF40" s="9"/>
      <c r="BG40" s="9"/>
      <c r="BH40" s="9"/>
      <c r="BI40" s="9">
        <f>SUM(M40,N40,Q40,R40,S40,T40,U40,V40,W40,X40,Y40,Z40,AA40,AB40,AC40,AD40,AE40,AF40,AG40,AH40,AI40,AJ40,AK40,AL40,AM40,AN40,AO40,AP40,AQ40,AR40,AS40,AT40,AU40,AV40,AW40,AX40,AY40,AZ40,BA40,BB40,BC40,BD40,BE40,BF40,BG40,BH40)</f>
      </c>
      <c r="BJ40" s="9">
        <f>I40-BI40</f>
      </c>
      <c r="BK40" s="9">
        <f>BJ40-BL40-BM40-BN40-BO40</f>
      </c>
      <c r="BL40" s="9"/>
      <c r="BM40" s="9"/>
      <c r="BN40" s="9"/>
      <c r="BO40" s="9"/>
      <c r="BP40" s="8"/>
      <c r="BQ40" t="inlineStr" s="8">
        <is>
          <t>2022-07-14</t>
        </is>
      </c>
      <c r="BR40" t="inlineStr" s="8">
        <is>
          <t>2022-09-08</t>
        </is>
      </c>
      <c r="BS40" s="8"/>
      <c r="BT40" s="8"/>
      <c r="BU40" s="8"/>
      <c r="BV40" s="8"/>
      <c r="BW40" s="8"/>
      <c r="BX40" s="8"/>
      <c r="BY40" s="8"/>
      <c r="BZ40" s="9"/>
      <c r="CA40" s="9"/>
      <c r="CB40" t="inlineStr" s="8">
        <is>
          <t>3166137899</t>
        </is>
      </c>
      <c r="CC40" t="inlineStr" s="8">
        <is>
          <t>simpson.morty.73380832@example.com</t>
        </is>
      </c>
      <c r="CD40" t="inlineStr" s="8">
        <is>
          <t>PANTHER PINK CEL: 3166138342</t>
        </is>
      </c>
      <c r="CE40" t="inlineStr" s="8">
        <is>
          <t>NC3491 ENE.10/24 CESION DE JON FOWLER A MORTY SIMPSON *ANTIC $12.000.000 *ARRAS $4'640</t>
        </is>
      </c>
    </row>
    <row r="41" ht="12.75" customHeight="1">
      <c r="A41" t="inlineStr" s="8">
        <is>
          <t>60007919077579</t>
        </is>
      </c>
      <c r="B41" s="8"/>
      <c r="C41" t="inlineStr" s="8">
        <is>
          <t>602</t>
        </is>
      </c>
      <c r="D41" s="9">
        <v>55.20</v>
      </c>
      <c r="E41" t="inlineStr" s="8">
        <is>
          <t>73388509</t>
        </is>
      </c>
      <c r="F41" t="inlineStr" s="8">
        <is>
          <t>LANNISTER GUSTAVO</t>
        </is>
      </c>
      <c r="G41" t="inlineStr" s="8">
        <is>
          <t>GREENLEAF JIM</t>
        </is>
      </c>
      <c r="H41" t="inlineStr" s="8">
        <is>
          <t>BANCO DAVIVIENDA</t>
        </is>
      </c>
      <c r="I41" s="9">
        <v>192172500.00</v>
      </c>
      <c r="J41" t="inlineStr" s="8">
        <is>
          <t>NCR3510 - NCR3512CR</t>
        </is>
      </c>
      <c r="K41" t="inlineStr" s="8">
        <is>
          <t>NCR3507 - NCR3509 - NCR3511 - NCR3506 - NCR3502 - NCR3508 - NCR3503 - NCR3504 - NCR3505</t>
        </is>
      </c>
      <c r="L41" t="inlineStr" s="8">
        <is>
          <t>OCT.6/23F - DIC.25/23 - ABR.8/24F - JUN.9/24F - JUL.19/24F - JUL.28/24F - AGO.2/24F - SEP.6/24F - SEP.7/24F - DIC.13/24F</t>
        </is>
      </c>
      <c r="M41" s="9">
        <v>2269000</v>
      </c>
      <c r="N41" s="9"/>
      <c r="O41" t="inlineStr" s="8">
        <is>
          <t>MAY.23/24</t>
        </is>
      </c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>
        <v>8177000</v>
      </c>
      <c r="AL41" s="10"/>
      <c r="AM41" s="10"/>
      <c r="AN41" s="10"/>
      <c r="AO41" s="10"/>
      <c r="AP41" s="10"/>
      <c r="AQ41" s="10">
        <v>899000</v>
      </c>
      <c r="AR41" s="10"/>
      <c r="AS41" s="10">
        <v>684000</v>
      </c>
      <c r="AT41" s="10">
        <f>4281000+8819000</f>
      </c>
      <c r="AU41" s="10">
        <v>7064000</v>
      </c>
      <c r="AV41" s="10">
        <f>1541000+6379000</f>
      </c>
      <c r="AW41" s="10"/>
      <c r="AX41" s="10"/>
      <c r="AY41" s="10">
        <v>2697000</v>
      </c>
      <c r="AZ41" s="10"/>
      <c r="BA41" s="10"/>
      <c r="BB41" s="10"/>
      <c r="BC41" s="10"/>
      <c r="BD41" s="10"/>
      <c r="BE41" s="9">
        <v>28905000</v>
      </c>
      <c r="BF41" s="9"/>
      <c r="BG41" s="9"/>
      <c r="BH41" s="9"/>
      <c r="BI41" s="9">
        <f>SUM(M41,N41,Q41,R41,S41,T41,U41,V41,W41,X41,Y41,Z41,AA41,AB41,AC41,AD41,AE41,AF41,AG41,AH41,AI41,AJ41,AK41,AL41,AM41,AN41,AO41,AP41,AQ41,AR41,AS41,AT41,AU41,AV41,AW41,AX41,AY41,AZ41,BA41,BB41,BC41,BD41,BE41,BF41,BG41,BH41)</f>
      </c>
      <c r="BJ41" s="9">
        <f>I41-BI41</f>
      </c>
      <c r="BK41" s="9">
        <f>BJ41-BL41-BM41-BN41-BO41</f>
      </c>
      <c r="BL41" s="9"/>
      <c r="BM41" s="9"/>
      <c r="BN41" s="9"/>
      <c r="BO41" s="9"/>
      <c r="BP41" s="8"/>
      <c r="BQ41" t="inlineStr" s="8">
        <is>
          <t>2024-01-10</t>
        </is>
      </c>
      <c r="BR41" t="inlineStr" s="8">
        <is>
          <t>2024-03-05</t>
        </is>
      </c>
      <c r="BS41" s="8"/>
      <c r="BT41" s="8"/>
      <c r="BU41" s="8"/>
      <c r="BV41" s="8"/>
      <c r="BW41" s="8"/>
      <c r="BX41" s="8"/>
      <c r="BY41" s="8"/>
      <c r="BZ41" s="9"/>
      <c r="CA41" s="9"/>
      <c r="CB41" t="inlineStr" s="8">
        <is>
          <t>3166139038</t>
        </is>
      </c>
      <c r="CC41" t="inlineStr" s="8">
        <is>
          <t>lannister.gustavo.73388509@example.com</t>
        </is>
      </c>
      <c r="CD41" t="inlineStr" s="8">
        <is>
          <t>FINN CEL: 3166139957</t>
        </is>
      </c>
      <c r="CE41" s="8"/>
    </row>
    <row r="42" ht="12.75" customHeight="1">
      <c r="A42" t="inlineStr" s="8">
        <is>
          <t>60007919077800</t>
        </is>
      </c>
      <c r="B42" s="8"/>
      <c r="C42" t="inlineStr" s="8">
        <is>
          <t>603</t>
        </is>
      </c>
      <c r="D42" s="9">
        <v>55.20</v>
      </c>
      <c r="E42" t="inlineStr" s="8">
        <is>
          <t>73402861</t>
        </is>
      </c>
      <c r="F42" t="inlineStr" s="8">
        <is>
          <t>BROWN RON</t>
        </is>
      </c>
      <c r="G42" t="inlineStr" s="8">
        <is>
          <t>HOFSTADTER EUGENE</t>
        </is>
      </c>
      <c r="H42" t="inlineStr" s="8">
        <is>
          <t>BBVA</t>
        </is>
      </c>
      <c r="I42" s="9">
        <v>192172500.00</v>
      </c>
      <c r="J42" t="inlineStr" s="8">
        <is>
          <t>NCR3521 - NCR3517 - NCR3525CR</t>
        </is>
      </c>
      <c r="K42" t="inlineStr" s="8">
        <is>
          <t>NCR3518 - NCR3519 - NCR3522 - NCR3520 - NCR3516 - NCR3523 - NCR3515 - NCR3524</t>
        </is>
      </c>
      <c r="L42" t="inlineStr" s="8">
        <is>
          <t>OCT.25/23 - NOV.16/23 - DIC.6/23F - MAR.10/24F - ABR.27/24F - JUN.10/24F - JUL.8/24F - ENE.4/25F - FEB.13/25F - ABR.15/25F</t>
        </is>
      </c>
      <c r="M42" s="9">
        <f>5833000+29726000</f>
      </c>
      <c r="N42" s="9"/>
      <c r="O42" t="inlineStr" s="8">
        <is>
          <t>MAR.29/25</t>
        </is>
      </c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>
        <v>20079000</v>
      </c>
      <c r="AN42" s="10"/>
      <c r="AO42" s="10"/>
      <c r="AP42" s="10">
        <v>785000</v>
      </c>
      <c r="AQ42" s="10">
        <v>3477000</v>
      </c>
      <c r="AR42" s="10"/>
      <c r="AS42" s="10">
        <v>10881000</v>
      </c>
      <c r="AT42" s="10">
        <v>112000</v>
      </c>
      <c r="AU42" s="10"/>
      <c r="AV42" s="10"/>
      <c r="AW42" s="10"/>
      <c r="AX42" s="10"/>
      <c r="AY42" s="10"/>
      <c r="AZ42" s="10">
        <v>26697000</v>
      </c>
      <c r="BA42" s="10">
        <v>5721000</v>
      </c>
      <c r="BB42" s="10"/>
      <c r="BC42" s="10">
        <v>8861500</v>
      </c>
      <c r="BD42" s="10"/>
      <c r="BE42" s="9">
        <v>80000000</v>
      </c>
      <c r="BF42" s="9"/>
      <c r="BG42" s="9"/>
      <c r="BH42" s="9"/>
      <c r="BI42" s="9">
        <f>SUM(M42,N42,Q42,R42,S42,T42,U42,V42,W42,X42,Y42,Z42,AA42,AB42,AC42,AD42,AE42,AF42,AG42,AH42,AI42,AJ42,AK42,AL42,AM42,AN42,AO42,AP42,AQ42,AR42,AS42,AT42,AU42,AV42,AW42,AX42,AY42,AZ42,BA42,BB42,BC42,BD42,BE42,BF42,BG42,BH42)</f>
      </c>
      <c r="BJ42" s="9">
        <f>I42-BI42</f>
      </c>
      <c r="BK42" s="9">
        <f>BJ42-BL42-BM42-BN42-BO42</f>
      </c>
      <c r="BL42" s="9"/>
      <c r="BM42" s="9"/>
      <c r="BN42" s="9"/>
      <c r="BO42" s="9"/>
      <c r="BP42" s="8"/>
      <c r="BQ42" t="inlineStr" s="8">
        <is>
          <t>2023-12-08</t>
        </is>
      </c>
      <c r="BR42" t="inlineStr" s="8">
        <is>
          <t>2024-02-10</t>
        </is>
      </c>
      <c r="BS42" t="inlineStr" s="8">
        <is>
          <t>2025-06-05</t>
        </is>
      </c>
      <c r="BT42" s="8"/>
      <c r="BU42" s="8"/>
      <c r="BV42" s="8"/>
      <c r="BW42" s="8"/>
      <c r="BX42" s="8"/>
      <c r="BY42" s="8"/>
      <c r="BZ42" s="9"/>
      <c r="CA42" s="9"/>
      <c r="CB42" t="inlineStr" s="8">
        <is>
          <t>3166140893</t>
        </is>
      </c>
      <c r="CC42" t="inlineStr" s="8">
        <is>
          <t>brown.ron.73402861@example.com</t>
        </is>
      </c>
      <c r="CD42" t="inlineStr" s="8">
        <is>
          <t>FINN CEL: 3166142285</t>
        </is>
      </c>
      <c r="CE42" s="8"/>
    </row>
    <row r="43" ht="12.75" customHeight="1">
      <c r="A43" t="inlineStr" s="8">
        <is>
          <t>60007919077810</t>
        </is>
      </c>
      <c r="B43" s="8"/>
      <c r="C43" t="inlineStr" s="8">
        <is>
          <t>604</t>
        </is>
      </c>
      <c r="D43" s="9">
        <v>55.20</v>
      </c>
      <c r="E43" t="inlineStr" s="8">
        <is>
          <t>73421234</t>
        </is>
      </c>
      <c r="F43" t="inlineStr" s="8">
        <is>
          <t>GAMGEE AMY</t>
        </is>
      </c>
      <c r="G43" s="8"/>
      <c r="H43" t="inlineStr" s="8">
        <is>
          <t>BANCO DAVIVIENDA</t>
        </is>
      </c>
      <c r="I43" s="9">
        <v>192172500.00</v>
      </c>
      <c r="J43" t="inlineStr" s="8">
        <is>
          <t>NCR3526CR</t>
        </is>
      </c>
      <c r="K43" s="8"/>
      <c r="L43" s="8"/>
      <c r="M43" s="9"/>
      <c r="N43" s="9"/>
      <c r="O43" t="inlineStr" s="8">
        <is>
          <t>FEB.17/25</t>
        </is>
      </c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9">
        <v>68895000</v>
      </c>
      <c r="BF43" s="9"/>
      <c r="BG43" s="9"/>
      <c r="BH43" s="9"/>
      <c r="BI43" s="9">
        <f>SUM(M43,N43,Q43,R43,S43,T43,U43,V43,W43,X43,Y43,Z43,AA43,AB43,AC43,AD43,AE43,AF43,AG43,AH43,AI43,AJ43,AK43,AL43,AM43,AN43,AO43,AP43,AQ43,AR43,AS43,AT43,AU43,AV43,AW43,AX43,AY43,AZ43,BA43,BB43,BC43,BD43,BE43,BF43,BG43,BH43)</f>
      </c>
      <c r="BJ43" s="9">
        <f>I43-BI43</f>
      </c>
      <c r="BK43" s="9">
        <f>BJ43-BL43-BM43-BN43-BO43</f>
      </c>
      <c r="BL43" s="9"/>
      <c r="BM43" s="9"/>
      <c r="BN43" s="9"/>
      <c r="BO43" s="9"/>
      <c r="BP43" s="8"/>
      <c r="BQ43" t="inlineStr" s="8">
        <is>
          <t>2023-10-03</t>
        </is>
      </c>
      <c r="BR43" t="inlineStr" s="8">
        <is>
          <t>2024-01-26</t>
        </is>
      </c>
      <c r="BS43" s="8"/>
      <c r="BT43" s="8"/>
      <c r="BU43" s="8"/>
      <c r="BV43" s="8"/>
      <c r="BW43" s="8"/>
      <c r="BX43" s="8"/>
      <c r="BY43" s="8"/>
      <c r="BZ43" s="9"/>
      <c r="CA43" s="9"/>
      <c r="CB43" t="inlineStr" s="8">
        <is>
          <t>3166142677</t>
        </is>
      </c>
      <c r="CC43" t="inlineStr" s="8">
        <is>
          <t>gamgee.amy.73421234@example.com</t>
        </is>
      </c>
      <c r="CD43" t="inlineStr" s="8">
        <is>
          <t>PANTHER PINK CEL: 3166143184</t>
        </is>
      </c>
      <c r="CE43" s="8"/>
    </row>
    <row r="44" ht="12.75" customHeight="1">
      <c r="A44" s="8"/>
      <c r="B44" s="8"/>
      <c r="C44" t="inlineStr" s="8">
        <is>
          <t>605</t>
        </is>
      </c>
      <c r="D44" s="9">
        <v>55.20</v>
      </c>
      <c r="E44" s="8"/>
      <c r="F44" s="8"/>
      <c r="G44" s="8"/>
      <c r="H44" t="inlineStr" s="8">
        <is>
          <t>BBVA</t>
        </is>
      </c>
      <c r="I44" s="9">
        <v>192172500.00</v>
      </c>
      <c r="J44" s="8"/>
      <c r="K44" s="8"/>
      <c r="L44" s="8"/>
      <c r="M44" s="9"/>
      <c r="N44" s="9"/>
      <c r="O44" s="8"/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9"/>
      <c r="CA44" s="9"/>
      <c r="CB44" s="8"/>
      <c r="CC44" s="8"/>
      <c r="CD44" s="8"/>
      <c r="CE44" s="8"/>
    </row>
    <row r="45" ht="12.75" customHeight="1">
      <c r="A45" t="inlineStr" s="8">
        <is>
          <t>60007919078046</t>
        </is>
      </c>
      <c r="B45" s="8"/>
      <c r="C45" t="inlineStr" s="8">
        <is>
          <t>606</t>
        </is>
      </c>
      <c r="D45" s="9">
        <v>55.20</v>
      </c>
      <c r="E45" t="inlineStr" s="8">
        <is>
          <t>73439033</t>
        </is>
      </c>
      <c r="F45" t="inlineStr" s="8">
        <is>
          <t>STAR TONY</t>
        </is>
      </c>
      <c r="G45" s="8"/>
      <c r="H45" s="8"/>
      <c r="I45" s="9">
        <v>192172500.00</v>
      </c>
      <c r="J45" t="inlineStr" s="8">
        <is>
          <t>NCR3548 - NCR3543 - NCR3541 - NCR3542 - NCR3544 - NC3535TRASLADO - NCR3545</t>
        </is>
      </c>
      <c r="K45" t="inlineStr" s="8">
        <is>
          <t>NCR3549 - NCR3540 - NCR3546 - NCR3536 - NCR3538 - NCR3537 - NCR3539 - NCR3547</t>
        </is>
      </c>
      <c r="L45" t="inlineStr" s="8">
        <is>
          <t>MAY.19/22F - JUL.27/22F - SEP.5/22F - OCT.10/22F - OCT.23/22F - OCT.26/22F - ENE.3/23F - JUN.7/23 - JUN.12/23 - OCT.3/23 - OCT.5/23 - OCT.12/23F - DIC.5/23 - (DIC.6/23TRASLADO) - DIC.23/23</t>
        </is>
      </c>
      <c r="M45" s="9">
        <f>13068000+335000+6869000+4272000+8293000+168000</f>
      </c>
      <c r="N45" s="9">
        <v>12000000</v>
      </c>
      <c r="O45" s="8"/>
      <c r="P45" s="8"/>
      <c r="Q45" s="10"/>
      <c r="R45" s="10"/>
      <c r="S45" s="10"/>
      <c r="T45" s="10">
        <v>4944000</v>
      </c>
      <c r="U45" s="10"/>
      <c r="V45" s="10">
        <v>23791000</v>
      </c>
      <c r="W45" s="10"/>
      <c r="X45" s="10">
        <v>1340000</v>
      </c>
      <c r="Y45" s="10">
        <f>2764000+1340000+335000</f>
      </c>
      <c r="Z45" s="10"/>
      <c r="AA45" s="10"/>
      <c r="AB45" s="10">
        <v>4942000</v>
      </c>
      <c r="AC45" s="10"/>
      <c r="AD45" s="10"/>
      <c r="AE45" s="10"/>
      <c r="AF45" s="10"/>
      <c r="AG45" s="10"/>
      <c r="AH45" s="10"/>
      <c r="AI45" s="10"/>
      <c r="AJ45" s="10"/>
      <c r="AK45" s="10">
        <v>11309000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9"/>
      <c r="BF45" s="9"/>
      <c r="BG45" s="9"/>
      <c r="BH45" s="9"/>
      <c r="BI45" s="9">
        <f>SUM(M45,N45,Q45,R45,S45,T45,U45,V45,W45,X45,Y45,Z45,AA45,AB45,AC45,AD45,AE45,AF45,AG45,AH45,AI45,AJ45,AK45,AL45,AM45,AN45,AO45,AP45,AQ45,AR45,AS45,AT45,AU45,AV45,AW45,AX45,AY45,AZ45,BA45,BB45,BC45,BD45,BE45,BF45,BG45,BH45)</f>
      </c>
      <c r="BJ45" s="9">
        <f>I45-BI45</f>
      </c>
      <c r="BK45" s="9">
        <f>BJ45-BL45-BM45-BN45-BO45</f>
      </c>
      <c r="BL45" s="9"/>
      <c r="BM45" s="9"/>
      <c r="BN45" s="9"/>
      <c r="BO45" s="9"/>
      <c r="BP45" s="8"/>
      <c r="BQ45" t="inlineStr" s="8">
        <is>
          <t>2022-07-05</t>
        </is>
      </c>
      <c r="BR45" t="inlineStr" s="8">
        <is>
          <t>2022-09-27</t>
        </is>
      </c>
      <c r="BS45" s="8"/>
      <c r="BT45" s="8"/>
      <c r="BU45" s="8"/>
      <c r="BV45" s="8"/>
      <c r="BW45" s="8"/>
      <c r="BX45" s="8"/>
      <c r="BY45" s="8"/>
      <c r="BZ45" s="9"/>
      <c r="CA45" s="9"/>
      <c r="CB45" t="inlineStr" s="8">
        <is>
          <t>3166145903</t>
        </is>
      </c>
      <c r="CC45" t="inlineStr" s="8">
        <is>
          <t>star.tony.73439033@example.com</t>
        </is>
      </c>
      <c r="CD45" t="inlineStr" s="8">
        <is>
          <t>FLINTSTONE FRED CEL: 3166146809</t>
        </is>
      </c>
      <c r="CE45" t="inlineStr" s="8">
        <is>
          <t>NC3535 DIC.6/23 TRASLADO DE LUNA HOPPER A TONY STAR *ANTIC $12.000.000 *ARRAS $4'640</t>
        </is>
      </c>
    </row>
    <row r="46" ht="12.75" customHeight="1">
      <c r="A46" t="inlineStr" s="8">
        <is>
          <t>60007919078201</t>
        </is>
      </c>
      <c r="B46" s="8"/>
      <c r="C46" t="inlineStr" s="8">
        <is>
          <t>607</t>
        </is>
      </c>
      <c r="D46" s="9">
        <v>55.20</v>
      </c>
      <c r="E46" t="inlineStr" s="8">
        <is>
          <t>73443090</t>
        </is>
      </c>
      <c r="F46" t="inlineStr" s="8">
        <is>
          <t>BAGGINS AHSOKA</t>
        </is>
      </c>
      <c r="G46" s="8"/>
      <c r="H46" t="inlineStr" s="8">
        <is>
          <t>BANCO DAVIVIENDA</t>
        </is>
      </c>
      <c r="I46" s="9">
        <v>192172500.00</v>
      </c>
      <c r="J46" t="inlineStr" s="8">
        <is>
          <t>NCR3551CR</t>
        </is>
      </c>
      <c r="K46" s="8"/>
      <c r="L46" s="8"/>
      <c r="M46" s="9"/>
      <c r="N46" s="9"/>
      <c r="O46" t="inlineStr" s="8">
        <is>
          <t>MAY.16/23</t>
        </is>
      </c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9">
        <v>8779000</v>
      </c>
      <c r="BF46" s="9"/>
      <c r="BG46" s="9"/>
      <c r="BH46" s="9"/>
      <c r="BI46" s="9">
        <f>SUM(M46,N46,Q46,R46,S46,T46,U46,V46,W46,X46,Y46,Z46,AA46,AB46,AC46,AD46,AE46,AF46,AG46,AH46,AI46,AJ46,AK46,AL46,AM46,AN46,AO46,AP46,AQ46,AR46,AS46,AT46,AU46,AV46,AW46,AX46,AY46,AZ46,BA46,BB46,BC46,BD46,BE46,BF46,BG46,BH46)</f>
      </c>
      <c r="BJ46" s="9">
        <f>I46-BI46</f>
      </c>
      <c r="BK46" s="9">
        <f>BJ46-BL46-BM46-BN46-BO46</f>
      </c>
      <c r="BL46" s="9"/>
      <c r="BM46" s="9"/>
      <c r="BN46" s="9"/>
      <c r="BO46" s="9"/>
      <c r="BP46" s="8"/>
      <c r="BQ46" t="inlineStr" s="8">
        <is>
          <t>2022-07-31</t>
        </is>
      </c>
      <c r="BR46" t="inlineStr" s="8">
        <is>
          <t>2022-08-10</t>
        </is>
      </c>
      <c r="BS46" s="8"/>
      <c r="BT46" s="8"/>
      <c r="BU46" s="8"/>
      <c r="BV46" s="8"/>
      <c r="BW46" s="8"/>
      <c r="BX46" s="8"/>
      <c r="BY46" s="8"/>
      <c r="BZ46" s="9"/>
      <c r="CA46" s="9"/>
      <c r="CB46" t="inlineStr" s="8">
        <is>
          <t>3166146837</t>
        </is>
      </c>
      <c r="CC46" t="inlineStr" s="8">
        <is>
          <t>baggins.ahsoka.73443090@example.com</t>
        </is>
      </c>
      <c r="CD46" t="inlineStr" s="8">
        <is>
          <t>JETSON GEORGE CEL: 3166147669</t>
        </is>
      </c>
      <c r="CE46" s="8"/>
    </row>
    <row r="47" ht="12.75" customHeight="1">
      <c r="A47" t="inlineStr" s="8">
        <is>
          <t>60007919078214</t>
        </is>
      </c>
      <c r="B47" s="8"/>
      <c r="C47" t="inlineStr" s="8">
        <is>
          <t>701</t>
        </is>
      </c>
      <c r="D47" s="9">
        <v>55.20</v>
      </c>
      <c r="E47" t="inlineStr" s="8">
        <is>
          <t>73451394</t>
        </is>
      </c>
      <c r="F47" t="inlineStr" s="8">
        <is>
          <t>KENOBI RICK</t>
        </is>
      </c>
      <c r="G47" s="8"/>
      <c r="H47" t="inlineStr" s="8">
        <is>
          <t>BANCO CAJA SOCIAL</t>
        </is>
      </c>
      <c r="I47" s="9">
        <v>192172500.00</v>
      </c>
      <c r="J47" t="inlineStr" s="8">
        <is>
          <t>NC3553CESION - NCR3563CR</t>
        </is>
      </c>
      <c r="K47" t="inlineStr" s="8">
        <is>
          <t>NCR3558 - NCR3556 - NCR3561 - NCR3554 - NCR3562 - NCR3557 - NCR3559 - NCR3560 - NCR3555</t>
        </is>
      </c>
      <c r="L47" t="inlineStr" s="8">
        <is>
          <t>AGO.28/22F - SEP.14/22F - NOV.24/22F - DIC.20/22F - DIC.21/22F - FEB.4/23F - FEB.12/23F - MAR.2/23F - ABR.27/23F - (MAY.18/23CESION)</t>
        </is>
      </c>
      <c r="M47" s="9"/>
      <c r="N47" s="9">
        <v>18000000</v>
      </c>
      <c r="O47" t="inlineStr" s="8">
        <is>
          <t>ABR.21/23</t>
        </is>
      </c>
      <c r="P47" s="8"/>
      <c r="Q47" s="10"/>
      <c r="R47" s="10"/>
      <c r="S47" s="10"/>
      <c r="T47" s="10"/>
      <c r="U47" s="10"/>
      <c r="V47" s="10"/>
      <c r="W47" s="10">
        <v>419000</v>
      </c>
      <c r="X47" s="10">
        <v>1724000</v>
      </c>
      <c r="Y47" s="10"/>
      <c r="Z47" s="10">
        <v>2581000</v>
      </c>
      <c r="AA47" s="10">
        <f>1831000+612334</f>
      </c>
      <c r="AB47" s="10"/>
      <c r="AC47" s="10">
        <f>1091000+117000</f>
      </c>
      <c r="AD47" s="10">
        <v>867000</v>
      </c>
      <c r="AE47" s="10">
        <v>497000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9">
        <v>13869666</v>
      </c>
      <c r="BF47" s="9"/>
      <c r="BG47" s="9"/>
      <c r="BH47" s="9"/>
      <c r="BI47" s="9">
        <f>SUM(M47,N47,Q47,R47,S47,T47,U47,V47,W47,X47,Y47,Z47,AA47,AB47,AC47,AD47,AE47,AF47,AG47,AH47,AI47,AJ47,AK47,AL47,AM47,AN47,AO47,AP47,AQ47,AR47,AS47,AT47,AU47,AV47,AW47,AX47,AY47,AZ47,BA47,BB47,BC47,BD47,BE47,BF47,BG47,BH47)</f>
      </c>
      <c r="BJ47" s="9">
        <f>I47-BI47</f>
      </c>
      <c r="BK47" s="9">
        <f>BJ47-BL47-BM47-BN47-BO47</f>
      </c>
      <c r="BL47" s="9"/>
      <c r="BM47" s="9"/>
      <c r="BN47" s="9"/>
      <c r="BO47" s="9"/>
      <c r="BP47" s="8"/>
      <c r="BQ47" t="inlineStr" s="8">
        <is>
          <t>2022-10-08</t>
        </is>
      </c>
      <c r="BR47" t="inlineStr" s="8">
        <is>
          <t>2022-12-02</t>
        </is>
      </c>
      <c r="BS47" s="8"/>
      <c r="BT47" s="8"/>
      <c r="BU47" s="8"/>
      <c r="BV47" s="8"/>
      <c r="BW47" s="8"/>
      <c r="BX47" s="8"/>
      <c r="BY47" s="8"/>
      <c r="BZ47" s="9"/>
      <c r="CA47" s="9"/>
      <c r="CB47" t="inlineStr" s="8">
        <is>
          <t>3166148350</t>
        </is>
      </c>
      <c r="CC47" t="inlineStr" s="8">
        <is>
          <t>kenobi.rick.73451394@example.com</t>
        </is>
      </c>
      <c r="CD47" t="inlineStr" s="8">
        <is>
          <t>MOUSE MINNIE CEL: 3166148485</t>
        </is>
      </c>
      <c r="CE47" t="inlineStr" s="8">
        <is>
          <t>NC3553 MAY.18/23 CESION DE CLEVELAND GRANGER A RICK KENOBI *ANTIC $18.000.000 *ARRAS $4'640</t>
        </is>
      </c>
    </row>
    <row r="48" ht="12.75" customHeight="1">
      <c r="A48" t="inlineStr" s="8">
        <is>
          <t>60007919078352</t>
        </is>
      </c>
      <c r="B48" s="8"/>
      <c r="C48" t="inlineStr" s="8">
        <is>
          <t>702</t>
        </is>
      </c>
      <c r="D48" s="9">
        <v>55.20</v>
      </c>
      <c r="E48" t="inlineStr" s="8">
        <is>
          <t>73455263</t>
        </is>
      </c>
      <c r="F48" t="inlineStr" s="8">
        <is>
          <t>WOLOWITZ NANCY</t>
        </is>
      </c>
      <c r="G48" s="8"/>
      <c r="H48" t="inlineStr" s="8">
        <is>
          <t>BANCO CAJA SOCIAL</t>
        </is>
      </c>
      <c r="I48" s="9">
        <v>192172500.00</v>
      </c>
      <c r="J48" t="inlineStr" s="8">
        <is>
          <t>NCR3569CR</t>
        </is>
      </c>
      <c r="K48" t="inlineStr" s="8">
        <is>
          <t>NCR3566 - NCR3564 - NCR3567 - NCR3565 - NCR3568</t>
        </is>
      </c>
      <c r="L48" t="inlineStr" s="8">
        <is>
          <t>ABR.26/22F - ENE.13/23F - ENE.27/23F - FEB.22/23F - ABR.19/23F</t>
        </is>
      </c>
      <c r="M48" s="9"/>
      <c r="N48" s="9"/>
      <c r="O48" t="inlineStr" s="8">
        <is>
          <t>MAY.27/22</t>
        </is>
      </c>
      <c r="P48" s="8"/>
      <c r="Q48" s="10"/>
      <c r="R48" s="10"/>
      <c r="S48" s="10">
        <v>100000</v>
      </c>
      <c r="T48" s="10"/>
      <c r="U48" s="10"/>
      <c r="V48" s="10"/>
      <c r="W48" s="10"/>
      <c r="X48" s="10"/>
      <c r="Y48" s="10"/>
      <c r="Z48" s="10"/>
      <c r="AA48" s="10"/>
      <c r="AB48" s="10">
        <f>236000+100000</f>
      </c>
      <c r="AC48" s="10">
        <v>100000</v>
      </c>
      <c r="AD48" s="10"/>
      <c r="AE48" s="10">
        <v>145000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>
        <v>95000000</v>
      </c>
      <c r="BF48" s="9"/>
      <c r="BG48" s="9"/>
      <c r="BH48" s="9"/>
      <c r="BI48" s="9">
        <f>SUM(M48,N48,Q48,R48,S48,T48,U48,V48,W48,X48,Y48,Z48,AA48,AB48,AC48,AD48,AE48,AF48,AG48,AH48,AI48,AJ48,AK48,AL48,AM48,AN48,AO48,AP48,AQ48,AR48,AS48,AT48,AU48,AV48,AW48,AX48,AY48,AZ48,BA48,BB48,BC48,BD48,BE48,BF48,BG48,BH48)</f>
      </c>
      <c r="BJ48" s="9">
        <f>I48-BI48</f>
      </c>
      <c r="BK48" s="9">
        <f>BJ48-BL48-BM48-BN48-BO48</f>
      </c>
      <c r="BL48" s="9"/>
      <c r="BM48" s="9"/>
      <c r="BN48" s="9"/>
      <c r="BO48" s="9"/>
      <c r="BP48" s="8"/>
      <c r="BQ48" t="inlineStr" s="8">
        <is>
          <t>2022-02-16</t>
        </is>
      </c>
      <c r="BR48" t="inlineStr" s="8">
        <is>
          <t>2022-05-24</t>
        </is>
      </c>
      <c r="BS48" s="8"/>
      <c r="BT48" s="8"/>
      <c r="BU48" s="8"/>
      <c r="BV48" s="8"/>
      <c r="BW48" s="8"/>
      <c r="BX48" s="8"/>
      <c r="BY48" s="8"/>
      <c r="BZ48" s="9"/>
      <c r="CA48" s="9"/>
      <c r="CB48" t="inlineStr" s="8">
        <is>
          <t>3166149160</t>
        </is>
      </c>
      <c r="CC48" t="inlineStr" s="8">
        <is>
          <t>wolowitz.nancy.73455263@example.com</t>
        </is>
      </c>
      <c r="CD48" t="inlineStr" s="8">
        <is>
          <t>PANTHER PINK CEL: 3166149699</t>
        </is>
      </c>
      <c r="CE48" s="8"/>
    </row>
    <row r="49" ht="12.75" customHeight="1">
      <c r="A49" t="inlineStr" s="8">
        <is>
          <t>60007919078528</t>
        </is>
      </c>
      <c r="B49" s="8"/>
      <c r="C49" t="inlineStr" s="8">
        <is>
          <t>703</t>
        </is>
      </c>
      <c r="D49" s="9">
        <v>55.20</v>
      </c>
      <c r="E49" t="inlineStr" s="8">
        <is>
          <t>73457842</t>
        </is>
      </c>
      <c r="F49" t="inlineStr" s="8">
        <is>
          <t>WEASLEY JOEY</t>
        </is>
      </c>
      <c r="G49" s="8"/>
      <c r="H49" s="8"/>
      <c r="I49" s="9">
        <v>192172500.00</v>
      </c>
      <c r="J49" t="inlineStr" s="8">
        <is>
          <t>NCR3577 - NCR3578</t>
        </is>
      </c>
      <c r="K49" t="inlineStr" s="8">
        <is>
          <t>NCR3583 - NCR3585 - NCR3576 - NCR3574 - NCR3573 - NCR3572 - NCR3584 - NCR3580 - NCR3582 - NCR3575 - NCR3581 - NCR3579</t>
        </is>
      </c>
      <c r="L49" t="inlineStr" s="8">
        <is>
          <t>ABR.9/22F - ABR.16/22F - MAY.9/22F - AGO.4/22F - AGO.13/22F - AGO.14/22F - AGO.17/22F - AGO.26/22F - NOV.25/22F - ENE.2/23F - ENE.27/23F - MAY.1/23F - JUN.13/23 - AGO.28/23</t>
        </is>
      </c>
      <c r="M49" s="9">
        <f>5640000+14788000</f>
      </c>
      <c r="N49" s="9"/>
      <c r="O49" s="8"/>
      <c r="P49" s="8"/>
      <c r="Q49" s="10"/>
      <c r="R49" s="10"/>
      <c r="S49" s="10">
        <f>5640000+13158000</f>
      </c>
      <c r="T49" s="10">
        <v>4762000</v>
      </c>
      <c r="U49" s="10"/>
      <c r="V49" s="10"/>
      <c r="W49" s="10">
        <f>1379000+251000+5890000+376000+23060000</f>
      </c>
      <c r="X49" s="10"/>
      <c r="Y49" s="10"/>
      <c r="Z49" s="10">
        <v>9901000</v>
      </c>
      <c r="AA49" s="10"/>
      <c r="AB49" s="10">
        <f>21180000+5264000</f>
      </c>
      <c r="AC49" s="10"/>
      <c r="AD49" s="10"/>
      <c r="AE49" s="10"/>
      <c r="AF49" s="10">
        <v>14036000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9"/>
      <c r="BF49" s="9"/>
      <c r="BG49" s="9"/>
      <c r="BH49" s="9"/>
      <c r="BI49" s="9">
        <f>SUM(M49,N49,Q49,R49,S49,T49,U49,V49,W49,X49,Y49,Z49,AA49,AB49,AC49,AD49,AE49,AF49,AG49,AH49,AI49,AJ49,AK49,AL49,AM49,AN49,AO49,AP49,AQ49,AR49,AS49,AT49,AU49,AV49,AW49,AX49,AY49,AZ49,BA49,BB49,BC49,BD49,BE49,BF49,BG49,BH49)</f>
      </c>
      <c r="BJ49" s="9">
        <f>I49-BI49</f>
      </c>
      <c r="BK49" s="9">
        <f>BJ49-BL49-BM49-BN49-BO49</f>
      </c>
      <c r="BL49" s="9"/>
      <c r="BM49" s="9"/>
      <c r="BN49" s="9"/>
      <c r="BO49" s="9"/>
      <c r="BP49" s="8"/>
      <c r="BQ49" t="inlineStr" s="8">
        <is>
          <t>2022-05-28</t>
        </is>
      </c>
      <c r="BR49" t="inlineStr" s="8">
        <is>
          <t>2022-09-15</t>
        </is>
      </c>
      <c r="BS49" s="8"/>
      <c r="BT49" s="8"/>
      <c r="BU49" s="8"/>
      <c r="BV49" s="8"/>
      <c r="BW49" s="8"/>
      <c r="BX49" s="8"/>
      <c r="BY49" s="8"/>
      <c r="BZ49" s="9"/>
      <c r="CA49" s="9"/>
      <c r="CB49" t="inlineStr" s="8">
        <is>
          <t>3166150472</t>
        </is>
      </c>
      <c r="CC49" t="inlineStr" s="8">
        <is>
          <t>weasley.joey.73457842@example.com</t>
        </is>
      </c>
      <c r="CD49" t="inlineStr" s="8">
        <is>
          <t>BUNNY BUGS CEL: 3166151246</t>
        </is>
      </c>
      <c r="CE49" s="8"/>
    </row>
    <row r="50" ht="12.75" customHeight="1">
      <c r="A50" t="inlineStr" s="8">
        <is>
          <t>60007919078593</t>
        </is>
      </c>
      <c r="B50" s="8"/>
      <c r="C50" t="inlineStr" s="8">
        <is>
          <t>704</t>
        </is>
      </c>
      <c r="D50" s="9">
        <v>55.20</v>
      </c>
      <c r="E50" t="inlineStr" s="8">
        <is>
          <t>73461038</t>
        </is>
      </c>
      <c r="F50" t="inlineStr" s="8">
        <is>
          <t>DREW HOWARD</t>
        </is>
      </c>
      <c r="G50" s="8"/>
      <c r="H50" s="8"/>
      <c r="I50" s="9">
        <v>192172500.00</v>
      </c>
      <c r="J50" t="inlineStr" s="8">
        <is>
          <t>NCR3589 - NCR3592 - NCR3586 - NCR3590 - NCR3596</t>
        </is>
      </c>
      <c r="K50" t="inlineStr" s="8">
        <is>
          <t>NCR3594 - NCR3595 - NCR3587 - NCR3597 - NCR3593 - NCR3591 - NCR3588</t>
        </is>
      </c>
      <c r="L50" t="inlineStr" s="8">
        <is>
          <t>OCT.12/22F - OCT.28/22F - FEB.1/23F - MAY.13/23F - JUN.22/23F - AGO.21/23 - AGO.24/23 - SEP.3/23 - SEP.20/23 - OCT.15/23 - OCT.16/23F - NOV.15/23F</t>
        </is>
      </c>
      <c r="M50" s="9">
        <f>11632000+332000+11632000+7644000+16285000</f>
      </c>
      <c r="N50" s="9"/>
      <c r="O50" s="8"/>
      <c r="P50" s="8"/>
      <c r="Q50" s="10"/>
      <c r="R50" s="10"/>
      <c r="S50" s="10"/>
      <c r="T50" s="10"/>
      <c r="U50" s="10"/>
      <c r="V50" s="10"/>
      <c r="W50" s="10"/>
      <c r="X50" s="10"/>
      <c r="Y50" s="10">
        <f>166000+9638000</f>
      </c>
      <c r="Z50" s="10"/>
      <c r="AA50" s="10"/>
      <c r="AB50" s="10"/>
      <c r="AC50" s="10">
        <v>23264000</v>
      </c>
      <c r="AD50" s="10"/>
      <c r="AE50" s="10"/>
      <c r="AF50" s="10">
        <v>16950500</v>
      </c>
      <c r="AG50" s="10">
        <v>4320000</v>
      </c>
      <c r="AH50" s="10"/>
      <c r="AI50" s="10"/>
      <c r="AJ50" s="10"/>
      <c r="AK50" s="10">
        <v>59656000</v>
      </c>
      <c r="AL50" s="10">
        <v>4653000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9"/>
      <c r="BF50" s="9"/>
      <c r="BG50" s="9"/>
      <c r="BH50" s="9"/>
      <c r="BI50" s="9">
        <f>SUM(M50,N50,Q50,R50,S50,T50,U50,V50,W50,X50,Y50,Z50,AA50,AB50,AC50,AD50,AE50,AF50,AG50,AH50,AI50,AJ50,AK50,AL50,AM50,AN50,AO50,AP50,AQ50,AR50,AS50,AT50,AU50,AV50,AW50,AX50,AY50,AZ50,BA50,BB50,BC50,BD50,BE50,BF50,BG50,BH50)</f>
      </c>
      <c r="BJ50" s="9">
        <f>I50-BI50</f>
      </c>
      <c r="BK50" s="9">
        <f>BJ50-BL50-BM50-BN50-BO50</f>
      </c>
      <c r="BL50" s="9"/>
      <c r="BM50" s="9"/>
      <c r="BN50" s="9"/>
      <c r="BO50" s="9"/>
      <c r="BP50" s="8"/>
      <c r="BQ50" t="inlineStr" s="8">
        <is>
          <t>2022-12-13</t>
        </is>
      </c>
      <c r="BR50" t="inlineStr" s="8">
        <is>
          <t>2023-03-03</t>
        </is>
      </c>
      <c r="BS50" s="8"/>
      <c r="BT50" s="8"/>
      <c r="BU50" s="8"/>
      <c r="BV50" s="8"/>
      <c r="BW50" s="8"/>
      <c r="BX50" s="8"/>
      <c r="BY50" s="8"/>
      <c r="BZ50" s="9"/>
      <c r="CA50" s="9"/>
      <c r="CB50" t="inlineStr" s="8">
        <is>
          <t>3166152052</t>
        </is>
      </c>
      <c r="CC50" t="inlineStr" s="8">
        <is>
          <t>drew.howard.73461038@example.com</t>
        </is>
      </c>
      <c r="CD50" t="inlineStr" s="8">
        <is>
          <t>FLINTSTONE FRED CEL: 3166152422</t>
        </is>
      </c>
      <c r="CE50" s="8"/>
    </row>
    <row r="51" ht="12.75" customHeight="1">
      <c r="A51" t="inlineStr" s="8">
        <is>
          <t>60007919078688</t>
        </is>
      </c>
      <c r="B51" s="8"/>
      <c r="C51" t="inlineStr" s="8">
        <is>
          <t>705</t>
        </is>
      </c>
      <c r="D51" s="9">
        <v>55.20</v>
      </c>
      <c r="E51" t="inlineStr" s="8">
        <is>
          <t>73462822</t>
        </is>
      </c>
      <c r="F51" t="inlineStr" s="8">
        <is>
          <t>GREEN RAJ</t>
        </is>
      </c>
      <c r="G51" t="inlineStr" s="8">
        <is>
          <t>HALPERT LUCAS</t>
        </is>
      </c>
      <c r="H51" t="inlineStr" s="8">
        <is>
          <t>BANCOLOMBIA</t>
        </is>
      </c>
      <c r="I51" s="9">
        <v>192172500.00</v>
      </c>
      <c r="J51" t="inlineStr" s="8">
        <is>
          <t>NCR3604 - NCR3600 - NCR3602 - NCR3603 - NCR3601 - NCR3608 - NCR3607 - NCR3609 - NCR3611 - NCR3612CR</t>
        </is>
      </c>
      <c r="K51" t="inlineStr" s="8">
        <is>
          <t>NCR3610 - NCR3605 - NCR3606</t>
        </is>
      </c>
      <c r="L51" t="inlineStr" s="8">
        <is>
          <t>JUN.19/23 - SEP.2/23 - SEP.7/23 - SEP.15/23 - SEP.28/23 - OCT.16/23 - OCT.26/23F - NOV.8/23 - DIC.10/23 - DIC.24/23 - ENE.20/24F - MAY.9/24F</t>
        </is>
      </c>
      <c r="M51" s="9">
        <f>2721000+15353000+2235000+16033000+5733000+13507000+3790000+18463000+2720500</f>
      </c>
      <c r="N51" s="9"/>
      <c r="O51" t="inlineStr" s="8">
        <is>
          <t>ABR.6/24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v>5442000</v>
      </c>
      <c r="AL51" s="10"/>
      <c r="AM51" s="10"/>
      <c r="AN51" s="10">
        <v>9037000</v>
      </c>
      <c r="AO51" s="10"/>
      <c r="AP51" s="10"/>
      <c r="AQ51" s="10"/>
      <c r="AR51" s="10">
        <v>2138000</v>
      </c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9">
        <v>95000000</v>
      </c>
      <c r="BF51" s="9"/>
      <c r="BG51" s="9"/>
      <c r="BH51" s="9"/>
      <c r="BI51" s="9">
        <f>SUM(M51,N51,Q51,R51,S51,T51,U51,V51,W51,X51,Y51,Z51,AA51,AB51,AC51,AD51,AE51,AF51,AG51,AH51,AI51,AJ51,AK51,AL51,AM51,AN51,AO51,AP51,AQ51,AR51,AS51,AT51,AU51,AV51,AW51,AX51,AY51,AZ51,BA51,BB51,BC51,BD51,BE51,BF51,BG51,BH51)</f>
      </c>
      <c r="BJ51" s="9">
        <f>I51-BI51</f>
      </c>
      <c r="BK51" s="9">
        <f>BJ51-BL51-BM51-BN51-BO51</f>
      </c>
      <c r="BL51" s="9"/>
      <c r="BM51" s="9"/>
      <c r="BN51" s="9"/>
      <c r="BO51" s="9"/>
      <c r="BP51" s="8"/>
      <c r="BQ51" t="inlineStr" s="8">
        <is>
          <t>2023-08-28</t>
        </is>
      </c>
      <c r="BR51" t="inlineStr" s="8">
        <is>
          <t>2023-11-30</t>
        </is>
      </c>
      <c r="BS51" s="8"/>
      <c r="BT51" s="8"/>
      <c r="BU51" s="8"/>
      <c r="BV51" s="8"/>
      <c r="BW51" s="8"/>
      <c r="BX51" s="8"/>
      <c r="BY51" s="8"/>
      <c r="BZ51" s="9"/>
      <c r="CA51" s="9"/>
      <c r="CB51" t="inlineStr" s="8">
        <is>
          <t>3166153147</t>
        </is>
      </c>
      <c r="CC51" t="inlineStr" s="8">
        <is>
          <t>green.raj.73462822@example.com</t>
        </is>
      </c>
      <c r="CD51" t="inlineStr" s="8">
        <is>
          <t>MOUSE MICKEY CEL: 3166154435</t>
        </is>
      </c>
      <c r="CE51" s="8"/>
    </row>
    <row r="52" ht="12.75" customHeight="1">
      <c r="A52" t="inlineStr" s="8">
        <is>
          <t>60007919078871</t>
        </is>
      </c>
      <c r="B52" s="8"/>
      <c r="C52" t="inlineStr" s="8">
        <is>
          <t>706</t>
        </is>
      </c>
      <c r="D52" s="9">
        <v>55.20</v>
      </c>
      <c r="E52" t="inlineStr" s="8">
        <is>
          <t>73477730</t>
        </is>
      </c>
      <c r="F52" t="inlineStr" s="8">
        <is>
          <t>BROWN JERRY</t>
        </is>
      </c>
      <c r="G52" s="8"/>
      <c r="H52" t="inlineStr" s="8">
        <is>
          <t>BANCO CAJA SOCIAL</t>
        </is>
      </c>
      <c r="I52" s="9">
        <v>192172500.00</v>
      </c>
      <c r="J52" t="inlineStr" s="8">
        <is>
          <t>NCR3613 - NCR3614 - NCR3615 - NCR3620CR</t>
        </is>
      </c>
      <c r="K52" t="inlineStr" s="8">
        <is>
          <t>NCR3616 - NCR3618 - NCR3619 - NCR3617</t>
        </is>
      </c>
      <c r="L52" t="inlineStr" s="8">
        <is>
          <t>ABR.27/22F - MAR.14/23F - MAY.10/23F - JUL.14/23 - JUL.23/23 - NOV.7/23 - NOV.12/23F</t>
        </is>
      </c>
      <c r="M52" s="9">
        <f>1049000+281000+251000</f>
      </c>
      <c r="N52" s="9"/>
      <c r="O52" t="inlineStr" s="8">
        <is>
          <t>AGO.21/22</t>
        </is>
      </c>
      <c r="P52" s="8"/>
      <c r="Q52" s="10"/>
      <c r="R52" s="10"/>
      <c r="S52" s="10">
        <v>266000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723000</v>
      </c>
      <c r="AE52" s="10"/>
      <c r="AF52" s="10">
        <v>75000</v>
      </c>
      <c r="AG52" s="10"/>
      <c r="AH52" s="10"/>
      <c r="AI52" s="10"/>
      <c r="AJ52" s="10"/>
      <c r="AK52" s="10"/>
      <c r="AL52" s="10">
        <v>1102000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>
        <v>65000000</v>
      </c>
      <c r="BF52" s="9"/>
      <c r="BG52" s="9"/>
      <c r="BH52" s="9"/>
      <c r="BI52" s="9">
        <f>SUM(M52,N52,Q52,R52,S52,T52,U52,V52,W52,X52,Y52,Z52,AA52,AB52,AC52,AD52,AE52,AF52,AG52,AH52,AI52,AJ52,AK52,AL52,AM52,AN52,AO52,AP52,AQ52,AR52,AS52,AT52,AU52,AV52,AW52,AX52,AY52,AZ52,BA52,BB52,BC52,BD52,BE52,BF52,BG52,BH52)</f>
      </c>
      <c r="BJ52" s="9">
        <f>I52-BI52</f>
      </c>
      <c r="BK52" s="9">
        <f>BJ52-BL52-BM52-BN52-BO52</f>
      </c>
      <c r="BL52" s="9"/>
      <c r="BM52" s="9"/>
      <c r="BN52" s="9"/>
      <c r="BO52" s="9"/>
      <c r="BP52" s="8"/>
      <c r="BQ52" t="inlineStr" s="8">
        <is>
          <t>2022-06-18</t>
        </is>
      </c>
      <c r="BR52" t="inlineStr" s="8">
        <is>
          <t>2022-07-08</t>
        </is>
      </c>
      <c r="BS52" s="8"/>
      <c r="BT52" s="8"/>
      <c r="BU52" s="8"/>
      <c r="BV52" s="8"/>
      <c r="BW52" s="8"/>
      <c r="BX52" s="8"/>
      <c r="BY52" s="8"/>
      <c r="BZ52" s="9"/>
      <c r="CA52" s="9"/>
      <c r="CB52" t="inlineStr" s="8">
        <is>
          <t>3166155163</t>
        </is>
      </c>
      <c r="CC52" t="inlineStr" s="8">
        <is>
          <t>brown.jerry.73477730@example.com</t>
        </is>
      </c>
      <c r="CD52" t="inlineStr" s="8">
        <is>
          <t>DUCK DAFFY CEL: 3166155906</t>
        </is>
      </c>
      <c r="CE52" s="8"/>
    </row>
    <row r="53" ht="12.75" customHeight="1">
      <c r="A53" s="8"/>
      <c r="B53" s="8"/>
      <c r="C53" t="inlineStr" s="8">
        <is>
          <t>707</t>
        </is>
      </c>
      <c r="D53" s="9">
        <v>55.20</v>
      </c>
      <c r="E53" s="8"/>
      <c r="F53" s="8"/>
      <c r="G53" s="8"/>
      <c r="H53" s="8"/>
      <c r="I53" s="9">
        <v>192172500.00</v>
      </c>
      <c r="J53" s="8"/>
      <c r="K53" s="8"/>
      <c r="L53" s="8"/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9"/>
      <c r="CA53" s="9"/>
      <c r="CB53" s="8"/>
      <c r="CC53" s="8"/>
      <c r="CD53" s="8"/>
      <c r="CE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9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9">
        <f>SUM(BZ5:BZ53)</f>
      </c>
      <c r="CA54" s="9">
        <f>SUM(CA5:CA53)</f>
      </c>
      <c r="CB54" s="8"/>
      <c r="CC54" s="8"/>
      <c r="CD54" s="8"/>
      <c r="CE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8"/>
      <c r="CC55" s="8"/>
      <c r="CD55" s="8"/>
      <c r="CE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9">
        <f>SUM(BE5:BE53)</f>
      </c>
      <c r="BF56" s="9">
        <f>SUM(BF5:BF53)</f>
      </c>
      <c r="BG56" s="9">
        <f>SUM(BG5:BG53)</f>
      </c>
      <c r="BH56" s="9"/>
      <c r="BI56" s="9">
        <f>SUM(BI5:BI53)</f>
      </c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9">
        <f>SUM(BZ5:BZ53)</f>
      </c>
      <c r="CA56" s="9">
        <f>SUM(CA5:CA53)</f>
      </c>
      <c r="CB56" s="8"/>
      <c r="CC56" s="8"/>
      <c r="CD56" s="8"/>
      <c r="CE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3.7" customHeight="1">
      <c r="A59" t="inlineStr" s="8">
        <is>
          <t>60007919076547</t>
        </is>
      </c>
      <c r="B59" t="inlineStr" s="8">
        <is>
          <t>60007919076561</t>
        </is>
      </c>
      <c r="C59" t="inlineStr" s="8">
        <is>
          <t>501</t>
        </is>
      </c>
      <c r="D59" s="9">
        <v>55.20</v>
      </c>
      <c r="E59" t="inlineStr" s="8">
        <is>
          <t>73296551</t>
        </is>
      </c>
      <c r="F59" t="inlineStr" s="8">
        <is>
          <t>WAYNE MICHAEL</t>
        </is>
      </c>
      <c r="G59" t="inlineStr" s="8">
        <is>
          <t>*TRASLADO</t>
        </is>
      </c>
      <c r="H59" t="inlineStr" s="8">
        <is>
          <t>BBVA</t>
        </is>
      </c>
      <c r="I59" s="9">
        <v>192172500.00</v>
      </c>
      <c r="J59" s="8"/>
      <c r="K59" s="8"/>
      <c r="L59" t="inlineStr" s="8">
        <is>
          <t>2022-08-02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9"/>
      <c r="BF59" s="9"/>
      <c r="BG59" s="9"/>
      <c r="BH59" s="9"/>
      <c r="BI59" s="9">
        <f>SUM(M59,N59,Q59,R59,S59,T59,U59,V59,W59,X59,Y59,Z59,AA59,AB59,AC59,AD59,AE59,AF59,AG59,AH59,AI59,AJ59,AK59,AL59,AM59,AN59,AO59,AP59,AQ59,AR59,AS59,AT59,AU59,AV59,AW59,AX59,AY59,AZ59,BA59,BB59,BC59,BD59,BE59,BF59,BG59,BH59)</f>
      </c>
      <c r="BJ59" s="9">
        <f>I59-BI59</f>
      </c>
      <c r="BK59" s="9">
        <f>BJ59-BL59-BM59-BN59-BO59</f>
      </c>
      <c r="BL59" s="9"/>
      <c r="BM59" s="9"/>
      <c r="BN59" s="9"/>
      <c r="BO59" s="9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t="inlineStr" s="8">
        <is>
          <t>3166128174</t>
        </is>
      </c>
      <c r="CC59" t="inlineStr" s="8">
        <is>
          <t>wayne.michael.73296551@example.com</t>
        </is>
      </c>
      <c r="CD59" t="inlineStr" s="8">
        <is>
          <t>FLINTSTONE FRED CEL: 3166128634</t>
        </is>
      </c>
      <c r="CE59" t="inlineStr" s="8">
        <is>
          <t>NC3436 AGO.2/22 TRASLADO DE MICHAEL WAYNE A FRODO MALFOY *ANTIC $25.000.000 *ARRAS $4'640</t>
        </is>
      </c>
    </row>
    <row r="60" ht="13.7" customHeight="1">
      <c r="A60" t="inlineStr" s="8">
        <is>
          <t>60007919076561</t>
        </is>
      </c>
      <c r="B60" s="8"/>
      <c r="C60" t="inlineStr" s="8">
        <is>
          <t>501</t>
        </is>
      </c>
      <c r="D60" s="9">
        <v>55.20</v>
      </c>
      <c r="E60" t="inlineStr" s="8">
        <is>
          <t>73305429</t>
        </is>
      </c>
      <c r="F60" t="inlineStr" s="8">
        <is>
          <t>MALFOY FRODO</t>
        </is>
      </c>
      <c r="G60" t="inlineStr" s="8">
        <is>
          <t>*TRASLADO</t>
        </is>
      </c>
      <c r="H60" t="inlineStr" s="8">
        <is>
          <t>BBVA</t>
        </is>
      </c>
      <c r="I60" s="9">
        <v>192172500.00</v>
      </c>
      <c r="J60" t="inlineStr" s="8">
        <is>
          <t>NC3436TRASLADO - NCR3442CR</t>
        </is>
      </c>
      <c r="K60" t="inlineStr" s="8">
        <is>
          <t>NCR3441 - NCR3440 - NCR3437 - NCR3439 - NCR3438</t>
        </is>
      </c>
      <c r="L60" t="inlineStr" s="8">
        <is>
          <t>2022-08-02</t>
        </is>
      </c>
      <c r="M60" s="9"/>
      <c r="N60" s="9">
        <v>25000000</v>
      </c>
      <c r="O60" t="inlineStr" s="8">
        <is>
          <t>ENE.30/23</t>
        </is>
      </c>
      <c r="P60" s="8"/>
      <c r="Q60" s="10">
        <f>17173000+1046000+5928000+15691000</f>
      </c>
      <c r="R60" s="10">
        <v>47334500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>
        <v>65000000</v>
      </c>
      <c r="BF60" s="9"/>
      <c r="BG60" s="9"/>
      <c r="BH60" s="9"/>
      <c r="BI60" s="9">
        <f>SUM(M60,N60,Q60,R60,S60,T60,U60,V60,W60,X60,Y60,Z60,AA60,AB60,AC60,AD60,AE60,AF60,AG60,AH60,AI60,AJ60,AK60,AL60,AM60,AN60,AO60,AP60,AQ60,AR60,AS60,AT60,AU60,AV60,AW60,AX60,AY60,AZ60,BA60,BB60,BC60,BD60,BE60,BF60,BG60,BH60)</f>
      </c>
      <c r="BJ60" s="9">
        <f>I60-BI60</f>
      </c>
      <c r="BK60" s="9">
        <f>BJ60-BL60-BM60-BN60-BO60</f>
      </c>
      <c r="BL60" s="9"/>
      <c r="BM60" s="9"/>
      <c r="BN60" s="9"/>
      <c r="BO60" s="9"/>
      <c r="BP60" s="8"/>
      <c r="BQ60" t="inlineStr" s="8">
        <is>
          <t>2022-03-20</t>
        </is>
      </c>
      <c r="BR60" t="inlineStr" s="8">
        <is>
          <t>2022-07-07</t>
        </is>
      </c>
      <c r="BS60" s="8"/>
      <c r="BT60" s="8"/>
      <c r="BU60" s="8"/>
      <c r="BV60" s="8"/>
      <c r="BW60" s="8"/>
      <c r="BX60" s="8"/>
      <c r="BY60" s="8"/>
      <c r="BZ60" s="9"/>
      <c r="CA60" s="9"/>
      <c r="CB60" t="inlineStr" s="8">
        <is>
          <t>3166128450</t>
        </is>
      </c>
      <c r="CC60" t="inlineStr" s="8">
        <is>
          <t>malfoy.frodo.73305429@example.com</t>
        </is>
      </c>
      <c r="CD60" t="inlineStr" s="8">
        <is>
          <t>FLINTSTONE FRED CEL: 3166128634</t>
        </is>
      </c>
      <c r="CE60" t="inlineStr" s="8">
        <is>
          <t>NC3436 AGO.2/22 TRASLADO DE MICHAEL WAYNE A FRODO MALFOY *ANTIC $25.000.000 *ARRAS $4'640</t>
        </is>
      </c>
    </row>
    <row r="61" ht="13.7" customHeight="1">
      <c r="A61" t="inlineStr" s="8">
        <is>
          <t>60007919074965</t>
        </is>
      </c>
      <c r="B61" s="8"/>
      <c r="C61" t="inlineStr" s="8">
        <is>
          <t>207</t>
        </is>
      </c>
      <c r="D61" s="9">
        <v>55.20</v>
      </c>
      <c r="E61" t="inlineStr" s="8">
        <is>
          <t>73173329</t>
        </is>
      </c>
      <c r="F61" t="inlineStr" s="8">
        <is>
          <t>HENDERSON SPONGEBOB</t>
        </is>
      </c>
      <c r="G61" t="inlineStr" s="8">
        <is>
          <t>*CESION/ARRAS</t>
        </is>
      </c>
      <c r="H61" s="8"/>
      <c r="I61" s="9">
        <v>192172500.00</v>
      </c>
      <c r="J61" t="inlineStr" s="8">
        <is>
          <t>NC3241CESION</t>
        </is>
      </c>
      <c r="K61" t="inlineStr" s="8">
        <is>
          <t>NCR3249 - NCR3242 - NCR3243 - NCR3244 - NCR3248 - NCR3247 - NCR3250 - NCR3245 - NCR3246 - NCR3251</t>
        </is>
      </c>
      <c r="L61" t="inlineStr" s="8">
        <is>
          <t>2023-02-25</t>
        </is>
      </c>
      <c r="M61" s="9"/>
      <c r="N61" s="9">
        <v>12000000</v>
      </c>
      <c r="O61" s="8"/>
      <c r="P61" s="8"/>
      <c r="Q61" s="10"/>
      <c r="R61" s="10"/>
      <c r="S61" s="10"/>
      <c r="T61" s="10">
        <f>7102000+17178000+24113500</f>
      </c>
      <c r="U61" s="10">
        <v>10076000</v>
      </c>
      <c r="V61" s="10"/>
      <c r="W61" s="10"/>
      <c r="X61" s="10">
        <f>12223000+7433000+1817000</f>
      </c>
      <c r="Y61" s="10"/>
      <c r="Z61" s="10"/>
      <c r="AA61" s="10">
        <v>36999000</v>
      </c>
      <c r="AB61" s="10"/>
      <c r="AC61" s="10"/>
      <c r="AD61" s="10">
        <v>1487000</v>
      </c>
      <c r="AE61" s="10">
        <v>46744000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/>
      <c r="BF61" s="9"/>
      <c r="BG61" s="9"/>
      <c r="BH61" s="9"/>
      <c r="BI61" s="9">
        <f>SUM(M61,N61,Q61,R61,S61,T61,U61,V61,W61,X61,Y61,Z61,AA61,AB61,AC61,AD61,AE61,AF61,AG61,AH61,AI61,AJ61,AK61,AL61,AM61,AN61,AO61,AP61,AQ61,AR61,AS61,AT61,AU61,AV61,AW61,AX61,AY61,AZ61,BA61,BB61,BC61,BD61,BE61,BF61,BG61,BH61)</f>
      </c>
      <c r="BJ61" s="9">
        <f>I61-BI61</f>
      </c>
      <c r="BK61" s="9">
        <f>BJ61-BL61-BM61-BN61-BO61</f>
      </c>
      <c r="BL61" s="9"/>
      <c r="BM61" s="9"/>
      <c r="BN61" s="9"/>
      <c r="BO61" s="9"/>
      <c r="BP61" s="8"/>
      <c r="BQ61" t="inlineStr" s="8">
        <is>
          <t>2022-05-02</t>
        </is>
      </c>
      <c r="BR61" t="inlineStr" s="8">
        <is>
          <t>2022-06-07</t>
        </is>
      </c>
      <c r="BS61" s="8"/>
      <c r="BT61" s="8"/>
      <c r="BU61" s="8"/>
      <c r="BV61" s="8"/>
      <c r="BW61" s="8"/>
      <c r="BX61" s="8"/>
      <c r="BY61" s="8"/>
      <c r="BZ61" s="9"/>
      <c r="CA61" s="9"/>
      <c r="CB61" t="inlineStr" s="8">
        <is>
          <t>3166104190</t>
        </is>
      </c>
      <c r="CC61" t="inlineStr" s="8">
        <is>
          <t>henderson.spongebob.73173329@example.com</t>
        </is>
      </c>
      <c r="CD61" t="inlineStr" s="8">
        <is>
          <t>DUCK DAFFY CEL: 3166105528</t>
        </is>
      </c>
      <c r="CE61" t="inlineStr" s="8">
        <is>
          <t>NC3241 FEB.25/23 CESION DE SPONGEBOB HENDERSON A JOHN ROMANOFF *ANTIC $12.000.000 *ARRAS $4'640</t>
        </is>
      </c>
    </row>
    <row r="62" ht="13.7" customHeight="1">
      <c r="A62" t="inlineStr" s="8">
        <is>
          <t>60007919074965</t>
        </is>
      </c>
      <c r="B62" s="8"/>
      <c r="C62" t="inlineStr" s="8">
        <is>
          <t>207</t>
        </is>
      </c>
      <c r="D62" s="9">
        <v>55.20</v>
      </c>
      <c r="E62" t="inlineStr" s="8">
        <is>
          <t>73178187</t>
        </is>
      </c>
      <c r="F62" t="inlineStr" s="8">
        <is>
          <t>ROMANOFF JOHN</t>
        </is>
      </c>
      <c r="G62" t="inlineStr" s="8">
        <is>
          <t>*CESION/ARRAS</t>
        </is>
      </c>
      <c r="H62" s="8"/>
      <c r="I62" s="9">
        <v>192172500.00</v>
      </c>
      <c r="J62" t="inlineStr" s="8">
        <is>
          <t>NC3241CESION</t>
        </is>
      </c>
      <c r="K62" t="inlineStr" s="8">
        <is>
          <t>NCR3249 - NCR3242 - NCR3243 - NCR3244 - NCR3248 - NCR3247 - NCR3250 - NCR3245 - NCR3246 - NCR3251</t>
        </is>
      </c>
      <c r="L62" t="inlineStr" s="8">
        <is>
          <t>2023-02-25</t>
        </is>
      </c>
      <c r="M62" s="9"/>
      <c r="N62" s="9">
        <v>12000000</v>
      </c>
      <c r="O62" s="8"/>
      <c r="P62" s="8"/>
      <c r="Q62" s="10"/>
      <c r="R62" s="10"/>
      <c r="S62" s="10"/>
      <c r="T62" s="10">
        <f>7102000+17178000+24113500</f>
      </c>
      <c r="U62" s="10">
        <v>10076000</v>
      </c>
      <c r="V62" s="10"/>
      <c r="W62" s="10"/>
      <c r="X62" s="10">
        <f>12223000+7433000+1817000</f>
      </c>
      <c r="Y62" s="10"/>
      <c r="Z62" s="10"/>
      <c r="AA62" s="10">
        <v>36999000</v>
      </c>
      <c r="AB62" s="10"/>
      <c r="AC62" s="10"/>
      <c r="AD62" s="10">
        <v>1487000</v>
      </c>
      <c r="AE62" s="10">
        <v>46744000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9"/>
      <c r="BF62" s="9"/>
      <c r="BG62" s="9"/>
      <c r="BH62" s="9"/>
      <c r="BI62" s="9">
        <f>SUM(M62,N62,Q62,R62,S62,T62,U62,V62,W62,X62,Y62,Z62,AA62,AB62,AC62,AD62,AE62,AF62,AG62,AH62,AI62,AJ62,AK62,AL62,AM62,AN62,AO62,AP62,AQ62,AR62,AS62,AT62,AU62,AV62,AW62,AX62,AY62,AZ62,BA62,BB62,BC62,BD62,BE62,BF62,BG62,BH62)</f>
      </c>
      <c r="BJ62" s="9">
        <f>I62-BI62</f>
      </c>
      <c r="BK62" s="9">
        <f>BJ62-BL62-BM62-BN62-BO62</f>
      </c>
      <c r="BL62" s="9"/>
      <c r="BM62" s="9"/>
      <c r="BN62" s="9"/>
      <c r="BO62" s="9"/>
      <c r="BP62" s="8"/>
      <c r="BQ62" t="inlineStr" s="8">
        <is>
          <t>2022-05-02</t>
        </is>
      </c>
      <c r="BR62" t="inlineStr" s="8">
        <is>
          <t>2022-06-07</t>
        </is>
      </c>
      <c r="BS62" s="8"/>
      <c r="BT62" s="8"/>
      <c r="BU62" s="8"/>
      <c r="BV62" s="8"/>
      <c r="BW62" s="8"/>
      <c r="BX62" s="8"/>
      <c r="BY62" s="8"/>
      <c r="BZ62" s="9"/>
      <c r="CA62" s="9"/>
      <c r="CB62" t="inlineStr" s="8">
        <is>
          <t>3166105043</t>
        </is>
      </c>
      <c r="CC62" t="inlineStr" s="8">
        <is>
          <t>romanoff.john.73178187@example.com</t>
        </is>
      </c>
      <c r="CD62" t="inlineStr" s="8">
        <is>
          <t>DUCK DAFFY CEL: 3166105528</t>
        </is>
      </c>
      <c r="CE62" t="inlineStr" s="8">
        <is>
          <t>NC3241 FEB.25/23 CESION DE SPONGEBOB HENDERSON A JOHN ROMANOFF *ANTIC $12.000.000 *ARRAS $4'640</t>
        </is>
      </c>
    </row>
    <row r="63" ht="13.7" customHeight="1">
      <c r="A63" t="inlineStr" s="8">
        <is>
          <t>60007919073543</t>
        </is>
      </c>
      <c r="B63" t="inlineStr" s="8">
        <is>
          <t>60007919073625</t>
        </is>
      </c>
      <c r="C63" t="inlineStr" s="8">
        <is>
          <t>101</t>
        </is>
      </c>
      <c r="D63" s="9">
        <v>55.20</v>
      </c>
      <c r="E63" t="inlineStr" s="8">
        <is>
          <t>73048739</t>
        </is>
      </c>
      <c r="F63" t="inlineStr" s="8">
        <is>
          <t>TENTACLES HOWARD</t>
        </is>
      </c>
      <c r="G63" t="inlineStr" s="8">
        <is>
          <t>*CESION/ARRAS</t>
        </is>
      </c>
      <c r="H63" s="8"/>
      <c r="I63" s="9">
        <v>192172500.00</v>
      </c>
      <c r="J63" s="8"/>
      <c r="K63" s="8"/>
      <c r="L63" t="inlineStr" s="8">
        <is>
          <t>2023-05-03</t>
        </is>
      </c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/>
      <c r="BF63" s="9"/>
      <c r="BG63" s="9"/>
      <c r="BH63" s="9"/>
      <c r="BI63" s="9">
        <f>SUM(M63,N63,Q63,R63,S63,T63,U63,V63,W63,X63,Y63,Z63,AA63,AB63,AC63,AD63,AE63,AF63,AG63,AH63,AI63,AJ63,AK63,AL63,AM63,AN63,AO63,AP63,AQ63,AR63,AS63,AT63,AU63,AV63,AW63,AX63,AY63,AZ63,BA63,BB63,BC63,BD63,BE63,BF63,BG63,BH63)</f>
      </c>
      <c r="BJ63" s="9">
        <f>I63-BI63</f>
      </c>
      <c r="BK63" s="9">
        <f>BJ63-BL63-BM63-BN63-BO63</f>
      </c>
      <c r="BL63" s="9"/>
      <c r="BM63" s="9"/>
      <c r="BN63" s="9"/>
      <c r="BO63" s="9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t="inlineStr" s="8">
        <is>
          <t>3166088985</t>
        </is>
      </c>
      <c r="CC63" t="inlineStr" s="8">
        <is>
          <t>tentacles.howard.73048739@example.com</t>
        </is>
      </c>
      <c r="CD63" t="inlineStr" s="8">
        <is>
          <t>JETSON GEORGE CEL: 3166089652</t>
        </is>
      </c>
      <c r="CE63" t="inlineStr" s="8">
        <is>
          <t>NC3082 MAY.3/23 CESION DE HOWARD TENTACLES A SANDY PARKER *ANTIC $15.000.000 *ARRAS $4'640</t>
        </is>
      </c>
    </row>
    <row r="64" ht="13.7" customHeight="1">
      <c r="A64" t="inlineStr" s="8">
        <is>
          <t>60007919073625</t>
        </is>
      </c>
      <c r="B64" s="8"/>
      <c r="C64" t="inlineStr" s="8">
        <is>
          <t>101</t>
        </is>
      </c>
      <c r="D64" s="9">
        <v>55.20</v>
      </c>
      <c r="E64" t="inlineStr" s="8">
        <is>
          <t>73056859</t>
        </is>
      </c>
      <c r="F64" t="inlineStr" s="8">
        <is>
          <t>PARKER SANDY</t>
        </is>
      </c>
      <c r="G64" t="inlineStr" s="8">
        <is>
          <t>*CESION/ARRAS</t>
        </is>
      </c>
      <c r="H64" s="8"/>
      <c r="I64" s="9">
        <v>192172500.00</v>
      </c>
      <c r="J64" t="inlineStr" s="8">
        <is>
          <t>NCR3089 - NCR3096 - NCR3086 - NCR3087 - NC3082CESION</t>
        </is>
      </c>
      <c r="K64" t="inlineStr" s="8">
        <is>
          <t>NCR3083 - NCR3085 - NCR3093 - NCR3088 - NCR3095 - NCR3092 - NCR3091 - NCR3090 - NCR3084 - NCR3094</t>
        </is>
      </c>
      <c r="L64" t="inlineStr" s="8">
        <is>
          <t>2023-05-03</t>
        </is>
      </c>
      <c r="M64" s="9">
        <f>5847000+5492000+7264000+11340500</f>
      </c>
      <c r="N64" s="9">
        <v>15000000</v>
      </c>
      <c r="O64" s="8"/>
      <c r="P64" s="8"/>
      <c r="Q64" s="10"/>
      <c r="R64" s="10"/>
      <c r="S64" s="10"/>
      <c r="T64" s="10"/>
      <c r="U64" s="10"/>
      <c r="V64" s="10"/>
      <c r="W64" s="10"/>
      <c r="X64" s="10">
        <v>1417000</v>
      </c>
      <c r="Y64" s="10">
        <f>26930000+6378000</f>
      </c>
      <c r="Z64" s="10">
        <v>1417000</v>
      </c>
      <c r="AA64" s="10">
        <v>1595000</v>
      </c>
      <c r="AB64" s="10">
        <v>27462000</v>
      </c>
      <c r="AC64" s="10"/>
      <c r="AD64" s="10">
        <f>24981000+5315000</f>
      </c>
      <c r="AE64" s="10"/>
      <c r="AF64" s="10"/>
      <c r="AG64" s="10">
        <f>49254000+2480000</f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/>
      <c r="BF64" s="9"/>
      <c r="BG64" s="9"/>
      <c r="BH64" s="9"/>
      <c r="BI64" s="9">
        <f>SUM(M64,N64,Q64,R64,S64,T64,U64,V64,W64,X64,Y64,Z64,AA64,AB64,AC64,AD64,AE64,AF64,AG64,AH64,AI64,AJ64,AK64,AL64,AM64,AN64,AO64,AP64,AQ64,AR64,AS64,AT64,AU64,AV64,AW64,AX64,AY64,AZ64,BA64,BB64,BC64,BD64,BE64,BF64,BG64,BH64)</f>
      </c>
      <c r="BJ64" s="9">
        <f>I64-BI64</f>
      </c>
      <c r="BK64" s="9">
        <f>BJ64-BL64-BM64-BN64-BO64</f>
      </c>
      <c r="BL64" s="9"/>
      <c r="BM64" s="9"/>
      <c r="BN64" s="9"/>
      <c r="BO64" s="9"/>
      <c r="BP64" s="8"/>
      <c r="BQ64" t="inlineStr" s="8">
        <is>
          <t>2022-08-23</t>
        </is>
      </c>
      <c r="BR64" t="inlineStr" s="8">
        <is>
          <t>2022-11-26</t>
        </is>
      </c>
      <c r="BS64" t="inlineStr" s="8">
        <is>
          <t>2023-08-19</t>
        </is>
      </c>
      <c r="BT64" s="8"/>
      <c r="BU64" s="8"/>
      <c r="BV64" s="8"/>
      <c r="BW64" s="8"/>
      <c r="BX64" s="8"/>
      <c r="BY64" s="8"/>
      <c r="BZ64" s="9"/>
      <c r="CA64" s="9"/>
      <c r="CB64" t="inlineStr" s="8">
        <is>
          <t>3166089350</t>
        </is>
      </c>
      <c r="CC64" t="inlineStr" s="8">
        <is>
          <t>parker.sandy.73056859@example.com</t>
        </is>
      </c>
      <c r="CD64" t="inlineStr" s="8">
        <is>
          <t>JETSON GEORGE CEL: 3166089652</t>
        </is>
      </c>
      <c r="CE64" t="inlineStr" s="8">
        <is>
          <t>NC3082 MAY.3/23 CESION DE HOWARD TENTACLES A SANDY PARKER *ANTIC $15.000.000 *ARRAS $4'640</t>
        </is>
      </c>
    </row>
    <row r="65" ht="13.7" customHeight="1">
      <c r="A65" t="inlineStr" s="8">
        <is>
          <t>60007919078214</t>
        </is>
      </c>
      <c r="B65" s="8"/>
      <c r="C65" t="inlineStr" s="8">
        <is>
          <t>701</t>
        </is>
      </c>
      <c r="D65" s="9">
        <v>55.20</v>
      </c>
      <c r="E65" t="inlineStr" s="8">
        <is>
          <t>73444691</t>
        </is>
      </c>
      <c r="F65" t="inlineStr" s="8">
        <is>
          <t>GRANGER CLEVELAND</t>
        </is>
      </c>
      <c r="G65" t="inlineStr" s="8">
        <is>
          <t>*CESION/ARRAS</t>
        </is>
      </c>
      <c r="H65" t="inlineStr" s="8">
        <is>
          <t>BANCO CAJA SOCIAL</t>
        </is>
      </c>
      <c r="I65" s="9">
        <v>192172500.00</v>
      </c>
      <c r="J65" t="inlineStr" s="8">
        <is>
          <t>NC3553CESION - NCR3563CR</t>
        </is>
      </c>
      <c r="K65" t="inlineStr" s="8">
        <is>
          <t>NCR3555 - NCR3560 - NCR3559 - NCR3557 - NCR3562 - NCR3554 - NCR3561 - NCR3556 - NCR3558</t>
        </is>
      </c>
      <c r="L65" t="inlineStr" s="8">
        <is>
          <t>2023-05-18</t>
        </is>
      </c>
      <c r="M65" s="9"/>
      <c r="N65" s="9">
        <v>18000000</v>
      </c>
      <c r="O65" t="inlineStr" s="8">
        <is>
          <t>ABR.21/23</t>
        </is>
      </c>
      <c r="P65" s="8"/>
      <c r="Q65" s="10"/>
      <c r="R65" s="10"/>
      <c r="S65" s="10"/>
      <c r="T65" s="10"/>
      <c r="U65" s="10"/>
      <c r="V65" s="10"/>
      <c r="W65" s="10">
        <v>419000</v>
      </c>
      <c r="X65" s="10">
        <v>1724000</v>
      </c>
      <c r="Y65" s="10"/>
      <c r="Z65" s="10">
        <v>2581000</v>
      </c>
      <c r="AA65" s="10">
        <f>612334+1831000</f>
      </c>
      <c r="AB65" s="10"/>
      <c r="AC65" s="10">
        <f>117000+1091000</f>
      </c>
      <c r="AD65" s="10">
        <v>867000</v>
      </c>
      <c r="AE65" s="10">
        <v>497000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>
        <v>13869666</v>
      </c>
      <c r="BF65" s="9"/>
      <c r="BG65" s="9"/>
      <c r="BH65" s="9"/>
      <c r="BI65" s="9">
        <f>SUM(M65,N65,Q65,R65,S65,T65,U65,V65,W65,X65,Y65,Z65,AA65,AB65,AC65,AD65,AE65,AF65,AG65,AH65,AI65,AJ65,AK65,AL65,AM65,AN65,AO65,AP65,AQ65,AR65,AS65,AT65,AU65,AV65,AW65,AX65,AY65,AZ65,BA65,BB65,BC65,BD65,BE65,BF65,BG65,BH65)</f>
      </c>
      <c r="BJ65" s="9">
        <f>I65-BI65</f>
      </c>
      <c r="BK65" s="9">
        <f>BJ65-BL65-BM65-BN65-BO65</f>
      </c>
      <c r="BL65" s="9"/>
      <c r="BM65" s="9"/>
      <c r="BN65" s="9"/>
      <c r="BO65" s="9"/>
      <c r="BP65" s="8"/>
      <c r="BQ65" t="inlineStr" s="8">
        <is>
          <t>2022-10-08</t>
        </is>
      </c>
      <c r="BR65" t="inlineStr" s="8">
        <is>
          <t>2022-12-02</t>
        </is>
      </c>
      <c r="BS65" s="8"/>
      <c r="BT65" s="8"/>
      <c r="BU65" s="8"/>
      <c r="BV65" s="8"/>
      <c r="BW65" s="8"/>
      <c r="BX65" s="8"/>
      <c r="BY65" s="8"/>
      <c r="BZ65" s="9"/>
      <c r="CA65" s="9"/>
      <c r="CB65" t="inlineStr" s="8">
        <is>
          <t>3166147859</t>
        </is>
      </c>
      <c r="CC65" t="inlineStr" s="8">
        <is>
          <t>granger.cleveland.73444691@example.com</t>
        </is>
      </c>
      <c r="CD65" t="inlineStr" s="8">
        <is>
          <t>MOUSE MINNIE CEL: 3166148485</t>
        </is>
      </c>
      <c r="CE65" t="inlineStr" s="8">
        <is>
          <t>NC3553 MAY.18/23 CESION DE CLEVELAND GRANGER A RICK KENOBI *ANTIC $18.000.000 *ARRAS $4'640</t>
        </is>
      </c>
    </row>
    <row r="66" ht="13.7" customHeight="1">
      <c r="A66" t="inlineStr" s="8">
        <is>
          <t>60007919078214</t>
        </is>
      </c>
      <c r="B66" s="8"/>
      <c r="C66" t="inlineStr" s="8">
        <is>
          <t>701</t>
        </is>
      </c>
      <c r="D66" s="9">
        <v>55.20</v>
      </c>
      <c r="E66" t="inlineStr" s="8">
        <is>
          <t>73451394</t>
        </is>
      </c>
      <c r="F66" t="inlineStr" s="8">
        <is>
          <t>KENOBI RICK</t>
        </is>
      </c>
      <c r="G66" t="inlineStr" s="8">
        <is>
          <t>*CESION/ARRAS</t>
        </is>
      </c>
      <c r="H66" t="inlineStr" s="8">
        <is>
          <t>BANCO CAJA SOCIAL</t>
        </is>
      </c>
      <c r="I66" s="9">
        <v>192172500.00</v>
      </c>
      <c r="J66" t="inlineStr" s="8">
        <is>
          <t>NC3553CESION - NCR3563CR</t>
        </is>
      </c>
      <c r="K66" t="inlineStr" s="8">
        <is>
          <t>NCR3555 - NCR3560 - NCR3559 - NCR3557 - NCR3562 - NCR3554 - NCR3561 - NCR3556 - NCR3558</t>
        </is>
      </c>
      <c r="L66" t="inlineStr" s="8">
        <is>
          <t>2023-05-18</t>
        </is>
      </c>
      <c r="M66" s="9"/>
      <c r="N66" s="9">
        <v>18000000</v>
      </c>
      <c r="O66" t="inlineStr" s="8">
        <is>
          <t>ABR.21/23</t>
        </is>
      </c>
      <c r="P66" s="8"/>
      <c r="Q66" s="10"/>
      <c r="R66" s="10"/>
      <c r="S66" s="10"/>
      <c r="T66" s="10"/>
      <c r="U66" s="10"/>
      <c r="V66" s="10"/>
      <c r="W66" s="10">
        <v>419000</v>
      </c>
      <c r="X66" s="10">
        <v>1724000</v>
      </c>
      <c r="Y66" s="10"/>
      <c r="Z66" s="10">
        <v>2581000</v>
      </c>
      <c r="AA66" s="10">
        <f>612334+1831000</f>
      </c>
      <c r="AB66" s="10"/>
      <c r="AC66" s="10">
        <f>117000+1091000</f>
      </c>
      <c r="AD66" s="10">
        <v>867000</v>
      </c>
      <c r="AE66" s="10">
        <v>497000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>
        <v>13869666</v>
      </c>
      <c r="BF66" s="9"/>
      <c r="BG66" s="9"/>
      <c r="BH66" s="9"/>
      <c r="BI66" s="9">
        <f>SUM(M66,N66,Q66,R66,S66,T66,U66,V66,W66,X66,Y66,Z66,AA66,AB66,AC66,AD66,AE66,AF66,AG66,AH66,AI66,AJ66,AK66,AL66,AM66,AN66,AO66,AP66,AQ66,AR66,AS66,AT66,AU66,AV66,AW66,AX66,AY66,AZ66,BA66,BB66,BC66,BD66,BE66,BF66,BG66,BH66)</f>
      </c>
      <c r="BJ66" s="9">
        <f>I66-BI66</f>
      </c>
      <c r="BK66" s="9">
        <f>BJ66-BL66-BM66-BN66-BO66</f>
      </c>
      <c r="BL66" s="9"/>
      <c r="BM66" s="9"/>
      <c r="BN66" s="9"/>
      <c r="BO66" s="9"/>
      <c r="BP66" s="8"/>
      <c r="BQ66" t="inlineStr" s="8">
        <is>
          <t>2022-10-08</t>
        </is>
      </c>
      <c r="BR66" t="inlineStr" s="8">
        <is>
          <t>2022-12-02</t>
        </is>
      </c>
      <c r="BS66" s="8"/>
      <c r="BT66" s="8"/>
      <c r="BU66" s="8"/>
      <c r="BV66" s="8"/>
      <c r="BW66" s="8"/>
      <c r="BX66" s="8"/>
      <c r="BY66" s="8"/>
      <c r="BZ66" s="9"/>
      <c r="CA66" s="9"/>
      <c r="CB66" t="inlineStr" s="8">
        <is>
          <t>3166148350</t>
        </is>
      </c>
      <c r="CC66" t="inlineStr" s="8">
        <is>
          <t>kenobi.rick.73451394@example.com</t>
        </is>
      </c>
      <c r="CD66" t="inlineStr" s="8">
        <is>
          <t>MOUSE MINNIE CEL: 3166148485</t>
        </is>
      </c>
      <c r="CE66" t="inlineStr" s="8">
        <is>
          <t>NC3553 MAY.18/23 CESION DE CLEVELAND GRANGER A RICK KENOBI *ANTIC $18.000.000 *ARRAS $4'640</t>
        </is>
      </c>
    </row>
    <row r="67" ht="13.7" customHeight="1">
      <c r="A67" t="inlineStr" s="8">
        <is>
          <t>60007919075043</t>
        </is>
      </c>
      <c r="B67" s="8"/>
      <c r="C67" t="inlineStr" s="8">
        <is>
          <t>301</t>
        </is>
      </c>
      <c r="D67" s="9">
        <v>55.20</v>
      </c>
      <c r="E67" t="inlineStr" s="8">
        <is>
          <t>73179833</t>
        </is>
      </c>
      <c r="F67" t="inlineStr" s="8">
        <is>
          <t>HOFSTADTER MAX</t>
        </is>
      </c>
      <c r="G67" t="inlineStr" s="8">
        <is>
          <t>*INCLUSION</t>
        </is>
      </c>
      <c r="H67" s="8"/>
      <c r="I67" s="9">
        <v>192172500.00</v>
      </c>
      <c r="J67" s="8"/>
      <c r="K67" s="8"/>
      <c r="L67" t="inlineStr" s="8">
        <is>
          <t>2023-05-23</t>
        </is>
      </c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/>
      <c r="BF67" s="9"/>
      <c r="BG67" s="9"/>
      <c r="BH67" s="9"/>
      <c r="BI67" s="9">
        <f>SUM(M67,N67,Q67,R67,S67,T67,U67,V67,W67,X67,Y67,Z67,AA67,AB67,AC67,AD67,AE67,AF67,AG67,AH67,AI67,AJ67,AK67,AL67,AM67,AN67,AO67,AP67,AQ67,AR67,AS67,AT67,AU67,AV67,AW67,AX67,AY67,AZ67,BA67,BB67,BC67,BD67,BE67,BF67,BG67,BH67)</f>
      </c>
      <c r="BJ67" s="9">
        <f>I67-BI67</f>
      </c>
      <c r="BK67" s="9">
        <f>BJ67-BL67-BM67-BN67-BO67</f>
      </c>
      <c r="BL67" s="9"/>
      <c r="BM67" s="9"/>
      <c r="BN67" s="9"/>
      <c r="BO67" s="9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9"/>
      <c r="CA67" s="9"/>
      <c r="CB67" t="inlineStr" s="8">
        <is>
          <t>3166105706</t>
        </is>
      </c>
      <c r="CC67" t="inlineStr" s="8">
        <is>
          <t>hofstadter.max.73179833@example.com</t>
        </is>
      </c>
      <c r="CD67" t="inlineStr" s="8">
        <is>
          <t>MOUSE MICKEY CEL: 3166106561</t>
        </is>
      </c>
      <c r="CE67" t="inlineStr" s="8">
        <is>
          <t>NC3254 MAY.23/23 INCLUSION SHELDON STARK</t>
        </is>
      </c>
    </row>
    <row r="68" ht="13.7" customHeight="1">
      <c r="A68" t="inlineStr" s="8">
        <is>
          <t>60007919074474</t>
        </is>
      </c>
      <c r="B68" t="inlineStr" s="8">
        <is>
          <t>60007919074519</t>
        </is>
      </c>
      <c r="C68" t="inlineStr" s="8">
        <is>
          <t>201</t>
        </is>
      </c>
      <c r="D68" s="9">
        <v>55.20</v>
      </c>
      <c r="E68" t="inlineStr" s="8">
        <is>
          <t>73116720</t>
        </is>
      </c>
      <c r="F68" t="inlineStr" s="8">
        <is>
          <t>BING SPONGEBOB</t>
        </is>
      </c>
      <c r="G68" t="inlineStr" s="8">
        <is>
          <t>*CESION/ARRAS</t>
        </is>
      </c>
      <c r="H68" t="inlineStr" s="8">
        <is>
          <t>BBVA</t>
        </is>
      </c>
      <c r="I68" s="9">
        <v>192172500.00</v>
      </c>
      <c r="J68" s="8"/>
      <c r="K68" s="8"/>
      <c r="L68" t="inlineStr" s="8">
        <is>
          <t>2023-07-05</t>
        </is>
      </c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/>
      <c r="BF68" s="9"/>
      <c r="BG68" s="9"/>
      <c r="BH68" s="9"/>
      <c r="BI68" s="9">
        <f>SUM(M68,N68,Q68,R68,S68,T68,U68,V68,W68,X68,Y68,Z68,AA68,AB68,AC68,AD68,AE68,AF68,AG68,AH68,AI68,AJ68,AK68,AL68,AM68,AN68,AO68,AP68,AQ68,AR68,AS68,AT68,AU68,AV68,AW68,AX68,AY68,AZ68,BA68,BB68,BC68,BD68,BE68,BF68,BG68,BH68)</f>
      </c>
      <c r="BJ68" s="9">
        <f>I68-BI68</f>
      </c>
      <c r="BK68" s="9">
        <f>BJ68-BL68-BM68-BN68-BO68</f>
      </c>
      <c r="BL68" s="9"/>
      <c r="BM68" s="9"/>
      <c r="BN68" s="9"/>
      <c r="BO68" s="9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9"/>
      <c r="CA68" s="9"/>
      <c r="CB68" t="inlineStr" s="8">
        <is>
          <t>3166096881</t>
        </is>
      </c>
      <c r="CC68" t="inlineStr" s="8">
        <is>
          <t>bing.spongebob.73116720@example.com</t>
        </is>
      </c>
      <c r="CD68" t="inlineStr" s="8">
        <is>
          <t>PANTHER PINK CEL: 3166097546</t>
        </is>
      </c>
      <c r="CE68" t="inlineStr" s="8">
        <is>
          <t>NC3183 JUL.5/23 CESION DE SPONGEBOB BING A CHLOE KRABS *ANTIC $20.000.000 *ARRAS $4'640</t>
        </is>
      </c>
    </row>
    <row r="69" ht="13.7" customHeight="1">
      <c r="A69" t="inlineStr" s="8">
        <is>
          <t>60007919074519</t>
        </is>
      </c>
      <c r="B69" s="8"/>
      <c r="C69" t="inlineStr" s="8">
        <is>
          <t>201</t>
        </is>
      </c>
      <c r="D69" s="9">
        <v>55.20</v>
      </c>
      <c r="E69" t="inlineStr" s="8">
        <is>
          <t>73123251</t>
        </is>
      </c>
      <c r="F69" t="inlineStr" s="8">
        <is>
          <t>KRABS CHLOE</t>
        </is>
      </c>
      <c r="G69" t="inlineStr" s="8">
        <is>
          <t>*CESION/ARRAS</t>
        </is>
      </c>
      <c r="H69" t="inlineStr" s="8">
        <is>
          <t>BBVA</t>
        </is>
      </c>
      <c r="I69" s="9">
        <v>192172500.00</v>
      </c>
      <c r="J69" t="inlineStr" s="8">
        <is>
          <t>NC3183CESION - NCR3184CR</t>
        </is>
      </c>
      <c r="K69" s="8"/>
      <c r="L69" t="inlineStr" s="8">
        <is>
          <t>2023-07-05</t>
        </is>
      </c>
      <c r="M69" s="9"/>
      <c r="N69" s="9">
        <v>20000000</v>
      </c>
      <c r="O69" t="inlineStr" s="8">
        <is>
          <t>DIC.22/22</t>
        </is>
      </c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>
        <v>82750000</v>
      </c>
      <c r="BF69" s="9"/>
      <c r="BG69" s="9"/>
      <c r="BH69" s="9"/>
      <c r="BI69" s="9">
        <f>SUM(M69,N69,Q69,R69,S69,T69,U69,V69,W69,X69,Y69,Z69,AA69,AB69,AC69,AD69,AE69,AF69,AG69,AH69,AI69,AJ69,AK69,AL69,AM69,AN69,AO69,AP69,AQ69,AR69,AS69,AT69,AU69,AV69,AW69,AX69,AY69,AZ69,BA69,BB69,BC69,BD69,BE69,BF69,BG69,BH69)</f>
      </c>
      <c r="BJ69" s="9">
        <f>I69-BI69</f>
      </c>
      <c r="BK69" s="9">
        <f>BJ69-BL69-BM69-BN69-BO69</f>
      </c>
      <c r="BL69" s="9"/>
      <c r="BM69" s="9"/>
      <c r="BN69" s="9"/>
      <c r="BO69" s="9"/>
      <c r="BP69" s="8"/>
      <c r="BQ69" t="inlineStr" s="8">
        <is>
          <t>2022-09-20</t>
        </is>
      </c>
      <c r="BR69" t="inlineStr" s="8">
        <is>
          <t>2022-12-04</t>
        </is>
      </c>
      <c r="BS69" s="8"/>
      <c r="BT69" s="8"/>
      <c r="BU69" s="8"/>
      <c r="BV69" s="8"/>
      <c r="BW69" s="8"/>
      <c r="BX69" s="8"/>
      <c r="BY69" s="8"/>
      <c r="BZ69" s="9"/>
      <c r="CA69" s="9"/>
      <c r="CB69" t="inlineStr" s="8">
        <is>
          <t>3166097434</t>
        </is>
      </c>
      <c r="CC69" t="inlineStr" s="8">
        <is>
          <t>krabs.chloe.73123251@example.com</t>
        </is>
      </c>
      <c r="CD69" t="inlineStr" s="8">
        <is>
          <t>PANTHER PINK CEL: 3166097546</t>
        </is>
      </c>
      <c r="CE69" t="inlineStr" s="8">
        <is>
          <t>NC3183 JUL.5/23 CESION DE SPONGEBOB BING A CHLOE KRABS *ANTIC $20.000.000 *ARRAS $4'640</t>
        </is>
      </c>
    </row>
    <row r="70" ht="13.7" customHeight="1">
      <c r="A70" t="inlineStr" s="8">
        <is>
          <t>60007919075685</t>
        </is>
      </c>
      <c r="B70" t="inlineStr" s="8">
        <is>
          <t>60007919075711</t>
        </is>
      </c>
      <c r="C70" t="inlineStr" s="8">
        <is>
          <t>305</t>
        </is>
      </c>
      <c r="D70" s="9">
        <v>55.20</v>
      </c>
      <c r="E70" t="inlineStr" s="8">
        <is>
          <t>73216137</t>
        </is>
      </c>
      <c r="F70" t="inlineStr" s="8">
        <is>
          <t>BING BRUCE</t>
        </is>
      </c>
      <c r="G70" t="inlineStr" s="8">
        <is>
          <t>*CESION/ARRAS</t>
        </is>
      </c>
      <c r="H70" t="inlineStr" s="8">
        <is>
          <t>BANCOLOMBIA</t>
        </is>
      </c>
      <c r="I70" s="9">
        <v>192172500.00</v>
      </c>
      <c r="J70" s="8"/>
      <c r="K70" s="8"/>
      <c r="L70" t="inlineStr" s="8">
        <is>
          <t>2023-09-06</t>
        </is>
      </c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/>
      <c r="BF70" s="9"/>
      <c r="BG70" s="9"/>
      <c r="BH70" s="9"/>
      <c r="BI70" s="9">
        <f>SUM(M70,N70,Q70,R70,S70,T70,U70,V70,W70,X70,Y70,Z70,AA70,AB70,AC70,AD70,AE70,AF70,AG70,AH70,AI70,AJ70,AK70,AL70,AM70,AN70,AO70,AP70,AQ70,AR70,AS70,AT70,AU70,AV70,AW70,AX70,AY70,AZ70,BA70,BB70,BC70,BD70,BE70,BF70,BG70,BH70)</f>
      </c>
      <c r="BJ70" s="9">
        <f>I70-BI70</f>
      </c>
      <c r="BK70" s="9">
        <f>BJ70-BL70-BM70-BN70-BO70</f>
      </c>
      <c r="BL70" s="9"/>
      <c r="BM70" s="9"/>
      <c r="BN70" s="9"/>
      <c r="BO70" s="9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t="inlineStr" s="8">
        <is>
          <t>3166112050</t>
        </is>
      </c>
      <c r="CC70" t="inlineStr" s="8">
        <is>
          <t>bing.bruce.73216137@example.com</t>
        </is>
      </c>
      <c r="CD70" t="inlineStr" s="8">
        <is>
          <t>DUCK DAFFY CEL: 3166114206</t>
        </is>
      </c>
      <c r="CE70" t="inlineStr" s="8">
        <is>
          <t>NC3298 SEP.6/23 CESION DE BRUCE BING/CLARK BEESLY A CLINT GRANGER *ANTIC $12.000.000 *ARRAS $4'640</t>
        </is>
      </c>
    </row>
    <row r="71" ht="13.7" customHeight="1">
      <c r="A71" t="inlineStr" s="8">
        <is>
          <t>60007919075711</t>
        </is>
      </c>
      <c r="B71" s="8"/>
      <c r="C71" t="inlineStr" s="8">
        <is>
          <t>305</t>
        </is>
      </c>
      <c r="D71" s="9">
        <v>55.20</v>
      </c>
      <c r="E71" t="inlineStr" s="8">
        <is>
          <t>73222147</t>
        </is>
      </c>
      <c r="F71" t="inlineStr" s="8">
        <is>
          <t>GRANGER CLINT</t>
        </is>
      </c>
      <c r="G71" t="inlineStr" s="8">
        <is>
          <t>*CESION/ARRAS</t>
        </is>
      </c>
      <c r="H71" t="inlineStr" s="8">
        <is>
          <t>BANCOLOMBIA</t>
        </is>
      </c>
      <c r="I71" s="9">
        <v>192172500.00</v>
      </c>
      <c r="J71" t="inlineStr" s="8">
        <is>
          <t>NC3298CESION - NCR3308CR</t>
        </is>
      </c>
      <c r="K71" t="inlineStr" s="8">
        <is>
          <t>NCR3302 - NCR3307 - NCR3305 - NCR3300 - NCR3301 - NCR3304 - NCR3299 - NCR3303 - NCR3306</t>
        </is>
      </c>
      <c r="L71" t="inlineStr" s="8">
        <is>
          <t>2023-09-06</t>
        </is>
      </c>
      <c r="M71" s="9"/>
      <c r="N71" s="9">
        <v>12000000</v>
      </c>
      <c r="O71" t="inlineStr" s="8">
        <is>
          <t>NOV.27/22</t>
        </is>
      </c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>
        <v>2849000</v>
      </c>
      <c r="AA71" s="10">
        <f>100000+6507000</f>
      </c>
      <c r="AB71" s="10"/>
      <c r="AC71" s="10">
        <v>2324000</v>
      </c>
      <c r="AD71" s="10">
        <v>3638000</v>
      </c>
      <c r="AE71" s="10"/>
      <c r="AF71" s="10">
        <v>202000</v>
      </c>
      <c r="AG71" s="10"/>
      <c r="AH71" s="10"/>
      <c r="AI71" s="10"/>
      <c r="AJ71" s="10">
        <v>2041000</v>
      </c>
      <c r="AK71" s="10">
        <v>82667</v>
      </c>
      <c r="AL71" s="10">
        <v>2465000</v>
      </c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>
        <v>16104333</v>
      </c>
      <c r="BF71" s="9"/>
      <c r="BG71" s="9"/>
      <c r="BH71" s="9"/>
      <c r="BI71" s="9">
        <f>SUM(M71,N71,Q71,R71,S71,T71,U71,V71,W71,X71,Y71,Z71,AA71,AB71,AC71,AD71,AE71,AF71,AG71,AH71,AI71,AJ71,AK71,AL71,AM71,AN71,AO71,AP71,AQ71,AR71,AS71,AT71,AU71,AV71,AW71,AX71,AY71,AZ71,BA71,BB71,BC71,BD71,BE71,BF71,BG71,BH71)</f>
      </c>
      <c r="BJ71" s="9">
        <f>I71-BI71</f>
      </c>
      <c r="BK71" s="9">
        <f>BJ71-BL71-BM71-BN71-BO71</f>
      </c>
      <c r="BL71" s="9"/>
      <c r="BM71" s="9"/>
      <c r="BN71" s="9"/>
      <c r="BO71" s="9"/>
      <c r="BP71" s="8"/>
      <c r="BQ71" t="inlineStr" s="8">
        <is>
          <t>2022-07-25</t>
        </is>
      </c>
      <c r="BR71" t="inlineStr" s="8">
        <is>
          <t>2022-09-02</t>
        </is>
      </c>
      <c r="BS71" s="8"/>
      <c r="BT71" s="8"/>
      <c r="BU71" s="8"/>
      <c r="BV71" s="8"/>
      <c r="BW71" s="8"/>
      <c r="BX71" s="8"/>
      <c r="BY71" s="8"/>
      <c r="BZ71" s="9"/>
      <c r="CA71" s="9"/>
      <c r="CB71" t="inlineStr" s="8">
        <is>
          <t>3166113861</t>
        </is>
      </c>
      <c r="CC71" t="inlineStr" s="8">
        <is>
          <t>granger.clint.73222147@example.com</t>
        </is>
      </c>
      <c r="CD71" t="inlineStr" s="8">
        <is>
          <t>DUCK DAFFY CEL: 3166114206</t>
        </is>
      </c>
      <c r="CE71" t="inlineStr" s="8">
        <is>
          <t>NC3298 SEP.6/23 CESION DE BRUCE BING/CLARK BEESLY A CLINT GRANGER *ANTIC $12.000.000 *ARRAS $4'640</t>
        </is>
      </c>
    </row>
    <row r="72" ht="13.7" customHeight="1">
      <c r="A72" t="inlineStr" s="8">
        <is>
          <t>60007919076934</t>
        </is>
      </c>
      <c r="B72" s="8"/>
      <c r="C72" t="inlineStr" s="8">
        <is>
          <t>505</t>
        </is>
      </c>
      <c r="D72" s="9">
        <v>55.20</v>
      </c>
      <c r="E72" t="inlineStr" s="8">
        <is>
          <t>73341377</t>
        </is>
      </c>
      <c r="F72" t="inlineStr" s="8">
        <is>
          <t>WHEELER HERCULE</t>
        </is>
      </c>
      <c r="G72" t="inlineStr" s="8">
        <is>
          <t>*CESION/ARRAS</t>
        </is>
      </c>
      <c r="H72" t="inlineStr" s="8">
        <is>
          <t>BBVA</t>
        </is>
      </c>
      <c r="I72" s="9">
        <v>192172500.00</v>
      </c>
      <c r="J72" s="8"/>
      <c r="K72" s="8"/>
      <c r="L72" t="inlineStr" s="8">
        <is>
          <t>2023-11-10</t>
        </is>
      </c>
      <c r="M72" s="9"/>
      <c r="N72" s="9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/>
      <c r="BF72" s="9"/>
      <c r="BG72" s="9"/>
      <c r="BH72" s="9"/>
      <c r="BI72" s="9">
        <f>SUM(M72,N72,Q72,R72,S72,T72,U72,V72,W72,X72,Y72,Z72,AA72,AB72,AC72,AD72,AE72,AF72,AG72,AH72,AI72,AJ72,AK72,AL72,AM72,AN72,AO72,AP72,AQ72,AR72,AS72,AT72,AU72,AV72,AW72,AX72,AY72,AZ72,BA72,BB72,BC72,BD72,BE72,BF72,BG72,BH72)</f>
      </c>
      <c r="BJ72" s="9">
        <f>I72-BI72</f>
      </c>
      <c r="BK72" s="9">
        <f>BJ72-BL72-BM72-BN72-BO72</f>
      </c>
      <c r="BL72" s="9"/>
      <c r="BM72" s="9"/>
      <c r="BN72" s="9"/>
      <c r="BO72" s="9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t="inlineStr" s="8">
        <is>
          <t>3166131981</t>
        </is>
      </c>
      <c r="CC72" t="inlineStr" s="8">
        <is>
          <t>wheeler.hercule.73341377@example.com</t>
        </is>
      </c>
      <c r="CD72" t="inlineStr" s="8">
        <is>
          <t>FINN CEL: 3166133401</t>
        </is>
      </c>
      <c r="CE72" t="inlineStr" s="8">
        <is>
          <t>NC3471 NOV.10/23 CESION DE HERCULE WHEELER A STEVE TENTACLES/SAUL SKYWALKER *ANTIC $25.000.000 *ARRAS $4'640</t>
        </is>
      </c>
    </row>
    <row r="73" ht="13.7" customHeight="1">
      <c r="A73" t="inlineStr" s="8">
        <is>
          <t>60007919078688</t>
        </is>
      </c>
      <c r="B73" s="8"/>
      <c r="C73" t="inlineStr" s="8">
        <is>
          <t>705</t>
        </is>
      </c>
      <c r="D73" s="9">
        <v>55.20</v>
      </c>
      <c r="E73" t="inlineStr" s="8">
        <is>
          <t>73462822</t>
        </is>
      </c>
      <c r="F73" t="inlineStr" s="8">
        <is>
          <t>GREEN RAJ</t>
        </is>
      </c>
      <c r="G73" t="inlineStr" s="8">
        <is>
          <t>*INCLUSION</t>
        </is>
      </c>
      <c r="H73" t="inlineStr" s="8">
        <is>
          <t>BANCOLOMBIA</t>
        </is>
      </c>
      <c r="I73" s="9">
        <v>192172500.00</v>
      </c>
      <c r="J73" t="inlineStr" s="8">
        <is>
          <t>NCR3611 - NCR3609 - NCR3607 - NCR3608 - NCR3601 - NCR3603 - NCR3602 - NCR3600 - NCR3604 - NCR3612CR</t>
        </is>
      </c>
      <c r="K73" t="inlineStr" s="8">
        <is>
          <t>NCR3606 - NCR3605 - NCR3610</t>
        </is>
      </c>
      <c r="L73" t="inlineStr" s="8">
        <is>
          <t>2023-11-11</t>
        </is>
      </c>
      <c r="M73" s="9">
        <f>2720500+18463000+3790000+13507000+5733000+16033000+2235000+15353000+2721000</f>
      </c>
      <c r="N73" s="9"/>
      <c r="O73" t="inlineStr" s="8">
        <is>
          <t>ABR.6/24</t>
        </is>
      </c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>
        <v>5442000</v>
      </c>
      <c r="AL73" s="10"/>
      <c r="AM73" s="10"/>
      <c r="AN73" s="10">
        <v>9037000</v>
      </c>
      <c r="AO73" s="10"/>
      <c r="AP73" s="10"/>
      <c r="AQ73" s="10"/>
      <c r="AR73" s="10">
        <v>2138000</v>
      </c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9">
        <v>95000000</v>
      </c>
      <c r="BF73" s="9"/>
      <c r="BG73" s="9"/>
      <c r="BH73" s="9"/>
      <c r="BI73" s="9">
        <f>SUM(M73,N73,Q73,R73,S73,T73,U73,V73,W73,X73,Y73,Z73,AA73,AB73,AC73,AD73,AE73,AF73,AG73,AH73,AI73,AJ73,AK73,AL73,AM73,AN73,AO73,AP73,AQ73,AR73,AS73,AT73,AU73,AV73,AW73,AX73,AY73,AZ73,BA73,BB73,BC73,BD73,BE73,BF73,BG73,BH73)</f>
      </c>
      <c r="BJ73" s="9">
        <f>I73-BI73</f>
      </c>
      <c r="BK73" s="9">
        <f>BJ73-BL73-BM73-BN73-BO73</f>
      </c>
      <c r="BL73" s="9"/>
      <c r="BM73" s="9"/>
      <c r="BN73" s="9"/>
      <c r="BO73" s="9"/>
      <c r="BP73" s="8"/>
      <c r="BQ73" t="inlineStr" s="8">
        <is>
          <t>2023-08-28</t>
        </is>
      </c>
      <c r="BR73" t="inlineStr" s="8">
        <is>
          <t>2023-11-30</t>
        </is>
      </c>
      <c r="BS73" s="8"/>
      <c r="BT73" s="8"/>
      <c r="BU73" s="8"/>
      <c r="BV73" s="8"/>
      <c r="BW73" s="8"/>
      <c r="BX73" s="8"/>
      <c r="BY73" s="8"/>
      <c r="BZ73" s="9"/>
      <c r="CA73" s="9"/>
      <c r="CB73" t="inlineStr" s="8">
        <is>
          <t>3166153147</t>
        </is>
      </c>
      <c r="CC73" t="inlineStr" s="8">
        <is>
          <t>green.raj.73462822@example.com</t>
        </is>
      </c>
      <c r="CD73" t="inlineStr" s="8">
        <is>
          <t>MOUSE MICKEY CEL: 3166154435</t>
        </is>
      </c>
      <c r="CE73" t="inlineStr" s="8">
        <is>
          <t>NC3599 NOV.11/23 INCLUSION LUCAS HALPERT</t>
        </is>
      </c>
    </row>
    <row r="74" ht="13.7" customHeight="1">
      <c r="A74" t="inlineStr" s="8">
        <is>
          <t>60007919077983</t>
        </is>
      </c>
      <c r="B74" t="inlineStr" s="8">
        <is>
          <t>60007919078046</t>
        </is>
      </c>
      <c r="C74" t="inlineStr" s="8">
        <is>
          <t>606</t>
        </is>
      </c>
      <c r="D74" s="9">
        <v>55.20</v>
      </c>
      <c r="E74" t="inlineStr" s="8">
        <is>
          <t>73429803</t>
        </is>
      </c>
      <c r="F74" t="inlineStr" s="8">
        <is>
          <t>HOPPER LUNA</t>
        </is>
      </c>
      <c r="G74" t="inlineStr" s="8">
        <is>
          <t>*TRASLADO</t>
        </is>
      </c>
      <c r="H74" s="8"/>
      <c r="I74" s="9">
        <v>192172500.00</v>
      </c>
      <c r="J74" s="8"/>
      <c r="K74" s="8"/>
      <c r="L74" t="inlineStr" s="8">
        <is>
          <t>2023-12-06</t>
        </is>
      </c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/>
      <c r="BF74" s="9"/>
      <c r="BG74" s="9"/>
      <c r="BH74" s="9"/>
      <c r="BI74" s="9">
        <f>SUM(M74,N74,Q74,R74,S74,T74,U74,V74,W74,X74,Y74,Z74,AA74,AB74,AC74,AD74,AE74,AF74,AG74,AH74,AI74,AJ74,AK74,AL74,AM74,AN74,AO74,AP74,AQ74,AR74,AS74,AT74,AU74,AV74,AW74,AX74,AY74,AZ74,BA74,BB74,BC74,BD74,BE74,BF74,BG74,BH74)</f>
      </c>
      <c r="BJ74" s="9">
        <f>I74-BI74</f>
      </c>
      <c r="BK74" s="9">
        <f>BJ74-BL74-BM74-BN74-BO74</f>
      </c>
      <c r="BL74" s="9"/>
      <c r="BM74" s="9"/>
      <c r="BN74" s="9"/>
      <c r="BO74" s="9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9"/>
      <c r="CA74" s="9"/>
      <c r="CB74" t="inlineStr" s="8">
        <is>
          <t>3166144976</t>
        </is>
      </c>
      <c r="CC74" t="inlineStr" s="8">
        <is>
          <t>hopper.luna.73429803@example.com</t>
        </is>
      </c>
      <c r="CD74" t="inlineStr" s="8">
        <is>
          <t>FLINTSTONE FRED CEL: 3166146809</t>
        </is>
      </c>
      <c r="CE74" t="inlineStr" s="8">
        <is>
          <t>NC3535 DIC.6/23 TRASLADO DE LUNA HOPPER A TONY STAR *ANTIC $12.000.000 *ARRAS $4'640</t>
        </is>
      </c>
    </row>
    <row r="75" ht="13.7" customHeight="1">
      <c r="A75" t="inlineStr" s="8">
        <is>
          <t>60007919078046</t>
        </is>
      </c>
      <c r="B75" s="8"/>
      <c r="C75" t="inlineStr" s="8">
        <is>
          <t>606</t>
        </is>
      </c>
      <c r="D75" s="9">
        <v>55.20</v>
      </c>
      <c r="E75" t="inlineStr" s="8">
        <is>
          <t>73439033</t>
        </is>
      </c>
      <c r="F75" t="inlineStr" s="8">
        <is>
          <t>STAR TONY</t>
        </is>
      </c>
      <c r="G75" t="inlineStr" s="8">
        <is>
          <t>*TRASLADO</t>
        </is>
      </c>
      <c r="H75" s="8"/>
      <c r="I75" s="9">
        <v>192172500.00</v>
      </c>
      <c r="J75" t="inlineStr" s="8">
        <is>
          <t>NCR3545 - NC3535TRASLADO - NCR3544 - NCR3542 - NCR3541 - NCR3543 - NCR3548</t>
        </is>
      </c>
      <c r="K75" t="inlineStr" s="8">
        <is>
          <t>NCR3547 - NCR3539 - NCR3537 - NCR3538 - NCR3536 - NCR3546 - NCR3540 - NCR3549</t>
        </is>
      </c>
      <c r="L75" t="inlineStr" s="8">
        <is>
          <t>2023-12-06</t>
        </is>
      </c>
      <c r="M75" s="9">
        <f>168000+8293000+4272000+6869000+335000+13068000</f>
      </c>
      <c r="N75" s="9">
        <v>12000000</v>
      </c>
      <c r="O75" s="8"/>
      <c r="P75" s="8"/>
      <c r="Q75" s="10"/>
      <c r="R75" s="10"/>
      <c r="S75" s="10"/>
      <c r="T75" s="10">
        <v>4944000</v>
      </c>
      <c r="U75" s="10"/>
      <c r="V75" s="10">
        <v>23791000</v>
      </c>
      <c r="W75" s="10"/>
      <c r="X75" s="10">
        <v>1340000</v>
      </c>
      <c r="Y75" s="10">
        <f>335000+1340000+2764000</f>
      </c>
      <c r="Z75" s="10"/>
      <c r="AA75" s="10"/>
      <c r="AB75" s="10">
        <v>4942000</v>
      </c>
      <c r="AC75" s="10"/>
      <c r="AD75" s="10"/>
      <c r="AE75" s="10"/>
      <c r="AF75" s="10"/>
      <c r="AG75" s="10"/>
      <c r="AH75" s="10"/>
      <c r="AI75" s="10"/>
      <c r="AJ75" s="10"/>
      <c r="AK75" s="10">
        <v>11309000</v>
      </c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/>
      <c r="BF75" s="9"/>
      <c r="BG75" s="9"/>
      <c r="BH75" s="9"/>
      <c r="BI75" s="9">
        <f>SUM(M75,N75,Q75,R75,S75,T75,U75,V75,W75,X75,Y75,Z75,AA75,AB75,AC75,AD75,AE75,AF75,AG75,AH75,AI75,AJ75,AK75,AL75,AM75,AN75,AO75,AP75,AQ75,AR75,AS75,AT75,AU75,AV75,AW75,AX75,AY75,AZ75,BA75,BB75,BC75,BD75,BE75,BF75,BG75,BH75)</f>
      </c>
      <c r="BJ75" s="9">
        <f>I75-BI75</f>
      </c>
      <c r="BK75" s="9">
        <f>BJ75-BL75-BM75-BN75-BO75</f>
      </c>
      <c r="BL75" s="9"/>
      <c r="BM75" s="9"/>
      <c r="BN75" s="9"/>
      <c r="BO75" s="9"/>
      <c r="BP75" s="8"/>
      <c r="BQ75" t="inlineStr" s="8">
        <is>
          <t>2022-07-05</t>
        </is>
      </c>
      <c r="BR75" t="inlineStr" s="8">
        <is>
          <t>2022-09-27</t>
        </is>
      </c>
      <c r="BS75" s="8"/>
      <c r="BT75" s="8"/>
      <c r="BU75" s="8"/>
      <c r="BV75" s="8"/>
      <c r="BW75" s="8"/>
      <c r="BX75" s="8"/>
      <c r="BY75" s="8"/>
      <c r="BZ75" s="9"/>
      <c r="CA75" s="9"/>
      <c r="CB75" t="inlineStr" s="8">
        <is>
          <t>3166145903</t>
        </is>
      </c>
      <c r="CC75" t="inlineStr" s="8">
        <is>
          <t>star.tony.73439033@example.com</t>
        </is>
      </c>
      <c r="CD75" t="inlineStr" s="8">
        <is>
          <t>FLINTSTONE FRED CEL: 3166146809</t>
        </is>
      </c>
      <c r="CE75" t="inlineStr" s="8">
        <is>
          <t>NC3535 DIC.6/23 TRASLADO DE LUNA HOPPER A TONY STAR *ANTIC $12.000.000 *ARRAS $4'640</t>
        </is>
      </c>
    </row>
    <row r="76" ht="13.7" customHeight="1">
      <c r="A76" t="inlineStr" s="8">
        <is>
          <t>60007919077363</t>
        </is>
      </c>
      <c r="B76" t="inlineStr" s="8">
        <is>
          <t>60007919077426</t>
        </is>
      </c>
      <c r="C76" t="inlineStr" s="8">
        <is>
          <t>601</t>
        </is>
      </c>
      <c r="D76" s="9">
        <v>55.20</v>
      </c>
      <c r="E76" t="inlineStr" s="8">
        <is>
          <t>73378958</t>
        </is>
      </c>
      <c r="F76" t="inlineStr" s="8">
        <is>
          <t>FOWLER JON</t>
        </is>
      </c>
      <c r="G76" t="inlineStr" s="8">
        <is>
          <t>*CESION/ARRAS</t>
        </is>
      </c>
      <c r="H76" s="8"/>
      <c r="I76" s="9">
        <v>192172500.00</v>
      </c>
      <c r="J76" s="8"/>
      <c r="K76" s="8"/>
      <c r="L76" t="inlineStr" s="8">
        <is>
          <t>2024-01-10</t>
        </is>
      </c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/>
      <c r="BF76" s="9"/>
      <c r="BG76" s="9"/>
      <c r="BH76" s="9"/>
      <c r="BI76" s="9">
        <f>SUM(M76,N76,Q76,R76,S76,T76,U76,V76,W76,X76,Y76,Z76,AA76,AB76,AC76,AD76,AE76,AF76,AG76,AH76,AI76,AJ76,AK76,AL76,AM76,AN76,AO76,AP76,AQ76,AR76,AS76,AT76,AU76,AV76,AW76,AX76,AY76,AZ76,BA76,BB76,BC76,BD76,BE76,BF76,BG76,BH76)</f>
      </c>
      <c r="BJ76" s="9">
        <f>I76-BI76</f>
      </c>
      <c r="BK76" s="9">
        <f>BJ76-BL76-BM76-BN76-BO76</f>
      </c>
      <c r="BL76" s="9"/>
      <c r="BM76" s="9"/>
      <c r="BN76" s="9"/>
      <c r="BO76" s="9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t="inlineStr" s="8">
        <is>
          <t>3166137735</t>
        </is>
      </c>
      <c r="CC76" t="inlineStr" s="8">
        <is>
          <t>fowler.jon.73378958@example.com</t>
        </is>
      </c>
      <c r="CD76" t="inlineStr" s="8">
        <is>
          <t>PANTHER PINK CEL: 3166138342</t>
        </is>
      </c>
      <c r="CE76" t="inlineStr" s="8">
        <is>
          <t>NC3491 ENE.10/24 CESION DE JON FOWLER A MORTY SIMPSON *ANTIC $12.000.000 *ARRAS $4'640</t>
        </is>
      </c>
    </row>
    <row r="77" ht="13.7" customHeight="1">
      <c r="A77" t="inlineStr" s="8">
        <is>
          <t>60007919077426</t>
        </is>
      </c>
      <c r="B77" s="8"/>
      <c r="C77" t="inlineStr" s="8">
        <is>
          <t>601</t>
        </is>
      </c>
      <c r="D77" s="9">
        <v>55.20</v>
      </c>
      <c r="E77" t="inlineStr" s="8">
        <is>
          <t>73380832</t>
        </is>
      </c>
      <c r="F77" t="inlineStr" s="8">
        <is>
          <t>SIMPSON MORTY</t>
        </is>
      </c>
      <c r="G77" t="inlineStr" s="8">
        <is>
          <t>*CESION/ARRAS</t>
        </is>
      </c>
      <c r="H77" s="8"/>
      <c r="I77" s="9">
        <v>192172500.00</v>
      </c>
      <c r="J77" t="inlineStr" s="8">
        <is>
          <t>NC3491CESION - NCR3496 - NCR3499</t>
        </is>
      </c>
      <c r="K77" t="inlineStr" s="8">
        <is>
          <t>NCR3500 - NCR3498 - NCR3497 - NCR3493 - NCR3495 - NCR3494 - NCR3492</t>
        </is>
      </c>
      <c r="L77" t="inlineStr" s="8">
        <is>
          <t>2024-01-10</t>
        </is>
      </c>
      <c r="M77" s="9">
        <f>14600000+3690000</f>
      </c>
      <c r="N77" s="9">
        <v>12000000</v>
      </c>
      <c r="O77" s="8"/>
      <c r="P77" s="8"/>
      <c r="Q77" s="10"/>
      <c r="R77" s="10"/>
      <c r="S77" s="10"/>
      <c r="T77" s="10">
        <f>642000+11953000+3530000+4733000</f>
      </c>
      <c r="U77" s="10"/>
      <c r="V77" s="10"/>
      <c r="W77" s="10"/>
      <c r="X77" s="10"/>
      <c r="Y77" s="10"/>
      <c r="Z77" s="10"/>
      <c r="AA77" s="10">
        <v>36501000</v>
      </c>
      <c r="AB77" s="10">
        <v>1604000</v>
      </c>
      <c r="AC77" s="10"/>
      <c r="AD77" s="10"/>
      <c r="AE77" s="10"/>
      <c r="AF77" s="10"/>
      <c r="AG77" s="10">
        <v>2968000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9"/>
      <c r="BF77" s="9"/>
      <c r="BG77" s="9"/>
      <c r="BH77" s="9"/>
      <c r="BI77" s="9">
        <f>SUM(M77,N77,Q77,R77,S77,T77,U77,V77,W77,X77,Y77,Z77,AA77,AB77,AC77,AD77,AE77,AF77,AG77,AH77,AI77,AJ77,AK77,AL77,AM77,AN77,AO77,AP77,AQ77,AR77,AS77,AT77,AU77,AV77,AW77,AX77,AY77,AZ77,BA77,BB77,BC77,BD77,BE77,BF77,BG77,BH77)</f>
      </c>
      <c r="BJ77" s="9">
        <f>I77-BI77</f>
      </c>
      <c r="BK77" s="9">
        <f>BJ77-BL77-BM77-BN77-BO77</f>
      </c>
      <c r="BL77" s="9"/>
      <c r="BM77" s="9"/>
      <c r="BN77" s="9"/>
      <c r="BO77" s="9"/>
      <c r="BP77" s="8"/>
      <c r="BQ77" t="inlineStr" s="8">
        <is>
          <t>2022-07-14</t>
        </is>
      </c>
      <c r="BR77" t="inlineStr" s="8">
        <is>
          <t>2022-09-08</t>
        </is>
      </c>
      <c r="BS77" s="8"/>
      <c r="BT77" s="8"/>
      <c r="BU77" s="8"/>
      <c r="BV77" s="8"/>
      <c r="BW77" s="8"/>
      <c r="BX77" s="8"/>
      <c r="BY77" s="8"/>
      <c r="BZ77" s="9"/>
      <c r="CA77" s="9"/>
      <c r="CB77" t="inlineStr" s="8">
        <is>
          <t>3166137899</t>
        </is>
      </c>
      <c r="CC77" t="inlineStr" s="8">
        <is>
          <t>simpson.morty.73380832@example.com</t>
        </is>
      </c>
      <c r="CD77" t="inlineStr" s="8">
        <is>
          <t>PANTHER PINK CEL: 3166138342</t>
        </is>
      </c>
      <c r="CE77" t="inlineStr" s="8">
        <is>
          <t>NC3491 ENE.10/24 CESION DE JON FOWLER A MORTY SIMPSON *ANTIC $12.000.000 *ARRAS $4'640</t>
        </is>
      </c>
    </row>
    <row r="78" ht="13.7" customHeight="1">
      <c r="A78" t="inlineStr" s="8">
        <is>
          <t>60007919074075</t>
        </is>
      </c>
      <c r="B78" s="8"/>
      <c r="C78" t="inlineStr" s="8">
        <is>
          <t>105</t>
        </is>
      </c>
      <c r="D78" s="9">
        <v>55.20</v>
      </c>
      <c r="E78" t="inlineStr" s="8">
        <is>
          <t>73093983</t>
        </is>
      </c>
      <c r="F78" t="inlineStr" s="8">
        <is>
          <t>WATSON JOHN</t>
        </is>
      </c>
      <c r="G78" t="inlineStr" s="8">
        <is>
          <t>*INCLUSION</t>
        </is>
      </c>
      <c r="H78" t="inlineStr" s="8">
        <is>
          <t>BANCO DE BOGOTA</t>
        </is>
      </c>
      <c r="I78" s="9">
        <v>192172500.00</v>
      </c>
      <c r="J78" s="8"/>
      <c r="K78" s="8"/>
      <c r="L78" t="inlineStr" s="8">
        <is>
          <t>2024-04-06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/>
      <c r="BF78" s="9"/>
      <c r="BG78" s="9"/>
      <c r="BH78" s="9"/>
      <c r="BI78" s="9">
        <f>SUM(M78,N78,Q78,R78,S78,T78,U78,V78,W78,X78,Y78,Z78,AA78,AB78,AC78,AD78,AE78,AF78,AG78,AH78,AI78,AJ78,AK78,AL78,AM78,AN78,AO78,AP78,AQ78,AR78,AS78,AT78,AU78,AV78,AW78,AX78,AY78,AZ78,BA78,BB78,BC78,BD78,BE78,BF78,BG78,BH78)</f>
      </c>
      <c r="BJ78" s="9">
        <f>I78-BI78</f>
      </c>
      <c r="BK78" s="9">
        <f>BJ78-BL78-BM78-BN78-BO78</f>
      </c>
      <c r="BL78" s="9"/>
      <c r="BM78" s="9"/>
      <c r="BN78" s="9"/>
      <c r="BO78" s="9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t="inlineStr" s="8">
        <is>
          <t>3166093325</t>
        </is>
      </c>
      <c r="CC78" t="inlineStr" s="8">
        <is>
          <t>watson.john.73093983@example.com</t>
        </is>
      </c>
      <c r="CD78" t="inlineStr" s="8">
        <is>
          <t>PANTHER PINK CEL: 3166094539</t>
        </is>
      </c>
      <c r="CE78" t="inlineStr" s="8">
        <is>
          <t>NC3139 ABR.6/24 INCLUSION TYRION BARTON</t>
        </is>
      </c>
    </row>
    <row r="79" ht="13.7" customHeight="1">
      <c r="A79" t="inlineStr" s="8">
        <is>
          <t>60007919076268</t>
        </is>
      </c>
      <c r="B79" t="inlineStr" s="8">
        <is>
          <t>60007919076282</t>
        </is>
      </c>
      <c r="C79" t="inlineStr" s="8">
        <is>
          <t>404</t>
        </is>
      </c>
      <c r="D79" s="9">
        <v>55.20</v>
      </c>
      <c r="E79" t="inlineStr" s="8">
        <is>
          <t>73257848</t>
        </is>
      </c>
      <c r="F79" t="inlineStr" s="8">
        <is>
          <t>TRIBBIANI CHANDLER</t>
        </is>
      </c>
      <c r="G79" t="inlineStr" s="8">
        <is>
          <t>*TRASLADO</t>
        </is>
      </c>
      <c r="H79" s="8"/>
      <c r="I79" s="9">
        <v>192172500.00</v>
      </c>
      <c r="J79" s="8"/>
      <c r="K79" s="8"/>
      <c r="L79" t="inlineStr" s="8">
        <is>
          <t>2024-05-17</t>
        </is>
      </c>
      <c r="M79" s="9"/>
      <c r="N79" s="9"/>
      <c r="O79" s="8"/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9"/>
      <c r="BF79" s="9"/>
      <c r="BG79" s="9"/>
      <c r="BH79" s="9"/>
      <c r="BI79" s="9">
        <f>SUM(M79,N79,Q79,R79,S79,T79,U79,V79,W79,X79,Y79,Z79,AA79,AB79,AC79,AD79,AE79,AF79,AG79,AH79,AI79,AJ79,AK79,AL79,AM79,AN79,AO79,AP79,AQ79,AR79,AS79,AT79,AU79,AV79,AW79,AX79,AY79,AZ79,BA79,BB79,BC79,BD79,BE79,BF79,BG79,BH79)</f>
      </c>
      <c r="BJ79" s="9">
        <f>I79-BI79</f>
      </c>
      <c r="BK79" s="9">
        <f>BJ79-BL79-BM79-BN79-BO79</f>
      </c>
      <c r="BL79" s="9"/>
      <c r="BM79" s="9"/>
      <c r="BN79" s="9"/>
      <c r="BO79" s="9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9"/>
      <c r="CA79" s="9"/>
      <c r="CB79" t="inlineStr" s="8">
        <is>
          <t>3166121276</t>
        </is>
      </c>
      <c r="CC79" t="inlineStr" s="8">
        <is>
          <t>tribbiani.chandler.73257848@example.com</t>
        </is>
      </c>
      <c r="CD79" t="inlineStr" s="8">
        <is>
          <t>FLINTSTONE FRED CEL: 3166122592</t>
        </is>
      </c>
      <c r="CE79" t="inlineStr" s="8">
        <is>
          <t>NC3370 MAY.17/24 TRASLADO DE CHANDLER TRIBBIANI A LEIA KENT *ANTIC $15.000.000 *ARRAS $4'640</t>
        </is>
      </c>
    </row>
    <row r="80" ht="13.7" customHeight="1">
      <c r="A80" t="inlineStr" s="8">
        <is>
          <t>60007919076282</t>
        </is>
      </c>
      <c r="B80" s="8"/>
      <c r="C80" t="inlineStr" s="8">
        <is>
          <t>404</t>
        </is>
      </c>
      <c r="D80" s="9">
        <v>55.20</v>
      </c>
      <c r="E80" t="inlineStr" s="8">
        <is>
          <t>73265512</t>
        </is>
      </c>
      <c r="F80" t="inlineStr" s="8">
        <is>
          <t>KENT LEIA</t>
        </is>
      </c>
      <c r="G80" t="inlineStr" s="8">
        <is>
          <t>*TRASLADO</t>
        </is>
      </c>
      <c r="H80" s="8"/>
      <c r="I80" s="9">
        <v>192172500.00</v>
      </c>
      <c r="J80" t="inlineStr" s="8">
        <is>
          <t>NCR3382 - NCR3379 - NC3370TRASLADO - NCR3377 - NCR3376</t>
        </is>
      </c>
      <c r="K80" t="inlineStr" s="8">
        <is>
          <t>NCR3375 - NCR3380 - NCR3373 - NCR3371 - NCR3372 - NCR3374 - NCR3381 - NCR3378</t>
        </is>
      </c>
      <c r="L80" t="inlineStr" s="8">
        <is>
          <t>2024-05-17</t>
        </is>
      </c>
      <c r="M80" s="9">
        <f>26222000+11160500+2126000+40218000</f>
      </c>
      <c r="N80" s="9">
        <v>15000000</v>
      </c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>
        <v>1063000</v>
      </c>
      <c r="AL80" s="10">
        <v>11871000</v>
      </c>
      <c r="AM80" s="10">
        <v>6378000</v>
      </c>
      <c r="AN80" s="10"/>
      <c r="AO80" s="10"/>
      <c r="AP80" s="10"/>
      <c r="AQ80" s="10">
        <f>20375000+18957000+3721000</f>
      </c>
      <c r="AR80" s="10"/>
      <c r="AS80" s="10"/>
      <c r="AT80" s="10">
        <f>18072000+17009000</f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9"/>
      <c r="BF80" s="9"/>
      <c r="BG80" s="9"/>
      <c r="BH80" s="9"/>
      <c r="BI80" s="9">
        <f>SUM(M80,N80,Q80,R80,S80,T80,U80,V80,W80,X80,Y80,Z80,AA80,AB80,AC80,AD80,AE80,AF80,AG80,AH80,AI80,AJ80,AK80,AL80,AM80,AN80,AO80,AP80,AQ80,AR80,AS80,AT80,AU80,AV80,AW80,AX80,AY80,AZ80,BA80,BB80,BC80,BD80,BE80,BF80,BG80,BH80)</f>
      </c>
      <c r="BJ80" s="9">
        <f>I80-BI80</f>
      </c>
      <c r="BK80" s="9">
        <f>BJ80-BL80-BM80-BN80-BO80</f>
      </c>
      <c r="BL80" s="9"/>
      <c r="BM80" s="9"/>
      <c r="BN80" s="9"/>
      <c r="BO80" s="9"/>
      <c r="BP80" s="8"/>
      <c r="BQ80" t="inlineStr" s="8">
        <is>
          <t>2023-10-16</t>
        </is>
      </c>
      <c r="BR80" t="inlineStr" s="8">
        <is>
          <t>2023-12-12</t>
        </is>
      </c>
      <c r="BS80" s="8"/>
      <c r="BT80" s="8"/>
      <c r="BU80" s="8"/>
      <c r="BV80" s="8"/>
      <c r="BW80" s="8"/>
      <c r="BX80" s="8"/>
      <c r="BY80" s="8"/>
      <c r="BZ80" s="9"/>
      <c r="CA80" s="9"/>
      <c r="CB80" t="inlineStr" s="8">
        <is>
          <t>3166121981</t>
        </is>
      </c>
      <c r="CC80" t="inlineStr" s="8">
        <is>
          <t>kent.leia.73265512@example.com</t>
        </is>
      </c>
      <c r="CD80" t="inlineStr" s="8">
        <is>
          <t>FLINTSTONE FRED CEL: 3166122592</t>
        </is>
      </c>
      <c r="CE80" t="inlineStr" s="8">
        <is>
          <t>NC3370 MAY.17/24 TRASLADO DE CHANDLER TRIBBIANI A LEIA KENT *ANTIC $15.000.000 *ARRAS $4'640</t>
        </is>
      </c>
    </row>
    <row r="81" ht="13.7" customHeight="1">
      <c r="A81" t="inlineStr" s="8">
        <is>
          <t>60007919075242</t>
        </is>
      </c>
      <c r="B81" s="8"/>
      <c r="C81" t="inlineStr" s="8">
        <is>
          <t>302</t>
        </is>
      </c>
      <c r="D81" s="9">
        <v>55.20</v>
      </c>
      <c r="E81" t="inlineStr" s="8">
        <is>
          <t>73196638</t>
        </is>
      </c>
      <c r="F81" t="inlineStr" s="8">
        <is>
          <t>SQUAREPANTS SQUIDWARD</t>
        </is>
      </c>
      <c r="G81" t="inlineStr" s="8">
        <is>
          <t>*INCLUSION</t>
        </is>
      </c>
      <c r="H81" s="8"/>
      <c r="I81" s="9">
        <v>192172500.00</v>
      </c>
      <c r="J81" s="8"/>
      <c r="K81" s="8"/>
      <c r="L81" t="inlineStr" s="8">
        <is>
          <t>2024-05-29</t>
        </is>
      </c>
      <c r="M81" s="9"/>
      <c r="N81" s="9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/>
      <c r="BF81" s="9"/>
      <c r="BG81" s="9"/>
      <c r="BH81" s="9"/>
      <c r="BI81" s="9">
        <f>SUM(M81,N81,Q81,R81,S81,T81,U81,V81,W81,X81,Y81,Z81,AA81,AB81,AC81,AD81,AE81,AF81,AG81,AH81,AI81,AJ81,AK81,AL81,AM81,AN81,AO81,AP81,AQ81,AR81,AS81,AT81,AU81,AV81,AW81,AX81,AY81,AZ81,BA81,BB81,BC81,BD81,BE81,BF81,BG81,BH81)</f>
      </c>
      <c r="BJ81" s="9">
        <f>I81-BI81</f>
      </c>
      <c r="BK81" s="9">
        <f>BJ81-BL81-BM81-BN81-BO81</f>
      </c>
      <c r="BL81" s="9"/>
      <c r="BM81" s="9"/>
      <c r="BN81" s="9"/>
      <c r="BO81" s="9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9"/>
      <c r="CA81" s="9"/>
      <c r="CB81" t="inlineStr" s="8">
        <is>
          <t>3166107316</t>
        </is>
      </c>
      <c r="CC81" t="inlineStr" s="8">
        <is>
          <t>squarepants.squidward.73196638@example.com</t>
        </is>
      </c>
      <c r="CD81" t="inlineStr" s="8">
        <is>
          <t>BUNNY BUGS CEL: 3166108803</t>
        </is>
      </c>
      <c r="CE81" t="inlineStr" s="8">
        <is>
          <t>NC3261 MAY.29/24 INCLUSION MICHAEL LOVEGOOD</t>
        </is>
      </c>
    </row>
    <row r="82" ht="13.7" customHeight="1">
      <c r="A82" t="inlineStr" s="8">
        <is>
          <t>60007919077036</t>
        </is>
      </c>
      <c r="B82" s="8"/>
      <c r="C82" t="inlineStr" s="8">
        <is>
          <t>506</t>
        </is>
      </c>
      <c r="D82" s="9">
        <v>55.20</v>
      </c>
      <c r="E82" t="inlineStr" s="8">
        <is>
          <t>73360181</t>
        </is>
      </c>
      <c r="F82" t="inlineStr" s="8">
        <is>
          <t>TARGARYEN LEONARD</t>
        </is>
      </c>
      <c r="G82" t="inlineStr" s="8">
        <is>
          <t>*TRASLADO</t>
        </is>
      </c>
      <c r="H82" t="inlineStr" s="8">
        <is>
          <t>BANCO DE OCCIDENTE</t>
        </is>
      </c>
      <c r="I82" s="9">
        <v>192172500.00</v>
      </c>
      <c r="J82" t="inlineStr" s="8">
        <is>
          <t>NC3487TRASLADO - NCR3488CR</t>
        </is>
      </c>
      <c r="K82" s="8"/>
      <c r="L82" t="inlineStr" s="8">
        <is>
          <t>2024-07-08</t>
        </is>
      </c>
      <c r="M82" s="9"/>
      <c r="N82" s="9">
        <v>15000000</v>
      </c>
      <c r="O82" t="inlineStr" s="8">
        <is>
          <t>JUN.22/24</t>
        </is>
      </c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9">
        <v>102254000</v>
      </c>
      <c r="BF82" s="9"/>
      <c r="BG82" s="9"/>
      <c r="BH82" s="9"/>
      <c r="BI82" s="9">
        <f>SUM(M82,N82,Q82,R82,S82,T82,U82,V82,W82,X82,Y82,Z82,AA82,AB82,AC82,AD82,AE82,AF82,AG82,AH82,AI82,AJ82,AK82,AL82,AM82,AN82,AO82,AP82,AQ82,AR82,AS82,AT82,AU82,AV82,AW82,AX82,AY82,AZ82,BA82,BB82,BC82,BD82,BE82,BF82,BG82,BH82)</f>
      </c>
      <c r="BJ82" s="9">
        <f>I82-BI82</f>
      </c>
      <c r="BK82" s="9">
        <f>BJ82-BL82-BM82-BN82-BO82</f>
      </c>
      <c r="BL82" s="9"/>
      <c r="BM82" s="9"/>
      <c r="BN82" s="9"/>
      <c r="BO82" s="9"/>
      <c r="BP82" s="8"/>
      <c r="BQ82" t="inlineStr" s="8">
        <is>
          <t>2023-10-08</t>
        </is>
      </c>
      <c r="BR82" t="inlineStr" s="8">
        <is>
          <t>2024-01-01</t>
        </is>
      </c>
      <c r="BS82" s="8"/>
      <c r="BT82" s="8"/>
      <c r="BU82" s="8"/>
      <c r="BV82" s="8"/>
      <c r="BW82" s="8"/>
      <c r="BX82" s="8"/>
      <c r="BY82" s="8"/>
      <c r="BZ82" s="9"/>
      <c r="CA82" s="9"/>
      <c r="CB82" t="inlineStr" s="8">
        <is>
          <t>3166134203</t>
        </is>
      </c>
      <c r="CC82" t="inlineStr" s="8">
        <is>
          <t>targaryen.leonard.73360181@example.com</t>
        </is>
      </c>
      <c r="CD82" t="inlineStr" s="8">
        <is>
          <t>MOUSE MINNIE CEL: 3166135117</t>
        </is>
      </c>
      <c r="CE82" t="inlineStr" s="8">
        <is>
          <t>NC3487 JUL.8/24 TRASLADO DE LEONARD TARGARYEN A JOEY PINKMAN *ANTIC $15.000.000 *ARRAS $4'640</t>
        </is>
      </c>
    </row>
    <row r="83" ht="13.7" customHeight="1">
      <c r="A83" t="inlineStr" s="8">
        <is>
          <t>60007919077036</t>
        </is>
      </c>
      <c r="B83" s="8"/>
      <c r="C83" t="inlineStr" s="8">
        <is>
          <t>506</t>
        </is>
      </c>
      <c r="D83" s="9">
        <v>55.20</v>
      </c>
      <c r="E83" t="inlineStr" s="8">
        <is>
          <t>73365117</t>
        </is>
      </c>
      <c r="F83" t="inlineStr" s="8">
        <is>
          <t>PINKMAN JOEY</t>
        </is>
      </c>
      <c r="G83" t="inlineStr" s="8">
        <is>
          <t>*TRASLADO</t>
        </is>
      </c>
      <c r="H83" t="inlineStr" s="8">
        <is>
          <t>BANCO DE OCCIDENTE</t>
        </is>
      </c>
      <c r="I83" s="9">
        <v>192172500.00</v>
      </c>
      <c r="J83" t="inlineStr" s="8">
        <is>
          <t>NC3487TRASLADO - NCR3488CR</t>
        </is>
      </c>
      <c r="K83" s="8"/>
      <c r="L83" t="inlineStr" s="8">
        <is>
          <t>2024-07-08</t>
        </is>
      </c>
      <c r="M83" s="9"/>
      <c r="N83" s="9">
        <v>15000000</v>
      </c>
      <c r="O83" t="inlineStr" s="8">
        <is>
          <t>JUN.22/24</t>
        </is>
      </c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9">
        <v>102254000</v>
      </c>
      <c r="BF83" s="9"/>
      <c r="BG83" s="9"/>
      <c r="BH83" s="9"/>
      <c r="BI83" s="9">
        <f>SUM(M83,N83,Q83,R83,S83,T83,U83,V83,W83,X83,Y83,Z83,AA83,AB83,AC83,AD83,AE83,AF83,AG83,AH83,AI83,AJ83,AK83,AL83,AM83,AN83,AO83,AP83,AQ83,AR83,AS83,AT83,AU83,AV83,AW83,AX83,AY83,AZ83,BA83,BB83,BC83,BD83,BE83,BF83,BG83,BH83)</f>
      </c>
      <c r="BJ83" s="9">
        <f>I83-BI83</f>
      </c>
      <c r="BK83" s="9">
        <f>BJ83-BL83-BM83-BN83-BO83</f>
      </c>
      <c r="BL83" s="9"/>
      <c r="BM83" s="9"/>
      <c r="BN83" s="9"/>
      <c r="BO83" s="9"/>
      <c r="BP83" s="8"/>
      <c r="BQ83" t="inlineStr" s="8">
        <is>
          <t>2023-10-08</t>
        </is>
      </c>
      <c r="BR83" t="inlineStr" s="8">
        <is>
          <t>2024-01-01</t>
        </is>
      </c>
      <c r="BS83" s="8"/>
      <c r="BT83" s="8"/>
      <c r="BU83" s="8"/>
      <c r="BV83" s="8"/>
      <c r="BW83" s="8"/>
      <c r="BX83" s="8"/>
      <c r="BY83" s="8"/>
      <c r="BZ83" s="9"/>
      <c r="CA83" s="9"/>
      <c r="CB83" t="inlineStr" s="8">
        <is>
          <t>3166134545</t>
        </is>
      </c>
      <c r="CC83" t="inlineStr" s="8">
        <is>
          <t>pinkman.joey.73365117@example.com</t>
        </is>
      </c>
      <c r="CD83" t="inlineStr" s="8">
        <is>
          <t>MOUSE MINNIE CEL: 3166135117</t>
        </is>
      </c>
      <c r="CE83" t="inlineStr" s="8">
        <is>
          <t>NC3487 JUL.8/24 TRASLADO DE LEONARD TARGARYEN A JOEY PINKMAN *ANTIC $15.000.000 *ARRAS $4'640</t>
        </is>
      </c>
    </row>
    <row r="84" ht="13.7" customHeight="1">
      <c r="A84" t="inlineStr" s="8">
        <is>
          <t>60007919076302</t>
        </is>
      </c>
      <c r="B84" t="inlineStr" s="8">
        <is>
          <t>60007919076315</t>
        </is>
      </c>
      <c r="C84" t="inlineStr" s="8">
        <is>
          <t>405</t>
        </is>
      </c>
      <c r="D84" s="9">
        <v>55.20</v>
      </c>
      <c r="E84" t="inlineStr" s="8">
        <is>
          <t>73271156</t>
        </is>
      </c>
      <c r="F84" t="inlineStr" s="8">
        <is>
          <t>TRIBBIANI STEVE</t>
        </is>
      </c>
      <c r="G84" t="inlineStr" s="8">
        <is>
          <t>*CESION/ARRAS</t>
        </is>
      </c>
      <c r="H84" t="inlineStr" s="8">
        <is>
          <t>BANCO DE OCCIDENTE</t>
        </is>
      </c>
      <c r="I84" s="9">
        <v>192172500.00</v>
      </c>
      <c r="J84" s="8"/>
      <c r="K84" s="8"/>
      <c r="L84" t="inlineStr" s="8">
        <is>
          <t>2024-09-20</t>
        </is>
      </c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9"/>
      <c r="BF84" s="9"/>
      <c r="BG84" s="9"/>
      <c r="BH84" s="9"/>
      <c r="BI84" s="9">
        <f>SUM(M84,N84,Q84,R84,S84,T84,U84,V84,W84,X84,Y84,Z84,AA84,AB84,AC84,AD84,AE84,AF84,AG84,AH84,AI84,AJ84,AK84,AL84,AM84,AN84,AO84,AP84,AQ84,AR84,AS84,AT84,AU84,AV84,AW84,AX84,AY84,AZ84,BA84,BB84,BC84,BD84,BE84,BF84,BG84,BH84)</f>
      </c>
      <c r="BJ84" s="9">
        <f>I84-BI84</f>
      </c>
      <c r="BK84" s="9">
        <f>BJ84-BL84-BM84-BN84-BO84</f>
      </c>
      <c r="BL84" s="9"/>
      <c r="BM84" s="9"/>
      <c r="BN84" s="9"/>
      <c r="BO84" s="9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9"/>
      <c r="CA84" s="9"/>
      <c r="CB84" t="inlineStr" s="8">
        <is>
          <t>3166123245</t>
        </is>
      </c>
      <c r="CC84" t="inlineStr" s="8">
        <is>
          <t>tribbiani.steve.73271156@example.com</t>
        </is>
      </c>
      <c r="CD84" t="inlineStr" s="8">
        <is>
          <t>FLINTSTONE FRED CEL: 3166125068</t>
        </is>
      </c>
      <c r="CE84" t="inlineStr" s="8">
        <is>
          <t>NC3383 SEP.20/24 CESION DE STEVE TRIBBIANI A JON SANCHEZ *ANTIC $25.000.000 *ARRAS $4'640</t>
        </is>
      </c>
    </row>
    <row r="85" ht="13.7" customHeight="1">
      <c r="A85" t="inlineStr" s="8">
        <is>
          <t>60007919076315</t>
        </is>
      </c>
      <c r="B85" s="8"/>
      <c r="C85" t="inlineStr" s="8">
        <is>
          <t>405</t>
        </is>
      </c>
      <c r="D85" s="9">
        <v>55.20</v>
      </c>
      <c r="E85" t="inlineStr" s="8">
        <is>
          <t>73274945</t>
        </is>
      </c>
      <c r="F85" t="inlineStr" s="8">
        <is>
          <t>SANCHEZ JON</t>
        </is>
      </c>
      <c r="G85" t="inlineStr" s="8">
        <is>
          <t>*CESION/ARRAS</t>
        </is>
      </c>
      <c r="H85" t="inlineStr" s="8">
        <is>
          <t>BANCO DE OCCIDENTE</t>
        </is>
      </c>
      <c r="I85" s="9">
        <v>192172500.00</v>
      </c>
      <c r="J85" t="inlineStr" s="8">
        <is>
          <t>NC3383CESION - NCR3391 - NCR3396 - NCR3398CR</t>
        </is>
      </c>
      <c r="K85" t="inlineStr" s="8">
        <is>
          <t>NCR3397 - NCR3389 - NCR3392 - NCR3390 - NCR3395 - NCR3393 - NCR3384 - NCR3385 - NCR3386 - NCR3387 - NCR3394 - NCR3388</t>
        </is>
      </c>
      <c r="L85" t="inlineStr" s="8">
        <is>
          <t>2024-09-20</t>
        </is>
      </c>
      <c r="M85" s="9">
        <f>2235000+1645000</f>
      </c>
      <c r="N85" s="9">
        <v>25000000</v>
      </c>
      <c r="O85" t="inlineStr" s="8">
        <is>
          <t>JUN.30/24</t>
        </is>
      </c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>
        <v>1856000</v>
      </c>
      <c r="AJ85" s="10">
        <v>10248000</v>
      </c>
      <c r="AK85" s="10">
        <f>3332000+2741000+3669000+2446000</f>
      </c>
      <c r="AL85" s="10">
        <v>211000</v>
      </c>
      <c r="AM85" s="10"/>
      <c r="AN85" s="10">
        <v>843000</v>
      </c>
      <c r="AO85" s="10">
        <v>3247000</v>
      </c>
      <c r="AP85" s="10"/>
      <c r="AQ85" s="10">
        <v>253000</v>
      </c>
      <c r="AR85" s="10"/>
      <c r="AS85" s="10">
        <v>5778000</v>
      </c>
      <c r="AT85" s="10">
        <v>3668500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9">
        <v>110000000</v>
      </c>
      <c r="BF85" s="9"/>
      <c r="BG85" s="9"/>
      <c r="BH85" s="9"/>
      <c r="BI85" s="9">
        <f>SUM(M85,N85,Q85,R85,S85,T85,U85,V85,W85,X85,Y85,Z85,AA85,AB85,AC85,AD85,AE85,AF85,AG85,AH85,AI85,AJ85,AK85,AL85,AM85,AN85,AO85,AP85,AQ85,AR85,AS85,AT85,AU85,AV85,AW85,AX85,AY85,AZ85,BA85,BB85,BC85,BD85,BE85,BF85,BG85,BH85)</f>
      </c>
      <c r="BJ85" s="9">
        <f>I85-BI85</f>
      </c>
      <c r="BK85" s="9">
        <f>BJ85-BL85-BM85-BN85-BO85</f>
      </c>
      <c r="BL85" s="9"/>
      <c r="BM85" s="9"/>
      <c r="BN85" s="9"/>
      <c r="BO85" s="9"/>
      <c r="BP85" s="8"/>
      <c r="BQ85" t="inlineStr" s="8">
        <is>
          <t>2023-12-24</t>
        </is>
      </c>
      <c r="BR85" t="inlineStr" s="8">
        <is>
          <t>2024-04-13</t>
        </is>
      </c>
      <c r="BS85" t="inlineStr" s="8">
        <is>
          <t>2024-11-11</t>
        </is>
      </c>
      <c r="BT85" s="8"/>
      <c r="BU85" s="8"/>
      <c r="BV85" s="8"/>
      <c r="BW85" s="8"/>
      <c r="BX85" s="8"/>
      <c r="BY85" s="8"/>
      <c r="BZ85" s="9"/>
      <c r="CA85" s="9"/>
      <c r="CB85" t="inlineStr" s="8">
        <is>
          <t>3166124156</t>
        </is>
      </c>
      <c r="CC85" t="inlineStr" s="8">
        <is>
          <t>sanchez.jon.73274945@example.com</t>
        </is>
      </c>
      <c r="CD85" t="inlineStr" s="8">
        <is>
          <t>FLINTSTONE FRED CEL: 3166125068</t>
        </is>
      </c>
      <c r="CE85" t="inlineStr" s="8">
        <is>
          <t>NC3383 SEP.20/24 CESION DE STEVE TRIBBIANI A JON SANCHEZ *ANTIC $25.000.000 *ARRAS $4'640</t>
        </is>
      </c>
    </row>
    <row r="86" ht="13.7" customHeight="1">
      <c r="A86" t="inlineStr" s="8">
        <is>
          <t>60007919077579</t>
        </is>
      </c>
      <c r="B86" s="8"/>
      <c r="C86" t="inlineStr" s="8">
        <is>
          <t>602</t>
        </is>
      </c>
      <c r="D86" s="9">
        <v>55.20</v>
      </c>
      <c r="E86" t="inlineStr" s="8">
        <is>
          <t>73388509</t>
        </is>
      </c>
      <c r="F86" t="inlineStr" s="8">
        <is>
          <t>LANNISTER GUSTAVO</t>
        </is>
      </c>
      <c r="G86" t="inlineStr" s="8">
        <is>
          <t>*INCLUSION</t>
        </is>
      </c>
      <c r="H86" t="inlineStr" s="8">
        <is>
          <t>BANCO DAVIVIENDA</t>
        </is>
      </c>
      <c r="I86" s="9">
        <v>192172500.00</v>
      </c>
      <c r="J86" t="inlineStr" s="8">
        <is>
          <t>NCR3510 - NCR3512CR</t>
        </is>
      </c>
      <c r="K86" t="inlineStr" s="8">
        <is>
          <t>NCR3505 - NCR3504 - NCR3503 - NCR3508 - NCR3502 - NCR3506 - NCR3511 - NCR3509 - NCR3507</t>
        </is>
      </c>
      <c r="L86" t="inlineStr" s="8">
        <is>
          <t>2025-02-04</t>
        </is>
      </c>
      <c r="M86" s="9">
        <v>2269000</v>
      </c>
      <c r="N86" s="9"/>
      <c r="O86" t="inlineStr" s="8">
        <is>
          <t>MAY.23/24</t>
        </is>
      </c>
      <c r="P86" s="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>
        <v>8177000</v>
      </c>
      <c r="AL86" s="10"/>
      <c r="AM86" s="10"/>
      <c r="AN86" s="10"/>
      <c r="AO86" s="10"/>
      <c r="AP86" s="10"/>
      <c r="AQ86" s="10">
        <v>899000</v>
      </c>
      <c r="AR86" s="10"/>
      <c r="AS86" s="10">
        <v>684000</v>
      </c>
      <c r="AT86" s="10">
        <f>8819000+4281000</f>
      </c>
      <c r="AU86" s="10">
        <v>7064000</v>
      </c>
      <c r="AV86" s="10">
        <f>6379000+1541000</f>
      </c>
      <c r="AW86" s="10"/>
      <c r="AX86" s="10"/>
      <c r="AY86" s="10">
        <v>2697000</v>
      </c>
      <c r="AZ86" s="10"/>
      <c r="BA86" s="10"/>
      <c r="BB86" s="10"/>
      <c r="BC86" s="10"/>
      <c r="BD86" s="10"/>
      <c r="BE86" s="9">
        <v>28905000</v>
      </c>
      <c r="BF86" s="9"/>
      <c r="BG86" s="9"/>
      <c r="BH86" s="9"/>
      <c r="BI86" s="9">
        <f>SUM(M86,N86,Q86,R86,S86,T86,U86,V86,W86,X86,Y86,Z86,AA86,AB86,AC86,AD86,AE86,AF86,AG86,AH86,AI86,AJ86,AK86,AL86,AM86,AN86,AO86,AP86,AQ86,AR86,AS86,AT86,AU86,AV86,AW86,AX86,AY86,AZ86,BA86,BB86,BC86,BD86,BE86,BF86,BG86,BH86)</f>
      </c>
      <c r="BJ86" s="9">
        <f>I86-BI86</f>
      </c>
      <c r="BK86" s="9">
        <f>BJ86-BL86-BM86-BN86-BO86</f>
      </c>
      <c r="BL86" s="9"/>
      <c r="BM86" s="9"/>
      <c r="BN86" s="9"/>
      <c r="BO86" s="9"/>
      <c r="BP86" s="8"/>
      <c r="BQ86" t="inlineStr" s="8">
        <is>
          <t>2024-01-10</t>
        </is>
      </c>
      <c r="BR86" t="inlineStr" s="8">
        <is>
          <t>2024-03-05</t>
        </is>
      </c>
      <c r="BS86" s="8"/>
      <c r="BT86" s="8"/>
      <c r="BU86" s="8"/>
      <c r="BV86" s="8"/>
      <c r="BW86" s="8"/>
      <c r="BX86" s="8"/>
      <c r="BY86" s="8"/>
      <c r="BZ86" s="9"/>
      <c r="CA86" s="9"/>
      <c r="CB86" t="inlineStr" s="8">
        <is>
          <t>3166139038</t>
        </is>
      </c>
      <c r="CC86" t="inlineStr" s="8">
        <is>
          <t>lannister.gustavo.73388509@example.com</t>
        </is>
      </c>
      <c r="CD86" t="inlineStr" s="8">
        <is>
          <t>FINN CEL: 3166139957</t>
        </is>
      </c>
      <c r="CE86" t="inlineStr" s="8">
        <is>
          <t>NC3501 FEB.4/25 INCLUSION JIM GREENLEAF</t>
        </is>
      </c>
    </row>
    <row r="87" ht="13.7" customHeight="1">
      <c r="A87" t="inlineStr" s="8">
        <is>
          <t>60007919077718</t>
        </is>
      </c>
      <c r="B87" s="8"/>
      <c r="C87" t="inlineStr" s="8">
        <is>
          <t>603</t>
        </is>
      </c>
      <c r="D87" s="9">
        <v>55.20</v>
      </c>
      <c r="E87" t="inlineStr" s="8">
        <is>
          <t>73402861</t>
        </is>
      </c>
      <c r="F87" t="inlineStr" s="8">
        <is>
          <t>BROWN RON</t>
        </is>
      </c>
      <c r="G87" t="inlineStr" s="8">
        <is>
          <t>*INCLUSION</t>
        </is>
      </c>
      <c r="H87" t="inlineStr" s="8">
        <is>
          <t>BBVA</t>
        </is>
      </c>
      <c r="I87" s="9">
        <v>192172500.00</v>
      </c>
      <c r="J87" s="8"/>
      <c r="K87" s="8"/>
      <c r="L87" t="inlineStr" s="8">
        <is>
          <t>2025-02-07</t>
        </is>
      </c>
      <c r="M87" s="9"/>
      <c r="N87" s="9"/>
      <c r="O87" s="8"/>
      <c r="P87" s="8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9"/>
      <c r="BF87" s="9"/>
      <c r="BG87" s="9"/>
      <c r="BH87" s="9"/>
      <c r="BI87" s="9">
        <f>SUM(M87,N87,Q87,R87,S87,T87,U87,V87,W87,X87,Y87,Z87,AA87,AB87,AC87,AD87,AE87,AF87,AG87,AH87,AI87,AJ87,AK87,AL87,AM87,AN87,AO87,AP87,AQ87,AR87,AS87,AT87,AU87,AV87,AW87,AX87,AY87,AZ87,BA87,BB87,BC87,BD87,BE87,BF87,BG87,BH87)</f>
      </c>
      <c r="BJ87" s="9">
        <f>I87-BI87</f>
      </c>
      <c r="BK87" s="9">
        <f>BJ87-BL87-BM87-BN87-BO87</f>
      </c>
      <c r="BL87" s="9"/>
      <c r="BM87" s="9"/>
      <c r="BN87" s="9"/>
      <c r="BO87" s="9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9"/>
      <c r="CA87" s="9"/>
      <c r="CB87" t="inlineStr" s="8">
        <is>
          <t>3166140893</t>
        </is>
      </c>
      <c r="CC87" t="inlineStr" s="8">
        <is>
          <t>brown.ron.73402861@example.com</t>
        </is>
      </c>
      <c r="CD87" t="inlineStr" s="8">
        <is>
          <t>FINN CEL: 3166142285</t>
        </is>
      </c>
      <c r="CE87" t="inlineStr" s="8">
        <is>
          <t>NC3514 FEB.7/25 INCLUSION EUGENE HOFSTADTER</t>
        </is>
      </c>
    </row>
    <row r="88" ht="13.7" customHeight="1">
      <c r="A88" t="inlineStr" s="8">
        <is>
          <t>60007919077850</t>
        </is>
      </c>
      <c r="B88" s="8"/>
      <c r="C88" t="inlineStr" s="8">
        <is>
          <t>605</t>
        </is>
      </c>
      <c r="D88" s="9">
        <v>55.20</v>
      </c>
      <c r="E88" t="inlineStr" s="8">
        <is>
          <t>73422462</t>
        </is>
      </c>
      <c r="F88" t="inlineStr" s="8">
        <is>
          <t>BEESLY MAX</t>
        </is>
      </c>
      <c r="G88" t="inlineStr" s="8">
        <is>
          <t>*DESISTIM/ARRAS</t>
        </is>
      </c>
      <c r="H88" t="inlineStr" s="8">
        <is>
          <t>BBVA</t>
        </is>
      </c>
      <c r="I88" s="9">
        <v>192172500.00</v>
      </c>
      <c r="J88" s="8"/>
      <c r="K88" s="8"/>
      <c r="L88" s="8"/>
      <c r="M88" s="9"/>
      <c r="N88" s="9"/>
      <c r="O88" s="8"/>
      <c r="P88" s="8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9"/>
      <c r="BF88" s="9"/>
      <c r="BG88" s="9"/>
      <c r="BH88" s="9"/>
      <c r="BI88" s="9">
        <f>SUM(M88,N88,Q88,R88,S88,T88,U88,V88,W88,X88,Y88,Z88,AA88,AB88,AC88,AD88,AE88,AF88,AG88,AH88,AI88,AJ88,AK88,AL88,AM88,AN88,AO88,AP88,AQ88,AR88,AS88,AT88,AU88,AV88,AW88,AX88,AY88,AZ88,BA88,BB88,BC88,BD88,BE88,BF88,BG88,BH88)</f>
      </c>
      <c r="BJ88" s="9">
        <f>I88-BI88</f>
      </c>
      <c r="BK88" s="9">
        <f>BJ88-BL88-BM88-BN88-BO88</f>
      </c>
      <c r="BL88" s="9"/>
      <c r="BM88" s="9"/>
      <c r="BN88" s="9"/>
      <c r="BO88" s="9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9"/>
      <c r="CA88" s="9"/>
      <c r="CB88" t="inlineStr" s="8">
        <is>
          <t>3166143892</t>
        </is>
      </c>
      <c r="CC88" t="inlineStr" s="8">
        <is>
          <t>beesly.max.73422462@example.com</t>
        </is>
      </c>
      <c r="CD88" t="inlineStr" s="8">
        <is>
          <t>DUCK DAFFY CEL: 3166144437</t>
        </is>
      </c>
      <c r="CE88" t="inlineStr" s="8">
        <is>
          <t>NC3528 SEP.5/22 DESISTIMIENTO POR ARRAS MAX BEESLY</t>
        </is>
      </c>
    </row>
    <row r="89" ht="13.7" customHeight="1">
      <c r="A89" t="inlineStr" s="8">
        <is>
          <t>60007919073801</t>
        </is>
      </c>
      <c r="B89" s="8"/>
      <c r="C89" t="inlineStr" s="8">
        <is>
          <t>103</t>
        </is>
      </c>
      <c r="D89" s="9">
        <v>55.20</v>
      </c>
      <c r="E89" t="inlineStr" s="8">
        <is>
          <t>73072539</t>
        </is>
      </c>
      <c r="F89" t="inlineStr" s="8">
        <is>
          <t>TANO PHOEBE</t>
        </is>
      </c>
      <c r="G89" t="inlineStr" s="8">
        <is>
          <t>RETIROS DE FIDUCIA ABR/23</t>
        </is>
      </c>
      <c r="H89" t="inlineStr" s="8">
        <is>
          <t>BANCO CAJA SOCIAL</t>
        </is>
      </c>
      <c r="I89" s="9">
        <v>192172500.00</v>
      </c>
      <c r="J89" s="8"/>
      <c r="K89" s="8"/>
      <c r="L89" s="8"/>
      <c r="M89" s="9"/>
      <c r="N89" s="9"/>
      <c r="O89" s="8"/>
      <c r="P89" s="8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9"/>
      <c r="BF89" s="9"/>
      <c r="BG89" s="9"/>
      <c r="BH89" s="9"/>
      <c r="BI89" s="9">
        <f>SUM(M89,N89,Q89,R89,S89,T89,U89,V89,W89,X89,Y89,Z89,AA89,AB89,AC89,AD89,AE89,AF89,AG89,AH89,AI89,AJ89,AK89,AL89,AM89,AN89,AO89,AP89,AQ89,AR89,AS89,AT89,AU89,AV89,AW89,AX89,AY89,AZ89,BA89,BB89,BC89,BD89,BE89,BF89,BG89,BH89)</f>
      </c>
      <c r="BJ89" s="9">
        <f>I89-BI89</f>
      </c>
      <c r="BK89" s="9">
        <f>BJ89-BL89-BM89-BN89-BO89</f>
      </c>
      <c r="BL89" s="9"/>
      <c r="BM89" s="9"/>
      <c r="BN89" s="9"/>
      <c r="BO89" s="9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9"/>
      <c r="CA89" s="9"/>
      <c r="CB89" t="inlineStr" s="8">
        <is>
          <t>3166091585</t>
        </is>
      </c>
      <c r="CC89" t="inlineStr" s="8">
        <is>
          <t>tano.phoebe.73072539@example.com</t>
        </is>
      </c>
      <c r="CD89" t="inlineStr" s="8">
        <is>
          <t>MOUSE MINNIE CEL: 3166092096</t>
        </is>
      </c>
      <c r="CE89" t="inlineStr" s="8">
        <is>
          <t>NC3109 ABR.18/23 TERMINACION UNILATERAL PHOEBE TANO/SAUL GOODMAN</t>
        </is>
      </c>
    </row>
    <row r="90" ht="13.7" customHeight="1">
      <c r="A90" t="inlineStr" s="8">
        <is>
          <t>60007919074628</t>
        </is>
      </c>
      <c r="B90" s="8"/>
      <c r="C90" t="inlineStr" s="8">
        <is>
          <t>204</t>
        </is>
      </c>
      <c r="D90" s="9">
        <v>55.20</v>
      </c>
      <c r="E90" t="inlineStr" s="8">
        <is>
          <t>73138994</t>
        </is>
      </c>
      <c r="F90" t="inlineStr" s="8">
        <is>
          <t>MALFOY OBI WAN</t>
        </is>
      </c>
      <c r="G90" t="inlineStr" s="8">
        <is>
          <t>RETIROS DE FIDUCIA MAR/24</t>
        </is>
      </c>
      <c r="H90" t="inlineStr" s="8">
        <is>
          <t>BANCO DE OCCIDENTE</t>
        </is>
      </c>
      <c r="I90" s="9">
        <v>192172500.00</v>
      </c>
      <c r="J90" s="8"/>
      <c r="K90" s="8"/>
      <c r="L90" s="8"/>
      <c r="M90" s="9"/>
      <c r="N90" s="9"/>
      <c r="O90" s="8"/>
      <c r="P90" s="8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9"/>
      <c r="BF90" s="9"/>
      <c r="BG90" s="9"/>
      <c r="BH90" s="9"/>
      <c r="BI90" s="9">
        <f>SUM(M90,N90,Q90,R90,S90,T90,U90,V90,W90,X90,Y90,Z90,AA90,AB90,AC90,AD90,AE90,AF90,AG90,AH90,AI90,AJ90,AK90,AL90,AM90,AN90,AO90,AP90,AQ90,AR90,AS90,AT90,AU90,AV90,AW90,AX90,AY90,AZ90,BA90,BB90,BC90,BD90,BE90,BF90,BG90,BH90)</f>
      </c>
      <c r="BJ90" s="9">
        <f>I90-BI90</f>
      </c>
      <c r="BK90" s="9">
        <f>BJ90-BL90-BM90-BN90-BO90</f>
      </c>
      <c r="BL90" s="9"/>
      <c r="BM90" s="9"/>
      <c r="BN90" s="9"/>
      <c r="BO90" s="9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9"/>
      <c r="CA90" s="9"/>
      <c r="CB90" t="inlineStr" s="8">
        <is>
          <t>3166099931</t>
        </is>
      </c>
      <c r="CC90" t="inlineStr" s="8">
        <is>
          <t>malfoy.obi.wan.73138994@example.com</t>
        </is>
      </c>
      <c r="CD90" t="inlineStr" s="8">
        <is>
          <t>JETSON GEORGE CEL: 3166100486</t>
        </is>
      </c>
      <c r="CE90" t="inlineStr" s="8">
        <is>
          <t>NC3202 MAR.29/24 TERMINACION UNILATERAL OBI MALFOY</t>
        </is>
      </c>
    </row>
    <row r="91" ht="13.7" customHeight="1">
      <c r="A91" t="inlineStr" s="8">
        <is>
          <t>60007919078910</t>
        </is>
      </c>
      <c r="B91" s="8"/>
      <c r="C91" t="inlineStr" s="8">
        <is>
          <t>707</t>
        </is>
      </c>
      <c r="D91" s="9">
        <v>55.20</v>
      </c>
      <c r="E91" t="inlineStr" s="8">
        <is>
          <t>73481170</t>
        </is>
      </c>
      <c r="F91" t="inlineStr" s="8">
        <is>
          <t>LOVEGOOD RON</t>
        </is>
      </c>
      <c r="G91" t="inlineStr" s="8">
        <is>
          <t>*DESISTIM/ARRAS</t>
        </is>
      </c>
      <c r="H91" s="8"/>
      <c r="I91" s="9">
        <v>192172500.00</v>
      </c>
      <c r="J91" s="8"/>
      <c r="K91" s="8"/>
      <c r="L91" s="8"/>
      <c r="M91" s="9"/>
      <c r="N91" s="9"/>
      <c r="O91" s="8"/>
      <c r="P91" s="8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9"/>
      <c r="BF91" s="9"/>
      <c r="BG91" s="9"/>
      <c r="BH91" s="9"/>
      <c r="BI91" s="9">
        <f>SUM(M91,N91,Q91,R91,S91,T91,U91,V91,W91,X91,Y91,Z91,AA91,AB91,AC91,AD91,AE91,AF91,AG91,AH91,AI91,AJ91,AK91,AL91,AM91,AN91,AO91,AP91,AQ91,AR91,AS91,AT91,AU91,AV91,AW91,AX91,AY91,AZ91,BA91,BB91,BC91,BD91,BE91,BF91,BG91,BH91)</f>
      </c>
      <c r="BJ91" s="9">
        <f>I91-BI91</f>
      </c>
      <c r="BK91" s="9">
        <f>BJ91-BL91-BM91-BN91-BO91</f>
      </c>
      <c r="BL91" s="9"/>
      <c r="BM91" s="9"/>
      <c r="BN91" s="9"/>
      <c r="BO91" s="9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9"/>
      <c r="CA91" s="9"/>
      <c r="CB91" t="inlineStr" s="8">
        <is>
          <t>3166156590</t>
        </is>
      </c>
      <c r="CC91" t="inlineStr" s="8">
        <is>
          <t>lovegood.ron.73481170@example.com</t>
        </is>
      </c>
      <c r="CD91" t="inlineStr" s="8">
        <is>
          <t>BUNNY BUGS CEL: 3166156891</t>
        </is>
      </c>
      <c r="CE91" t="inlineStr" s="8">
        <is>
          <t>NC3622 MAY.14/24 DESISTIMIENTO POR ARRAS RON LOVEGOOD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2.42578125" customWidth="1"/>
    <col min="58" max="58" width="15.5703125" customWidth="1"/>
    <col min="59" max="59" width="15.28515625" customWidth="1"/>
    <col min="60" max="60" width="14.140625" customWidth="1"/>
    <col min="61" max="61" width="15.28515625" customWidth="1"/>
    <col min="62" max="62" width="11.5703125" customWidth="1"/>
    <col min="63" max="63" width="13.0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8.140625" customWidth="1"/>
    <col min="73" max="73" width="11.425781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3.0" customWidth="1"/>
    <col min="81" max="81" width="20.0" customWidth="1"/>
    <col min="82" max="82" width="24.0" customWidth="1"/>
    <col min="83" max="83" width="105.140625" customWidth="1"/>
  </cols>
  <sheetData>
    <row r="1">
      <c r="A1" t="inlineStr" s="1">
        <is>
          <t>CONJUNTO CERRADO KSMP T2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FEB/2022</t>
        </is>
      </c>
      <c r="R4" t="inlineStr" s="5">
        <is>
          <t>RECIBO FIDUCIA MAR/2022</t>
        </is>
      </c>
      <c r="S4" t="inlineStr" s="5">
        <is>
          <t>RECIBO FIDUCIA ABR/2022</t>
        </is>
      </c>
      <c r="T4" t="inlineStr" s="5">
        <is>
          <t>RECIBO FIDUCIA MAY/2022</t>
        </is>
      </c>
      <c r="U4" t="inlineStr" s="5">
        <is>
          <t>RECIBO FIDUCIA JUN/2022</t>
        </is>
      </c>
      <c r="V4" t="inlineStr" s="5">
        <is>
          <t>RECIBO FIDUCIA JUL/2022</t>
        </is>
      </c>
      <c r="W4" t="inlineStr" s="5">
        <is>
          <t>RECIBO FIDUCIA AGO/2022</t>
        </is>
      </c>
      <c r="X4" t="inlineStr" s="5">
        <is>
          <t>RECIBO FIDUCIA SEP/2022</t>
        </is>
      </c>
      <c r="Y4" t="inlineStr" s="5">
        <is>
          <t>RECIBO FIDUCIA OCT/2022</t>
        </is>
      </c>
      <c r="Z4" t="inlineStr" s="5">
        <is>
          <t>RECIBO FIDUCIA NOV/2022</t>
        </is>
      </c>
      <c r="AA4" t="inlineStr" s="5">
        <is>
          <t>RECIBO FIDUCIA DIC/2022</t>
        </is>
      </c>
      <c r="AB4" t="inlineStr" s="5">
        <is>
          <t>RECIBO FIDUCIA ENE/2023</t>
        </is>
      </c>
      <c r="AC4" t="inlineStr" s="5">
        <is>
          <t>RECIBO FIDUCIA FEB/2023</t>
        </is>
      </c>
      <c r="AD4" t="inlineStr" s="5">
        <is>
          <t>RECIBO FIDUCIA MAR/2023</t>
        </is>
      </c>
      <c r="AE4" t="inlineStr" s="5">
        <is>
          <t>RECIBO FIDUCIA ABR/2023</t>
        </is>
      </c>
      <c r="AF4" t="inlineStr" s="5">
        <is>
          <t>RECIBO FIDUCIA MAY/2023</t>
        </is>
      </c>
      <c r="AG4" t="inlineStr" s="5">
        <is>
          <t>RECIBO FIDUCIA JUN/2023</t>
        </is>
      </c>
      <c r="AH4" t="inlineStr" s="5">
        <is>
          <t>RECIBO FIDUCIA JUL/2023</t>
        </is>
      </c>
      <c r="AI4" t="inlineStr" s="5">
        <is>
          <t>RECIBO FIDUCIA AGO/2023</t>
        </is>
      </c>
      <c r="AJ4" t="inlineStr" s="5">
        <is>
          <t>RECIBO FIDUCIA SEP/2023</t>
        </is>
      </c>
      <c r="AK4" t="inlineStr" s="5">
        <is>
          <t>RECIBO FIDUCIA OCT/2023</t>
        </is>
      </c>
      <c r="AL4" t="inlineStr" s="5">
        <is>
          <t>RECIBO FIDUCIA NOV/2023</t>
        </is>
      </c>
      <c r="AM4" t="inlineStr" s="5">
        <is>
          <t>RECIBO FIDUCIA DIC/2023</t>
        </is>
      </c>
      <c r="AN4" t="inlineStr" s="5">
        <is>
          <t>RECIBO FIDUCIA ENE/2024</t>
        </is>
      </c>
      <c r="AO4" t="inlineStr" s="5">
        <is>
          <t>RECIBO FIDUCIA FEB/2024</t>
        </is>
      </c>
      <c r="AP4" t="inlineStr" s="5">
        <is>
          <t>RECIBO FIDUCIA MAR/2024</t>
        </is>
      </c>
      <c r="AQ4" t="inlineStr" s="5">
        <is>
          <t>RECIBO FIDUCIA ABR/2024</t>
        </is>
      </c>
      <c r="AR4" t="inlineStr" s="5">
        <is>
          <t>RECIBO FIDUCIA MAY/2024</t>
        </is>
      </c>
      <c r="AS4" t="inlineStr" s="5">
        <is>
          <t>RECIBO FIDUCIA JUN/2024</t>
        </is>
      </c>
      <c r="AT4" t="inlineStr" s="5">
        <is>
          <t>RECIBO FIDUCIA JUL/2024</t>
        </is>
      </c>
      <c r="AU4" t="inlineStr" s="5">
        <is>
          <t>RECIBO FIDUCIA AGO/2024</t>
        </is>
      </c>
      <c r="AV4" t="inlineStr" s="5">
        <is>
          <t>RECIBO FIDUCIA SEP/2024</t>
        </is>
      </c>
      <c r="AW4" t="inlineStr" s="5">
        <is>
          <t>RECIBO FIDUCIA OCT/2024</t>
        </is>
      </c>
      <c r="AX4" t="inlineStr" s="5">
        <is>
          <t>RECIBO FIDUCIA NOV/2024</t>
        </is>
      </c>
      <c r="AY4" t="inlineStr" s="5">
        <is>
          <t>RECIBO FIDUCIA DIC/2024</t>
        </is>
      </c>
      <c r="AZ4" t="inlineStr" s="5">
        <is>
          <t>RECIBO FIDUCIA ENE/2025</t>
        </is>
      </c>
      <c r="BA4" t="inlineStr" s="5">
        <is>
          <t>RECIBO FIDUCIA FEB/2025</t>
        </is>
      </c>
      <c r="BB4" t="inlineStr" s="5">
        <is>
          <t>RECIBO FIDUCIA MAR/2025</t>
        </is>
      </c>
      <c r="BC4" t="inlineStr" s="5">
        <is>
          <t>RECIBO FIDUCIA ABR/2025</t>
        </is>
      </c>
      <c r="BD4" t="inlineStr" s="5">
        <is>
          <t>RECIBO FIDUCIA JUN/2025</t>
        </is>
      </c>
      <c r="BE4" t="inlineStr" s="4">
        <is>
          <t>ABONOS CR CONSTRUCTOR</t>
        </is>
      </c>
      <c r="BF4" t="inlineStr" s="4">
        <is>
          <t>DESEMBOLSO SUBSIDIO CAJAS DE COMPENSACION</t>
        </is>
      </c>
      <c r="BG4" t="inlineStr" s="4">
        <is>
          <t>DESEMBOLSO SUBSIDIOS GOBIERNO</t>
        </is>
      </c>
      <c r="BH4" t="inlineStr" s="2">
        <is>
          <t>AJUSTE</t>
        </is>
      </c>
      <c r="BI4" t="inlineStr" s="2">
        <is>
          <t>TOTAL RECIBIDO</t>
        </is>
      </c>
      <c r="BJ4" t="inlineStr" s="2">
        <is>
          <t>SALDO POR COBRAR</t>
        </is>
      </c>
      <c r="BK4" t="inlineStr" s="2">
        <is>
          <t>RECURSOS PROPIOS</t>
        </is>
      </c>
      <c r="BL4" t="inlineStr" s="2">
        <is>
          <t>CREDITO BANCARIO</t>
        </is>
      </c>
      <c r="BM4" t="inlineStr" s="2">
        <is>
          <t>CAJA HONOR</t>
        </is>
      </c>
      <c r="BN4" t="inlineStr" s="6">
        <is>
          <t>SUBSIDIOS MCY</t>
        </is>
      </c>
      <c r="BO4" t="inlineStr" s="6">
        <is>
          <t>SUBSIDIOS CAJA COMP</t>
        </is>
      </c>
      <c r="BP4" t="inlineStr" s="6">
        <is>
          <t>ENTIDAD</t>
        </is>
      </c>
      <c r="BQ4" t="inlineStr" s="2">
        <is>
          <t>FECHA CONTRATO DE ADHESION</t>
        </is>
      </c>
      <c r="BR4" t="inlineStr" s="2">
        <is>
          <t>FECHA DE PROMESA</t>
        </is>
      </c>
      <c r="BS4" t="inlineStr" s="7">
        <is>
          <t>ENTREGA REAL</t>
        </is>
      </c>
      <c r="BT4" t="inlineStr" s="6">
        <is>
          <t>MATRIC</t>
        </is>
      </c>
      <c r="BU4" t="inlineStr" s="6">
        <is>
          <t>FECHA ESC</t>
        </is>
      </c>
      <c r="BV4" t="inlineStr" s="6">
        <is>
          <t>ESC</t>
        </is>
      </c>
      <c r="BW4" t="inlineStr" s="6">
        <is>
          <t>NOT</t>
        </is>
      </c>
      <c r="BX4" t="inlineStr" s="6">
        <is>
          <t>FECHA C/TRADIC</t>
        </is>
      </c>
      <c r="BY4" t="inlineStr" s="6">
        <is>
          <t>FE</t>
        </is>
      </c>
      <c r="BZ4" t="inlineStr" s="2">
        <is>
          <t>INTERESES</t>
        </is>
      </c>
      <c r="CA4" t="inlineStr" s="2">
        <is>
          <t>VALOR</t>
        </is>
      </c>
      <c r="CB4" t="inlineStr" s="2">
        <is>
          <t>TELEFONO</t>
        </is>
      </c>
      <c r="CC4" t="inlineStr" s="2">
        <is>
          <t>E-MAIL</t>
        </is>
      </c>
      <c r="CD4" t="inlineStr" s="2">
        <is>
          <t>CONTACTO</t>
        </is>
      </c>
      <c r="CE4" t="inlineStr" s="2">
        <is>
          <t>OBSERVACIONES</t>
        </is>
      </c>
    </row>
    <row r="5" ht="12.75" customHeight="1">
      <c r="A5" t="inlineStr" s="8">
        <is>
          <t>60007919079016</t>
        </is>
      </c>
      <c r="B5" s="8"/>
      <c r="C5" t="inlineStr" s="8">
        <is>
          <t>101</t>
        </is>
      </c>
      <c r="D5" s="9">
        <v>55.20</v>
      </c>
      <c r="E5" t="inlineStr" s="8">
        <is>
          <t>73482783</t>
        </is>
      </c>
      <c r="F5" t="inlineStr" s="8">
        <is>
          <t>BING FERRIS</t>
        </is>
      </c>
      <c r="G5" s="8"/>
      <c r="H5" t="inlineStr" s="8">
        <is>
          <t>BBVA</t>
        </is>
      </c>
      <c r="I5" s="9">
        <v>192172500.00</v>
      </c>
      <c r="J5" t="inlineStr" s="8">
        <is>
          <t>NCR3640 - NCR3637 - NCR3642CR</t>
        </is>
      </c>
      <c r="K5" t="inlineStr" s="8">
        <is>
          <t>NCR3636 - NCR3639 - NCR3641 - NCR3638</t>
        </is>
      </c>
      <c r="L5" t="inlineStr" s="8">
        <is>
          <t>MAY.14/22F - FEB.9/23F - AGO.18/23F - SEP.19/23 - SEP.27/23F - OCT.23/23</t>
        </is>
      </c>
      <c r="M5" s="9">
        <f>9033000+1078000</f>
      </c>
      <c r="N5" s="9"/>
      <c r="O5" t="inlineStr" s="8">
        <is>
          <t>OCT.4/23</t>
        </is>
      </c>
      <c r="P5" s="8"/>
      <c r="Q5" s="10"/>
      <c r="R5" s="10"/>
      <c r="S5" s="10"/>
      <c r="T5" s="10">
        <v>6542000</v>
      </c>
      <c r="U5" s="10"/>
      <c r="V5" s="10"/>
      <c r="W5" s="10"/>
      <c r="X5" s="10"/>
      <c r="Y5" s="10"/>
      <c r="Z5" s="10"/>
      <c r="AA5" s="10"/>
      <c r="AB5" s="10"/>
      <c r="AC5" s="10">
        <v>9999000</v>
      </c>
      <c r="AD5" s="10"/>
      <c r="AE5" s="10"/>
      <c r="AF5" s="10"/>
      <c r="AG5" s="10"/>
      <c r="AH5" s="10"/>
      <c r="AI5" s="10">
        <v>2937500</v>
      </c>
      <c r="AJ5" s="10">
        <v>7583000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>
        <v>125000000</v>
      </c>
      <c r="BF5" s="9"/>
      <c r="BG5" s="9"/>
      <c r="BH5" s="9"/>
      <c r="BI5" s="9">
        <f>SUM(M5,N5,Q5,R5,S5,T5,U5,V5,W5,X5,Y5,Z5,AA5,AB5,AC5,AD5,AE5,AF5,AG5,AH5,AI5,AJ5,AK5,AL5,AM5,AN5,AO5,AP5,AQ5,AR5,AS5,AT5,AU5,AV5,AW5,AX5,AY5,AZ5,BA5,BB5,BC5,BD5,BE5,BF5,BG5,BH5)</f>
      </c>
      <c r="BJ5" s="9">
        <f>I5-BI5</f>
      </c>
      <c r="BK5" s="9">
        <f>BJ5-BL5-BM5-BN5-BO5</f>
      </c>
      <c r="BL5" s="9"/>
      <c r="BM5" s="9"/>
      <c r="BN5" s="9"/>
      <c r="BO5" s="9"/>
      <c r="BP5" s="8"/>
      <c r="BQ5" t="inlineStr" s="8">
        <is>
          <t>2022-05-15</t>
        </is>
      </c>
      <c r="BR5" t="inlineStr" s="8">
        <is>
          <t>2022-09-05</t>
        </is>
      </c>
      <c r="BS5" t="inlineStr" s="8">
        <is>
          <t>2024-02-25</t>
        </is>
      </c>
      <c r="BT5" s="8"/>
      <c r="BU5" s="8"/>
      <c r="BV5" s="8"/>
      <c r="BW5" s="8"/>
      <c r="BX5" s="8"/>
      <c r="BY5" s="8"/>
      <c r="BZ5" s="9"/>
      <c r="CA5" s="9"/>
      <c r="CB5" t="inlineStr" s="8">
        <is>
          <t>3166157619</t>
        </is>
      </c>
      <c r="CC5" t="inlineStr" s="8">
        <is>
          <t>bing.ferris.73482783@example.com</t>
        </is>
      </c>
      <c r="CD5" t="inlineStr" s="8">
        <is>
          <t>JAKE CEL: 3166158262</t>
        </is>
      </c>
      <c r="CE5" s="8"/>
    </row>
    <row r="6" ht="12.75" customHeight="1">
      <c r="A6" t="inlineStr" s="8">
        <is>
          <t>60007919079080</t>
        </is>
      </c>
      <c r="B6" s="8"/>
      <c r="C6" t="inlineStr" s="8">
        <is>
          <t>102</t>
        </is>
      </c>
      <c r="D6" s="9">
        <v>55.20</v>
      </c>
      <c r="E6" t="inlineStr" s="8">
        <is>
          <t>73487925</t>
        </is>
      </c>
      <c r="F6" t="inlineStr" s="8">
        <is>
          <t>HALPERT SHERLOCK</t>
        </is>
      </c>
      <c r="G6" s="8"/>
      <c r="H6" t="inlineStr" s="8">
        <is>
          <t>BANCO CAJA SOCIAL</t>
        </is>
      </c>
      <c r="I6" s="9">
        <v>192172500.00</v>
      </c>
      <c r="J6" t="inlineStr" s="8">
        <is>
          <t>NCR3649 - NCR3651CR</t>
        </is>
      </c>
      <c r="K6" t="inlineStr" s="8">
        <is>
          <t>NCR3650 - NCR3647 - NCR3646 - NCR3645 - NCR3644 - NCR3648</t>
        </is>
      </c>
      <c r="L6" t="inlineStr" s="8">
        <is>
          <t>NOV.28/22F - FEB.3/23F - FEB.13/23F - FEB.15/23F - FEB.19/23F - JUN.17/23 - AGO.12/23F</t>
        </is>
      </c>
      <c r="M6" s="9">
        <v>4276000</v>
      </c>
      <c r="N6" s="9"/>
      <c r="O6" t="inlineStr" s="8">
        <is>
          <t>SEP.15/23</t>
        </is>
      </c>
      <c r="P6" s="8"/>
      <c r="Q6" s="10"/>
      <c r="R6" s="10"/>
      <c r="S6" s="10"/>
      <c r="T6" s="10"/>
      <c r="U6" s="10"/>
      <c r="V6" s="10"/>
      <c r="W6" s="10"/>
      <c r="X6" s="10"/>
      <c r="Y6" s="10"/>
      <c r="Z6" s="10">
        <v>31677500</v>
      </c>
      <c r="AA6" s="10"/>
      <c r="AB6" s="10"/>
      <c r="AC6" s="10">
        <f>5928000+16422000+1458000+680000</f>
      </c>
      <c r="AD6" s="10"/>
      <c r="AE6" s="10"/>
      <c r="AF6" s="10"/>
      <c r="AG6" s="10"/>
      <c r="AH6" s="10"/>
      <c r="AI6" s="10">
        <v>36731000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>
        <v>80000000</v>
      </c>
      <c r="BF6" s="9"/>
      <c r="BG6" s="9"/>
      <c r="BH6" s="9"/>
      <c r="BI6" s="9">
        <f>SUM(M6,N6,Q6,R6,S6,T6,U6,V6,W6,X6,Y6,Z6,AA6,AB6,AC6,AD6,AE6,AF6,AG6,AH6,AI6,AJ6,AK6,AL6,AM6,AN6,AO6,AP6,AQ6,AR6,AS6,AT6,AU6,AV6,AW6,AX6,AY6,AZ6,BA6,BB6,BC6,BD6,BE6,BF6,BG6,BH6)</f>
      </c>
      <c r="BJ6" s="9">
        <f>I6-BI6</f>
      </c>
      <c r="BK6" s="9">
        <f>BJ6-BL6-BM6-BN6-BO6</f>
      </c>
      <c r="BL6" s="9"/>
      <c r="BM6" s="9"/>
      <c r="BN6" s="9"/>
      <c r="BO6" s="9"/>
      <c r="BP6" s="8"/>
      <c r="BQ6" t="inlineStr" s="8">
        <is>
          <t>2022-08-05</t>
        </is>
      </c>
      <c r="BR6" t="inlineStr" s="8">
        <is>
          <t>2022-10-29</t>
        </is>
      </c>
      <c r="BS6" t="inlineStr" s="8">
        <is>
          <t>2024-01-16</t>
        </is>
      </c>
      <c r="BT6" s="8"/>
      <c r="BU6" s="8"/>
      <c r="BV6" s="8"/>
      <c r="BW6" s="8"/>
      <c r="BX6" s="8"/>
      <c r="BY6" s="8"/>
      <c r="BZ6" s="9"/>
      <c r="CA6" s="9"/>
      <c r="CB6" t="inlineStr" s="8">
        <is>
          <t>3166158344</t>
        </is>
      </c>
      <c r="CC6" t="inlineStr" s="8">
        <is>
          <t>halpert.sherlock.73487925@example.com</t>
        </is>
      </c>
      <c r="CD6" t="inlineStr" s="8">
        <is>
          <t>FINN CEL: 3166158869</t>
        </is>
      </c>
      <c r="CE6" s="8"/>
    </row>
    <row r="7" ht="12.75" customHeight="1">
      <c r="A7" t="inlineStr" s="8">
        <is>
          <t>60007919079206</t>
        </is>
      </c>
      <c r="B7" s="8"/>
      <c r="C7" t="inlineStr" s="8">
        <is>
          <t>103</t>
        </is>
      </c>
      <c r="D7" s="9">
        <v>55.20</v>
      </c>
      <c r="E7" t="inlineStr" s="8">
        <is>
          <t>73488737</t>
        </is>
      </c>
      <c r="F7" t="inlineStr" s="8">
        <is>
          <t>MAYFIELD LEONARD</t>
        </is>
      </c>
      <c r="G7" s="8"/>
      <c r="H7" s="8"/>
      <c r="I7" s="9">
        <v>192172500.00</v>
      </c>
      <c r="J7" s="8"/>
      <c r="K7" t="inlineStr" s="8">
        <is>
          <t>NCR3665 - NCR3655 - NCR3659 - NCR3667 - NCR3662 - NCR3666 - NCR3658 - NCR3663 - NCR3657 - NCR3661 - NCR3664 - NCR3660 - NCR3656 - NCR3654</t>
        </is>
      </c>
      <c r="L7" t="inlineStr" s="8">
        <is>
          <t>JUN.10/22F - AGO.11/22F - AGO.13/22F - AGO.26/22F - SEP.27/22F - OCT.14/22F - DIC.10/22F - DIC.14/22F - DIC.15/22F - DIC.17/22F - DIC.24/22F - ENE.1/23F - ENE.7/23F - MAR.2/23F</t>
        </is>
      </c>
      <c r="M7" s="9"/>
      <c r="N7" s="9"/>
      <c r="O7" s="8"/>
      <c r="P7" s="8"/>
      <c r="Q7" s="10"/>
      <c r="R7" s="10"/>
      <c r="S7" s="10"/>
      <c r="T7" s="10"/>
      <c r="U7" s="10">
        <v>5126000</v>
      </c>
      <c r="V7" s="10"/>
      <c r="W7" s="10">
        <f>1845000+7894000+13739000</f>
      </c>
      <c r="X7" s="10">
        <v>3588000</v>
      </c>
      <c r="Y7" s="10">
        <v>19377000</v>
      </c>
      <c r="Z7" s="10"/>
      <c r="AA7" s="10">
        <f>7792000+923000+6972000+13841000+8920000</f>
      </c>
      <c r="AB7" s="10">
        <f>2563000+3588000</f>
      </c>
      <c r="AC7" s="10"/>
      <c r="AD7" s="10">
        <v>6356000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/>
      <c r="BF7" s="9"/>
      <c r="BG7" s="9"/>
      <c r="BH7" s="9"/>
      <c r="BI7" s="9">
        <f>SUM(M7,N7,Q7,R7,S7,T7,U7,V7,W7,X7,Y7,Z7,AA7,AB7,AC7,AD7,AE7,AF7,AG7,AH7,AI7,AJ7,AK7,AL7,AM7,AN7,AO7,AP7,AQ7,AR7,AS7,AT7,AU7,AV7,AW7,AX7,AY7,AZ7,BA7,BB7,BC7,BD7,BE7,BF7,BG7,BH7)</f>
      </c>
      <c r="BJ7" s="9">
        <f>I7-BI7</f>
      </c>
      <c r="BK7" s="9">
        <f>BJ7-BL7-BM7-BN7-BO7</f>
      </c>
      <c r="BL7" s="9"/>
      <c r="BM7" s="9"/>
      <c r="BN7" s="9"/>
      <c r="BO7" s="9"/>
      <c r="BP7" s="8"/>
      <c r="BQ7" t="inlineStr" s="8">
        <is>
          <t>2022-06-23</t>
        </is>
      </c>
      <c r="BR7" t="inlineStr" s="8">
        <is>
          <t>2022-08-22</t>
        </is>
      </c>
      <c r="BS7" s="8"/>
      <c r="BT7" s="8"/>
      <c r="BU7" s="8"/>
      <c r="BV7" s="8"/>
      <c r="BW7" s="8"/>
      <c r="BX7" s="8"/>
      <c r="BY7" s="8"/>
      <c r="BZ7" s="9"/>
      <c r="CA7" s="9"/>
      <c r="CB7" t="inlineStr" s="8">
        <is>
          <t>3166159352</t>
        </is>
      </c>
      <c r="CC7" t="inlineStr" s="8">
        <is>
          <t>mayfield.leonard.73488737@example.com</t>
        </is>
      </c>
      <c r="CD7" t="inlineStr" s="8">
        <is>
          <t>FLINTSTONE FRED CEL: 3166159921</t>
        </is>
      </c>
      <c r="CE7" s="8"/>
    </row>
    <row r="8" ht="12.75" customHeight="1">
      <c r="A8" t="inlineStr" s="8">
        <is>
          <t>60007919079360</t>
        </is>
      </c>
      <c r="B8" s="8"/>
      <c r="C8" t="inlineStr" s="8">
        <is>
          <t>104</t>
        </is>
      </c>
      <c r="D8" s="9">
        <v>55.20</v>
      </c>
      <c r="E8" t="inlineStr" s="8">
        <is>
          <t>73494359</t>
        </is>
      </c>
      <c r="F8" t="inlineStr" s="8">
        <is>
          <t>LOVEGOOD SAUL</t>
        </is>
      </c>
      <c r="G8" s="8"/>
      <c r="H8" s="8"/>
      <c r="I8" s="9">
        <v>192172500.00</v>
      </c>
      <c r="J8" t="inlineStr" s="8">
        <is>
          <t>NC3669CESION - NCR3670 - NCR3671 - NCR3673</t>
        </is>
      </c>
      <c r="K8" t="inlineStr" s="8">
        <is>
          <t>NCR3672</t>
        </is>
      </c>
      <c r="L8" t="inlineStr" s="8">
        <is>
          <t>(FEB.21/23CESION) - MAR.23/23F - OCT.6/23 - OCT.25/23 - NOV.18/23</t>
        </is>
      </c>
      <c r="M8" s="9">
        <f>40963000+89193000+17343500</f>
      </c>
      <c r="N8" s="9">
        <v>12000000</v>
      </c>
      <c r="O8" s="8"/>
      <c r="P8" s="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>
        <v>17673000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/>
      <c r="BF8" s="9"/>
      <c r="BG8" s="9"/>
      <c r="BH8" s="9"/>
      <c r="BI8" s="9">
        <f>SUM(M8,N8,Q8,R8,S8,T8,U8,V8,W8,X8,Y8,Z8,AA8,AB8,AC8,AD8,AE8,AF8,AG8,AH8,AI8,AJ8,AK8,AL8,AM8,AN8,AO8,AP8,AQ8,AR8,AS8,AT8,AU8,AV8,AW8,AX8,AY8,AZ8,BA8,BB8,BC8,BD8,BE8,BF8,BG8,BH8)</f>
      </c>
      <c r="BJ8" s="9">
        <f>I8-BI8</f>
      </c>
      <c r="BK8" s="9">
        <f>BJ8-BL8-BM8-BN8-BO8</f>
      </c>
      <c r="BL8" s="9"/>
      <c r="BM8" s="9"/>
      <c r="BN8" s="9"/>
      <c r="BO8" s="9"/>
      <c r="BP8" s="8"/>
      <c r="BQ8" t="inlineStr" s="8">
        <is>
          <t>2022-11-11</t>
        </is>
      </c>
      <c r="BR8" t="inlineStr" s="8">
        <is>
          <t>2022-11-29</t>
        </is>
      </c>
      <c r="BS8" t="inlineStr" s="8">
        <is>
          <t>2024-01-22</t>
        </is>
      </c>
      <c r="BT8" s="8"/>
      <c r="BU8" s="8"/>
      <c r="BV8" s="8"/>
      <c r="BW8" s="8"/>
      <c r="BX8" s="8"/>
      <c r="BY8" s="8"/>
      <c r="BZ8" s="9"/>
      <c r="CA8" s="9"/>
      <c r="CB8" t="inlineStr" s="8">
        <is>
          <t>3166160474</t>
        </is>
      </c>
      <c r="CC8" t="inlineStr" s="8">
        <is>
          <t>lovegood.saul.73494359@example.com</t>
        </is>
      </c>
      <c r="CD8" t="inlineStr" s="8">
        <is>
          <t>MOUSE MICKEY CEL: 3166160503</t>
        </is>
      </c>
      <c r="CE8" t="inlineStr" s="8">
        <is>
          <t>NC3669 FEB.21/23 CESION DE MICHAEL ROGERS A SAUL LOVEGOOD *ANTIC $12.000.000 *ARRAS $4'640</t>
        </is>
      </c>
    </row>
    <row r="9" ht="12.75" customHeight="1">
      <c r="A9" t="inlineStr" s="8">
        <is>
          <t>60007919079481</t>
        </is>
      </c>
      <c r="B9" s="8"/>
      <c r="C9" t="inlineStr" s="8">
        <is>
          <t>105</t>
        </is>
      </c>
      <c r="D9" s="9">
        <v>55.20</v>
      </c>
      <c r="E9" t="inlineStr" s="8">
        <is>
          <t>73496606</t>
        </is>
      </c>
      <c r="F9" t="inlineStr" s="8">
        <is>
          <t>TANO ARYA</t>
        </is>
      </c>
      <c r="G9" t="inlineStr" s="8">
        <is>
          <t>BAGGINS AMY</t>
        </is>
      </c>
      <c r="H9" s="8"/>
      <c r="I9" s="9">
        <v>192172500.00</v>
      </c>
      <c r="J9" s="8"/>
      <c r="K9" t="inlineStr" s="8">
        <is>
          <t>NCR3682 - NCR3678 - NCR3677 - NCR3679 - NCR3676 - NCR3687 - NCR3684 - NCR3680 - NCR3686 - NCR3685 - NCR3688 - NCR3681 - NCR3683</t>
        </is>
      </c>
      <c r="L9" t="inlineStr" s="8">
        <is>
          <t>JUN.27/22F - AGO.4/22F - OCT.6/22F - OCT.14/22F - OCT.15/22F - NOV.3/22F - NOV.6/22F - ENE.21/23F - FEB.27/23F - MAR.12/23F - MAR.28/23F - ABR.11/23F - ABR.13/23F</t>
        </is>
      </c>
      <c r="M9" s="9"/>
      <c r="N9" s="9"/>
      <c r="O9" s="8"/>
      <c r="P9" s="8"/>
      <c r="Q9" s="10"/>
      <c r="R9" s="10"/>
      <c r="S9" s="10"/>
      <c r="T9" s="10"/>
      <c r="U9" s="10">
        <v>6272000</v>
      </c>
      <c r="V9" s="10"/>
      <c r="W9" s="10">
        <v>1533000</v>
      </c>
      <c r="X9" s="10"/>
      <c r="Y9" s="10">
        <f>14565000+2997000+3763000</f>
      </c>
      <c r="Z9" s="10">
        <f>1324000+8920000</f>
      </c>
      <c r="AA9" s="10"/>
      <c r="AB9" s="10">
        <v>5157000</v>
      </c>
      <c r="AC9" s="10">
        <v>836000</v>
      </c>
      <c r="AD9" s="10">
        <f>6063000+7249000</f>
      </c>
      <c r="AE9" s="10">
        <f>7178000+3833000</f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9"/>
      <c r="BF9" s="9"/>
      <c r="BG9" s="9"/>
      <c r="BH9" s="9"/>
      <c r="BI9" s="9">
        <f>SUM(M9,N9,Q9,R9,S9,T9,U9,V9,W9,X9,Y9,Z9,AA9,AB9,AC9,AD9,AE9,AF9,AG9,AH9,AI9,AJ9,AK9,AL9,AM9,AN9,AO9,AP9,AQ9,AR9,AS9,AT9,AU9,AV9,AW9,AX9,AY9,AZ9,BA9,BB9,BC9,BD9,BE9,BF9,BG9,BH9)</f>
      </c>
      <c r="BJ9" s="9">
        <f>I9-BI9</f>
      </c>
      <c r="BK9" s="9">
        <f>BJ9-BL9-BM9-BN9-BO9</f>
      </c>
      <c r="BL9" s="9"/>
      <c r="BM9" s="9"/>
      <c r="BN9" s="9"/>
      <c r="BO9" s="9"/>
      <c r="BP9" s="8"/>
      <c r="BQ9" t="inlineStr" s="8">
        <is>
          <t>2022-07-06</t>
        </is>
      </c>
      <c r="BR9" t="inlineStr" s="8">
        <is>
          <t>2022-08-03</t>
        </is>
      </c>
      <c r="BS9" s="8"/>
      <c r="BT9" s="8"/>
      <c r="BU9" s="8"/>
      <c r="BV9" s="8"/>
      <c r="BW9" s="8"/>
      <c r="BX9" s="8"/>
      <c r="BY9" s="8"/>
      <c r="BZ9" s="9"/>
      <c r="CA9" s="9"/>
      <c r="CB9" t="inlineStr" s="8">
        <is>
          <t>3166161111</t>
        </is>
      </c>
      <c r="CC9" t="inlineStr" s="8">
        <is>
          <t>tano.arya.73496606@example.com</t>
        </is>
      </c>
      <c r="CD9" t="inlineStr" s="8">
        <is>
          <t>BUNNY BUGS CEL: 3166161731</t>
        </is>
      </c>
      <c r="CE9" s="8"/>
    </row>
    <row r="10" ht="12.75" customHeight="1">
      <c r="A10" t="inlineStr" s="8">
        <is>
          <t>60007919079638</t>
        </is>
      </c>
      <c r="B10" s="8"/>
      <c r="C10" t="inlineStr" s="8">
        <is>
          <t>106</t>
        </is>
      </c>
      <c r="D10" s="9">
        <v>55.20</v>
      </c>
      <c r="E10" t="inlineStr" s="8">
        <is>
          <t>73514283</t>
        </is>
      </c>
      <c r="F10" t="inlineStr" s="8">
        <is>
          <t>SMITH LISA</t>
        </is>
      </c>
      <c r="G10" t="inlineStr" s="8">
        <is>
          <t>KOOTHRAPPALI RAJ</t>
        </is>
      </c>
      <c r="H10" t="inlineStr" s="8">
        <is>
          <t>BANCO CAJA SOCIAL</t>
        </is>
      </c>
      <c r="I10" s="9">
        <v>192172500.00</v>
      </c>
      <c r="J10" t="inlineStr" s="8">
        <is>
          <t>NCR3695CR</t>
        </is>
      </c>
      <c r="K10" t="inlineStr" s="8">
        <is>
          <t>NCR3691 - NCR3693 - NCR3690 - NCR3692 - NCR3694</t>
        </is>
      </c>
      <c r="L10" t="inlineStr" s="8">
        <is>
          <t>FEB.3/24F - MAR.26/24F - SEP.12/24F - SEP.18/24F - DIC.7/24F</t>
        </is>
      </c>
      <c r="M10" s="9"/>
      <c r="N10" s="9"/>
      <c r="O10" t="inlineStr" s="8">
        <is>
          <t>ABR.26/24</t>
        </is>
      </c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>
        <v>9853000</v>
      </c>
      <c r="AP10" s="10">
        <v>2305000</v>
      </c>
      <c r="AQ10" s="10"/>
      <c r="AR10" s="10"/>
      <c r="AS10" s="10"/>
      <c r="AT10" s="10"/>
      <c r="AU10" s="10"/>
      <c r="AV10" s="10">
        <f>5977000+449000</f>
      </c>
      <c r="AW10" s="10"/>
      <c r="AX10" s="10"/>
      <c r="AY10" s="10">
        <v>1816000</v>
      </c>
      <c r="AZ10" s="10"/>
      <c r="BA10" s="10"/>
      <c r="BB10" s="10"/>
      <c r="BC10" s="10"/>
      <c r="BD10" s="10"/>
      <c r="BE10" s="9">
        <v>23200000</v>
      </c>
      <c r="BF10" s="9"/>
      <c r="BG10" s="9"/>
      <c r="BH10" s="9"/>
      <c r="BI10" s="9">
        <f>SUM(M10,N10,Q10,R10,S10,T10,U10,V10,W10,X10,Y10,Z10,AA10,AB10,AC10,AD10,AE10,AF10,AG10,AH10,AI10,AJ10,AK10,AL10,AM10,AN10,AO10,AP10,AQ10,AR10,AS10,AT10,AU10,AV10,AW10,AX10,AY10,AZ10,BA10,BB10,BC10,BD10,BE10,BF10,BG10,BH10)</f>
      </c>
      <c r="BJ10" s="9">
        <f>I10-BI10</f>
      </c>
      <c r="BK10" s="9">
        <f>BJ10-BL10-BM10-BN10-BO10</f>
      </c>
      <c r="BL10" s="9"/>
      <c r="BM10" s="9"/>
      <c r="BN10" s="9"/>
      <c r="BO10" s="9"/>
      <c r="BP10" s="8"/>
      <c r="BQ10" t="inlineStr" s="8">
        <is>
          <t>2024-02-17</t>
        </is>
      </c>
      <c r="BR10" t="inlineStr" s="8">
        <is>
          <t>2024-03-13</t>
        </is>
      </c>
      <c r="BS10" s="8"/>
      <c r="BT10" s="8"/>
      <c r="BU10" s="8"/>
      <c r="BV10" s="8"/>
      <c r="BW10" s="8"/>
      <c r="BX10" s="8"/>
      <c r="BY10" s="8"/>
      <c r="BZ10" s="9"/>
      <c r="CA10" s="9"/>
      <c r="CB10" t="inlineStr" s="8">
        <is>
          <t>3166161956</t>
        </is>
      </c>
      <c r="CC10" t="inlineStr" s="8">
        <is>
          <t>smith.lisa.73514283@example.com</t>
        </is>
      </c>
      <c r="CD10" t="inlineStr" s="8">
        <is>
          <t>FINN CEL: 3166163407</t>
        </is>
      </c>
      <c r="CE10" s="8"/>
    </row>
    <row r="11" ht="12.75" customHeight="1">
      <c r="A11" t="inlineStr" s="8">
        <is>
          <t>60007919079790</t>
        </is>
      </c>
      <c r="B11" s="8"/>
      <c r="C11" t="inlineStr" s="8">
        <is>
          <t>107</t>
        </is>
      </c>
      <c r="D11" s="9">
        <v>55.20</v>
      </c>
      <c r="E11" t="inlineStr" s="8">
        <is>
          <t>73542017</t>
        </is>
      </c>
      <c r="F11" t="inlineStr" s="8">
        <is>
          <t>EHRMANTRAUT CLARK</t>
        </is>
      </c>
      <c r="G11" s="8"/>
      <c r="H11" t="inlineStr" s="8">
        <is>
          <t>BANCO DE OCCIDENTE</t>
        </is>
      </c>
      <c r="I11" s="9">
        <v>192172500.00</v>
      </c>
      <c r="J11" t="inlineStr" s="8">
        <is>
          <t>NC3698CESION - NCR3704CR</t>
        </is>
      </c>
      <c r="K11" t="inlineStr" s="8">
        <is>
          <t>NCR3700 - NCR3703 - NCR3699 - NCR3701 - NCR3702</t>
        </is>
      </c>
      <c r="L11" t="inlineStr" s="8">
        <is>
          <t>NOV.5/23F - NOV.6/23F - NOV.11/23F - NOV.13/23F - NOV.24/23F - (DIC.30/23CESION)</t>
        </is>
      </c>
      <c r="M11" s="9"/>
      <c r="N11" s="9">
        <v>15000000</v>
      </c>
      <c r="O11" t="inlineStr" s="8">
        <is>
          <t>MAR.17/24</t>
        </is>
      </c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>
        <f>7806000+5999500+5259000+51193000+11915000</f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9">
        <v>65000000</v>
      </c>
      <c r="BF11" s="9"/>
      <c r="BG11" s="9"/>
      <c r="BH11" s="9"/>
      <c r="BI11" s="9">
        <f>SUM(M11,N11,Q11,R11,S11,T11,U11,V11,W11,X11,Y11,Z11,AA11,AB11,AC11,AD11,AE11,AF11,AG11,AH11,AI11,AJ11,AK11,AL11,AM11,AN11,AO11,AP11,AQ11,AR11,AS11,AT11,AU11,AV11,AW11,AX11,AY11,AZ11,BA11,BB11,BC11,BD11,BE11,BF11,BG11,BH11)</f>
      </c>
      <c r="BJ11" s="9">
        <f>I11-BI11</f>
      </c>
      <c r="BK11" s="9">
        <f>BJ11-BL11-BM11-BN11-BO11</f>
      </c>
      <c r="BL11" s="9"/>
      <c r="BM11" s="9"/>
      <c r="BN11" s="9"/>
      <c r="BO11" s="9"/>
      <c r="BP11" s="8"/>
      <c r="BQ11" t="inlineStr" s="8">
        <is>
          <t>2023-04-16</t>
        </is>
      </c>
      <c r="BR11" t="inlineStr" s="8">
        <is>
          <t>2023-05-15</t>
        </is>
      </c>
      <c r="BS11" t="inlineStr" s="8">
        <is>
          <t>2024-06-10</t>
        </is>
      </c>
      <c r="BT11" s="8"/>
      <c r="BU11" s="8"/>
      <c r="BV11" s="8"/>
      <c r="BW11" s="8"/>
      <c r="BX11" s="8"/>
      <c r="BY11" s="8"/>
      <c r="BZ11" s="9"/>
      <c r="CA11" s="9"/>
      <c r="CB11" t="inlineStr" s="8">
        <is>
          <t>3166164754</t>
        </is>
      </c>
      <c r="CC11" t="inlineStr" s="8">
        <is>
          <t>ehrmantraut.clark.73542017@example.com</t>
        </is>
      </c>
      <c r="CD11" t="inlineStr" s="8">
        <is>
          <t>PANTHER PINK CEL: 3166164981</t>
        </is>
      </c>
      <c r="CE11" t="inlineStr" s="8">
        <is>
          <t>NC3698 DIC.30/23 CESION DE MAGGIE BENDER A CLARK EHRMANTRAUT *ANTIC $15.000.000 *ARRAS $4'640</t>
        </is>
      </c>
    </row>
    <row r="12" ht="12.75" customHeight="1">
      <c r="A12" t="inlineStr" s="8">
        <is>
          <t>60007919080048</t>
        </is>
      </c>
      <c r="B12" s="8"/>
      <c r="C12" t="inlineStr" s="8">
        <is>
          <t>201</t>
        </is>
      </c>
      <c r="D12" s="9">
        <v>55.20</v>
      </c>
      <c r="E12" t="inlineStr" s="8">
        <is>
          <t>73547717</t>
        </is>
      </c>
      <c r="F12" t="inlineStr" s="8">
        <is>
          <t>LOVEGOOD LEIA</t>
        </is>
      </c>
      <c r="G12" t="inlineStr" s="8">
        <is>
          <t>KENOBI CLEVELAND</t>
        </is>
      </c>
      <c r="H12" t="inlineStr" s="8">
        <is>
          <t>BANCO DE BOGOTA</t>
        </is>
      </c>
      <c r="I12" s="9">
        <v>192172500.00</v>
      </c>
      <c r="J12" t="inlineStr" s="8">
        <is>
          <t>NCR3709 - NCR3706 - NCR3717CR</t>
        </is>
      </c>
      <c r="K12" t="inlineStr" s="8">
        <is>
          <t>NCR3711 - NCR3716 - NCR3708 - NCR3712 - NCR3707 - NCR3715 - NCR3710 - NCR3713 - NCR3714</t>
        </is>
      </c>
      <c r="L12" t="inlineStr" s="8">
        <is>
          <t>JUL.11/22F - NOV.7/22F - NOV.16/22F - FEB.4/23F - FEB.16/23F - MAY.27/23F - JUN.15/23F - JUL.5/23F - AGO.14/23F - SEP.14/23 - OCT.1/23</t>
        </is>
      </c>
      <c r="M12" s="9">
        <f>12454000+1651000</f>
      </c>
      <c r="N12" s="9"/>
      <c r="O12" t="inlineStr" s="8">
        <is>
          <t>OCT.16/23</t>
        </is>
      </c>
      <c r="P12" s="8"/>
      <c r="Q12" s="10"/>
      <c r="R12" s="10"/>
      <c r="S12" s="10"/>
      <c r="T12" s="10"/>
      <c r="U12" s="10"/>
      <c r="V12" s="10">
        <v>4434000</v>
      </c>
      <c r="W12" s="10"/>
      <c r="X12" s="10"/>
      <c r="Y12" s="10"/>
      <c r="Z12" s="10">
        <f>755500+6510000</f>
      </c>
      <c r="AA12" s="10"/>
      <c r="AB12" s="10"/>
      <c r="AC12" s="10">
        <f>4198000+2594000</f>
      </c>
      <c r="AD12" s="10"/>
      <c r="AE12" s="10"/>
      <c r="AF12" s="10">
        <v>5802000</v>
      </c>
      <c r="AG12" s="10">
        <v>1887000</v>
      </c>
      <c r="AH12" s="10">
        <v>2311000</v>
      </c>
      <c r="AI12" s="10">
        <v>4576000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>
        <v>125000000</v>
      </c>
      <c r="BF12" s="9"/>
      <c r="BG12" s="9"/>
      <c r="BH12" s="9"/>
      <c r="BI12" s="9">
        <f>SUM(M12,N12,Q12,R12,S12,T12,U12,V12,W12,X12,Y12,Z12,AA12,AB12,AC12,AD12,AE12,AF12,AG12,AH12,AI12,AJ12,AK12,AL12,AM12,AN12,AO12,AP12,AQ12,AR12,AS12,AT12,AU12,AV12,AW12,AX12,AY12,AZ12,BA12,BB12,BC12,BD12,BE12,BF12,BG12,BH12)</f>
      </c>
      <c r="BJ12" s="9">
        <f>I12-BI12</f>
      </c>
      <c r="BK12" s="9">
        <f>BJ12-BL12-BM12-BN12-BO12</f>
      </c>
      <c r="BL12" s="9"/>
      <c r="BM12" s="9"/>
      <c r="BN12" s="9"/>
      <c r="BO12" s="9"/>
      <c r="BP12" s="8"/>
      <c r="BQ12" t="inlineStr" s="8">
        <is>
          <t>2022-08-29</t>
        </is>
      </c>
      <c r="BR12" t="inlineStr" s="8">
        <is>
          <t>2022-10-24</t>
        </is>
      </c>
      <c r="BS12" t="inlineStr" s="8">
        <is>
          <t>2023-11-18</t>
        </is>
      </c>
      <c r="BT12" s="8"/>
      <c r="BU12" s="8"/>
      <c r="BV12" s="8"/>
      <c r="BW12" s="8"/>
      <c r="BX12" s="8"/>
      <c r="BY12" s="8"/>
      <c r="BZ12" s="9"/>
      <c r="CA12" s="9"/>
      <c r="CB12" t="inlineStr" s="8">
        <is>
          <t>3166165599</t>
        </is>
      </c>
      <c r="CC12" t="inlineStr" s="8">
        <is>
          <t>lovegood.leia.73547717@example.com</t>
        </is>
      </c>
      <c r="CD12" t="inlineStr" s="8">
        <is>
          <t>MOUSE MICKEY CEL: 3166166445</t>
        </is>
      </c>
      <c r="CE12" s="8"/>
    </row>
    <row r="13" ht="12.75" customHeight="1">
      <c r="A13" t="inlineStr" s="8">
        <is>
          <t>60007919080059</t>
        </is>
      </c>
      <c r="B13" s="8"/>
      <c r="C13" t="inlineStr" s="8">
        <is>
          <t>202</t>
        </is>
      </c>
      <c r="D13" s="9">
        <v>55.20</v>
      </c>
      <c r="E13" t="inlineStr" s="8">
        <is>
          <t>73555494</t>
        </is>
      </c>
      <c r="F13" t="inlineStr" s="8">
        <is>
          <t>SMITH FRODO</t>
        </is>
      </c>
      <c r="G13" s="8"/>
      <c r="H13" t="inlineStr" s="8">
        <is>
          <t>BANCO DE OCCIDENTE</t>
        </is>
      </c>
      <c r="I13" s="9">
        <v>192172500.00</v>
      </c>
      <c r="J13" t="inlineStr" s="8">
        <is>
          <t>NCR3728CR</t>
        </is>
      </c>
      <c r="K13" t="inlineStr" s="8">
        <is>
          <t>NCR3727 - NCR3721 - NCR3726 - NCR3724 - NCR3722 - NCR3720 - NCR3719 - NCR3723 - NCR3725</t>
        </is>
      </c>
      <c r="L13" t="inlineStr" s="8">
        <is>
          <t>FEB.6/24F - FEB.11/24F - MAY.18/24F - AGO.4/24F - OCT.10/24F - MAR.27/25F - JUN.8/25F - JUN.17/25F - JUN.24/25F</t>
        </is>
      </c>
      <c r="M13" s="9"/>
      <c r="N13" s="9"/>
      <c r="O13" t="inlineStr" s="8">
        <is>
          <t>ENE.21/25</t>
        </is>
      </c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>
        <f>2875500+24405000</f>
      </c>
      <c r="AP13" s="10"/>
      <c r="AQ13" s="10"/>
      <c r="AR13" s="10">
        <v>1315000</v>
      </c>
      <c r="AS13" s="10"/>
      <c r="AT13" s="10"/>
      <c r="AU13" s="10">
        <v>3862000</v>
      </c>
      <c r="AV13" s="10"/>
      <c r="AW13" s="10">
        <v>12490000</v>
      </c>
      <c r="AX13" s="10"/>
      <c r="AY13" s="10"/>
      <c r="AZ13" s="10"/>
      <c r="BA13" s="10"/>
      <c r="BB13" s="10">
        <v>329000</v>
      </c>
      <c r="BC13" s="10"/>
      <c r="BD13" s="10">
        <f>247000+28103000+8546000</f>
      </c>
      <c r="BE13" s="9">
        <v>110000000</v>
      </c>
      <c r="BF13" s="9"/>
      <c r="BG13" s="9"/>
      <c r="BH13" s="9"/>
      <c r="BI13" s="9">
        <f>SUM(M13,N13,Q13,R13,S13,T13,U13,V13,W13,X13,Y13,Z13,AA13,AB13,AC13,AD13,AE13,AF13,AG13,AH13,AI13,AJ13,AK13,AL13,AM13,AN13,AO13,AP13,AQ13,AR13,AS13,AT13,AU13,AV13,AW13,AX13,AY13,AZ13,BA13,BB13,BC13,BD13,BE13,BF13,BG13,BH13)</f>
      </c>
      <c r="BJ13" s="9">
        <f>I13-BI13</f>
      </c>
      <c r="BK13" s="9">
        <f>BJ13-BL13-BM13-BN13-BO13</f>
      </c>
      <c r="BL13" s="9"/>
      <c r="BM13" s="9"/>
      <c r="BN13" s="9"/>
      <c r="BO13" s="9"/>
      <c r="BP13" s="8"/>
      <c r="BQ13" t="inlineStr" s="8">
        <is>
          <t>2024-02-11</t>
        </is>
      </c>
      <c r="BR13" t="inlineStr" s="8">
        <is>
          <t>2024-04-13</t>
        </is>
      </c>
      <c r="BS13" t="inlineStr" s="8">
        <is>
          <t>2025-10-20</t>
        </is>
      </c>
      <c r="BT13" s="8"/>
      <c r="BU13" s="8"/>
      <c r="BV13" s="8"/>
      <c r="BW13" s="8"/>
      <c r="BX13" s="8"/>
      <c r="BY13" s="8"/>
      <c r="BZ13" s="9"/>
      <c r="CA13" s="9"/>
      <c r="CB13" t="inlineStr" s="8">
        <is>
          <t>3166167347</t>
        </is>
      </c>
      <c r="CC13" t="inlineStr" s="8">
        <is>
          <t>smith.frodo.73555494@example.com</t>
        </is>
      </c>
      <c r="CD13" t="inlineStr" s="8">
        <is>
          <t>DUCK DAFFY CEL: 3166168284</t>
        </is>
      </c>
      <c r="CE13" s="8"/>
    </row>
    <row r="14" ht="12.75" customHeight="1">
      <c r="A14" t="inlineStr" s="8">
        <is>
          <t>60007919080105</t>
        </is>
      </c>
      <c r="B14" s="8"/>
      <c r="C14" t="inlineStr" s="8">
        <is>
          <t>203</t>
        </is>
      </c>
      <c r="D14" s="9">
        <v>55.20</v>
      </c>
      <c r="E14" t="inlineStr" s="8">
        <is>
          <t>73560112</t>
        </is>
      </c>
      <c r="F14" t="inlineStr" s="8">
        <is>
          <t>ROGERS CLARK</t>
        </is>
      </c>
      <c r="G14" t="inlineStr" s="8">
        <is>
          <t>KENOBI JON</t>
        </is>
      </c>
      <c r="H14" t="inlineStr" s="8">
        <is>
          <t>BANCO DE OCCIDENTE</t>
        </is>
      </c>
      <c r="I14" s="9">
        <v>192172500.00</v>
      </c>
      <c r="J14" t="inlineStr" s="8">
        <is>
          <t>NCR3744CR</t>
        </is>
      </c>
      <c r="K14" t="inlineStr" s="8">
        <is>
          <t>NCR3741 - NCR3742 - NCR3738 - NCR3737 - NCR3735 - NCR3734 - NCR3739 - NCR3733 - NCR3731 - NCR3743 - NCR3730 - NCR3732 - NCR3736 - NCR3740</t>
        </is>
      </c>
      <c r="L14" t="inlineStr" s="8">
        <is>
          <t>ABR.14/22F - ABR.25/22F - MAY.11/22F - JUN.27/22F - AGO.2/22F - AGO.6/22F - OCT.4/22F - OCT.9/22F - OCT.16/22F - OCT.18/22F - OCT.23/22F - OCT.27/22F - DIC.1/22F - MAY.21/23F</t>
        </is>
      </c>
      <c r="M14" s="9"/>
      <c r="N14" s="9"/>
      <c r="O14" t="inlineStr" s="8">
        <is>
          <t>DIC.25/22</t>
        </is>
      </c>
      <c r="P14" s="8"/>
      <c r="Q14" s="10"/>
      <c r="R14" s="10"/>
      <c r="S14" s="10">
        <f>1338000+1004000</f>
      </c>
      <c r="T14" s="10">
        <v>1821000</v>
      </c>
      <c r="U14" s="10">
        <v>1338000</v>
      </c>
      <c r="V14" s="10"/>
      <c r="W14" s="10">
        <f>11932000+1450000</f>
      </c>
      <c r="X14" s="10"/>
      <c r="Y14" s="10">
        <f>4535000+3606000+520000+2193500+5353000+186000</f>
      </c>
      <c r="Z14" s="10"/>
      <c r="AA14" s="10">
        <v>558000</v>
      </c>
      <c r="AB14" s="10"/>
      <c r="AC14" s="10"/>
      <c r="AD14" s="10"/>
      <c r="AE14" s="10"/>
      <c r="AF14" s="10">
        <v>1338000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>
        <v>125000000</v>
      </c>
      <c r="BF14" s="9"/>
      <c r="BG14" s="9"/>
      <c r="BH14" s="9"/>
      <c r="BI14" s="9">
        <f>SUM(M14,N14,Q14,R14,S14,T14,U14,V14,W14,X14,Y14,Z14,AA14,AB14,AC14,AD14,AE14,AF14,AG14,AH14,AI14,AJ14,AK14,AL14,AM14,AN14,AO14,AP14,AQ14,AR14,AS14,AT14,AU14,AV14,AW14,AX14,AY14,AZ14,BA14,BB14,BC14,BD14,BE14,BF14,BG14,BH14)</f>
      </c>
      <c r="BJ14" s="9">
        <f>I14-BI14</f>
      </c>
      <c r="BK14" s="9">
        <f>BJ14-BL14-BM14-BN14-BO14</f>
      </c>
      <c r="BL14" s="9"/>
      <c r="BM14" s="9"/>
      <c r="BN14" s="9"/>
      <c r="BO14" s="9"/>
      <c r="BP14" s="8"/>
      <c r="BQ14" t="inlineStr" s="8">
        <is>
          <t>2022-04-21</t>
        </is>
      </c>
      <c r="BR14" t="inlineStr" s="8">
        <is>
          <t>2022-06-01</t>
        </is>
      </c>
      <c r="BS14" s="8"/>
      <c r="BT14" s="8"/>
      <c r="BU14" s="8"/>
      <c r="BV14" s="8"/>
      <c r="BW14" s="8"/>
      <c r="BX14" s="8"/>
      <c r="BY14" s="8"/>
      <c r="BZ14" s="9"/>
      <c r="CA14" s="9"/>
      <c r="CB14" t="inlineStr" s="8">
        <is>
          <t>3166169048</t>
        </is>
      </c>
      <c r="CC14" t="inlineStr" s="8">
        <is>
          <t>rogers.clark.73560112@example.com</t>
        </is>
      </c>
      <c r="CD14" t="inlineStr" s="8">
        <is>
          <t>MOUSE MICKEY CEL: 3166169239</t>
        </is>
      </c>
      <c r="CE14" s="8"/>
    </row>
    <row r="15" ht="12.75" customHeight="1">
      <c r="A15" t="inlineStr" s="8">
        <is>
          <t>60007919080183</t>
        </is>
      </c>
      <c r="B15" s="8"/>
      <c r="C15" t="inlineStr" s="8">
        <is>
          <t>204</t>
        </is>
      </c>
      <c r="D15" s="9">
        <v>55.20</v>
      </c>
      <c r="E15" t="inlineStr" s="8">
        <is>
          <t>73563212</t>
        </is>
      </c>
      <c r="F15" t="inlineStr" s="8">
        <is>
          <t>POTTER EUGENE</t>
        </is>
      </c>
      <c r="G15" s="8"/>
      <c r="H15" t="inlineStr" s="8">
        <is>
          <t>BANCO CAJA SOCIAL</t>
        </is>
      </c>
      <c r="I15" s="9">
        <v>192172500.00</v>
      </c>
      <c r="J15" t="inlineStr" s="8">
        <is>
          <t>NCR3751 - NCR3753CR</t>
        </is>
      </c>
      <c r="K15" t="inlineStr" s="8">
        <is>
          <t>NCR3750 - NCR3747 - NCR3746 - NCR3748 - NCR3749 - NCR3752</t>
        </is>
      </c>
      <c r="L15" t="inlineStr" s="8">
        <is>
          <t>ENE.4/24F - MAR.3/24F - MAR.9/24F - MAR.19/24F - MAY.6/24F - JUN.27/24 - JUN.28/24F</t>
        </is>
      </c>
      <c r="M15" s="9">
        <v>11191000</v>
      </c>
      <c r="N15" s="9"/>
      <c r="O15" t="inlineStr" s="8">
        <is>
          <t>JUL.23/24</t>
        </is>
      </c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>
        <v>41840000</v>
      </c>
      <c r="AO15" s="10"/>
      <c r="AP15" s="10">
        <f>3434000+39169000+5087000</f>
      </c>
      <c r="AQ15" s="10"/>
      <c r="AR15" s="10">
        <v>254000</v>
      </c>
      <c r="AS15" s="10">
        <v>26197500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>
        <v>65000000</v>
      </c>
      <c r="BF15" s="9"/>
      <c r="BG15" s="9"/>
      <c r="BH15" s="9"/>
      <c r="BI15" s="9">
        <f>SUM(M15,N15,Q15,R15,S15,T15,U15,V15,W15,X15,Y15,Z15,AA15,AB15,AC15,AD15,AE15,AF15,AG15,AH15,AI15,AJ15,AK15,AL15,AM15,AN15,AO15,AP15,AQ15,AR15,AS15,AT15,AU15,AV15,AW15,AX15,AY15,AZ15,BA15,BB15,BC15,BD15,BE15,BF15,BG15,BH15)</f>
      </c>
      <c r="BJ15" s="9">
        <f>I15-BI15</f>
      </c>
      <c r="BK15" s="9">
        <f>BJ15-BL15-BM15-BN15-BO15</f>
      </c>
      <c r="BL15" s="9"/>
      <c r="BM15" s="9"/>
      <c r="BN15" s="9"/>
      <c r="BO15" s="9"/>
      <c r="BP15" s="8"/>
      <c r="BQ15" t="inlineStr" s="8">
        <is>
          <t>2024-01-01</t>
        </is>
      </c>
      <c r="BR15" t="inlineStr" s="8">
        <is>
          <t>2024-02-16</t>
        </is>
      </c>
      <c r="BS15" s="8"/>
      <c r="BT15" s="8"/>
      <c r="BU15" s="8"/>
      <c r="BV15" s="8"/>
      <c r="BW15" s="8"/>
      <c r="BX15" s="8"/>
      <c r="BY15" s="8"/>
      <c r="BZ15" s="9"/>
      <c r="CA15" s="9"/>
      <c r="CB15" t="inlineStr" s="8">
        <is>
          <t>3166169359</t>
        </is>
      </c>
      <c r="CC15" t="inlineStr" s="8">
        <is>
          <t>potter.eugene.73563212@example.com</t>
        </is>
      </c>
      <c r="CD15" t="inlineStr" s="8">
        <is>
          <t>PANTHER PINK CEL: 3166169804</t>
        </is>
      </c>
      <c r="CE15" s="8"/>
    </row>
    <row r="16" ht="12.75" customHeight="1">
      <c r="A16" t="inlineStr" s="8">
        <is>
          <t>60007919080322</t>
        </is>
      </c>
      <c r="B16" s="8"/>
      <c r="C16" t="inlineStr" s="8">
        <is>
          <t>205</t>
        </is>
      </c>
      <c r="D16" s="9">
        <v>55.20</v>
      </c>
      <c r="E16" t="inlineStr" s="8">
        <is>
          <t>73578729</t>
        </is>
      </c>
      <c r="F16" t="inlineStr" s="8">
        <is>
          <t>TANO MIKE</t>
        </is>
      </c>
      <c r="G16" t="inlineStr" s="8">
        <is>
          <t>KENT SANDY</t>
        </is>
      </c>
      <c r="H16" t="inlineStr" s="8">
        <is>
          <t>BANCOLOMBIA</t>
        </is>
      </c>
      <c r="I16" s="9">
        <v>192172500.00</v>
      </c>
      <c r="J16" t="inlineStr" s="8">
        <is>
          <t>NCR3758 - NCR3760 - NCR3756 - NC3754CESION - NCR3763CR</t>
        </is>
      </c>
      <c r="K16" t="inlineStr" s="8">
        <is>
          <t>NCR3759 - NCR3757 - NCR3762 - NCR3761 - NCR3755</t>
        </is>
      </c>
      <c r="L16" t="inlineStr" s="8">
        <is>
          <t>DIC.9/22F - ENE.14/23F - MAR.13/23F - ABR.23/23F - JUL.1/23 - JUL.7/23 - JUL.25/23 - (JUL.27/23CESION) - OCT.26/23F</t>
        </is>
      </c>
      <c r="M16" s="9">
        <f>1863000+201000+4330000</f>
      </c>
      <c r="N16" s="9">
        <v>12000000</v>
      </c>
      <c r="O16" t="inlineStr" s="8">
        <is>
          <t>ABR.28/23</t>
        </is>
      </c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730000</v>
      </c>
      <c r="AB16" s="10">
        <v>6570000</v>
      </c>
      <c r="AC16" s="10"/>
      <c r="AD16" s="10">
        <v>6947500</v>
      </c>
      <c r="AE16" s="10">
        <v>3952000</v>
      </c>
      <c r="AF16" s="10"/>
      <c r="AG16" s="10"/>
      <c r="AH16" s="10"/>
      <c r="AI16" s="10"/>
      <c r="AJ16" s="10"/>
      <c r="AK16" s="10">
        <v>579000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>
        <v>125000000</v>
      </c>
      <c r="BF16" s="9"/>
      <c r="BG16" s="9"/>
      <c r="BH16" s="9"/>
      <c r="BI16" s="9">
        <f>SUM(M16,N16,Q16,R16,S16,T16,U16,V16,W16,X16,Y16,Z16,AA16,AB16,AC16,AD16,AE16,AF16,AG16,AH16,AI16,AJ16,AK16,AL16,AM16,AN16,AO16,AP16,AQ16,AR16,AS16,AT16,AU16,AV16,AW16,AX16,AY16,AZ16,BA16,BB16,BC16,BD16,BE16,BF16,BG16,BH16)</f>
      </c>
      <c r="BJ16" s="9">
        <f>I16-BI16</f>
      </c>
      <c r="BK16" s="9">
        <f>BJ16-BL16-BM16-BN16-BO16</f>
      </c>
      <c r="BL16" s="9"/>
      <c r="BM16" s="9"/>
      <c r="BN16" s="9"/>
      <c r="BO16" s="9"/>
      <c r="BP16" s="8"/>
      <c r="BQ16" t="inlineStr" s="8">
        <is>
          <t>2023-02-25</t>
        </is>
      </c>
      <c r="BR16" t="inlineStr" s="8">
        <is>
          <t>2023-03-12</t>
        </is>
      </c>
      <c r="BS16" t="inlineStr" s="8">
        <is>
          <t>2023-12-13</t>
        </is>
      </c>
      <c r="BT16" s="8"/>
      <c r="BU16" s="8"/>
      <c r="BV16" s="8"/>
      <c r="BW16" s="8"/>
      <c r="BX16" s="8"/>
      <c r="BY16" s="8"/>
      <c r="BZ16" s="9"/>
      <c r="CA16" s="9"/>
      <c r="CB16" t="inlineStr" s="8">
        <is>
          <t>3166171035</t>
        </is>
      </c>
      <c r="CC16" t="inlineStr" s="8">
        <is>
          <t>tano.mike.73578729@example.com</t>
        </is>
      </c>
      <c r="CD16" t="inlineStr" s="8">
        <is>
          <t>MOUSE MICKEY CEL: 3166172454</t>
        </is>
      </c>
      <c r="CE16" s="8"/>
    </row>
    <row r="17" ht="12.75" customHeight="1">
      <c r="A17" t="inlineStr" s="8">
        <is>
          <t>60007919080435</t>
        </is>
      </c>
      <c r="B17" s="8"/>
      <c r="C17" t="inlineStr" s="8">
        <is>
          <t>206</t>
        </is>
      </c>
      <c r="D17" s="9">
        <v>55.20</v>
      </c>
      <c r="E17" t="inlineStr" s="8">
        <is>
          <t>73581353</t>
        </is>
      </c>
      <c r="F17" t="inlineStr" s="8">
        <is>
          <t>MARTIN WALTER</t>
        </is>
      </c>
      <c r="G17" s="8"/>
      <c r="H17" t="inlineStr" s="8">
        <is>
          <t>BBVA</t>
        </is>
      </c>
      <c r="I17" s="9">
        <v>192172500.00</v>
      </c>
      <c r="J17" t="inlineStr" s="8">
        <is>
          <t>NCR3770CR</t>
        </is>
      </c>
      <c r="K17" t="inlineStr" s="8">
        <is>
          <t>NCR3766 - NCR3765 - NCR3768 - NCR3769 - NCR3767</t>
        </is>
      </c>
      <c r="L17" t="inlineStr" s="8">
        <is>
          <t>SEP.28/22F - NOV.27/22F - DIC.9/22F - ENE.8/23F - ENE.25/23F</t>
        </is>
      </c>
      <c r="M17" s="9"/>
      <c r="N17" s="9"/>
      <c r="O17" t="inlineStr" s="8">
        <is>
          <t>NOV.8/22</t>
        </is>
      </c>
      <c r="P17" s="8"/>
      <c r="Q17" s="10"/>
      <c r="R17" s="10"/>
      <c r="S17" s="10"/>
      <c r="T17" s="10"/>
      <c r="U17" s="10"/>
      <c r="V17" s="10"/>
      <c r="W17" s="10"/>
      <c r="X17" s="10">
        <v>3896000</v>
      </c>
      <c r="Y17" s="10"/>
      <c r="Z17" s="10">
        <v>1816000</v>
      </c>
      <c r="AA17" s="10">
        <v>173000</v>
      </c>
      <c r="AB17" s="10">
        <f>411334+1923000</f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>
        <v>11609666</v>
      </c>
      <c r="BF17" s="9"/>
      <c r="BG17" s="9"/>
      <c r="BH17" s="9"/>
      <c r="BI17" s="9">
        <f>SUM(M17,N17,Q17,R17,S17,T17,U17,V17,W17,X17,Y17,Z17,AA17,AB17,AC17,AD17,AE17,AF17,AG17,AH17,AI17,AJ17,AK17,AL17,AM17,AN17,AO17,AP17,AQ17,AR17,AS17,AT17,AU17,AV17,AW17,AX17,AY17,AZ17,BA17,BB17,BC17,BD17,BE17,BF17,BG17,BH17)</f>
      </c>
      <c r="BJ17" s="9">
        <f>I17-BI17</f>
      </c>
      <c r="BK17" s="9">
        <f>BJ17-BL17-BM17-BN17-BO17</f>
      </c>
      <c r="BL17" s="9"/>
      <c r="BM17" s="9"/>
      <c r="BN17" s="9"/>
      <c r="BO17" s="9"/>
      <c r="BP17" s="8"/>
      <c r="BQ17" t="inlineStr" s="8">
        <is>
          <t>2022-05-31</t>
        </is>
      </c>
      <c r="BR17" t="inlineStr" s="8">
        <is>
          <t>2022-06-10</t>
        </is>
      </c>
      <c r="BS17" s="8"/>
      <c r="BT17" s="8"/>
      <c r="BU17" s="8"/>
      <c r="BV17" s="8"/>
      <c r="BW17" s="8"/>
      <c r="BX17" s="8"/>
      <c r="BY17" s="8"/>
      <c r="BZ17" s="9"/>
      <c r="CA17" s="9"/>
      <c r="CB17" t="inlineStr" s="8">
        <is>
          <t>3166173182</t>
        </is>
      </c>
      <c r="CC17" t="inlineStr" s="8">
        <is>
          <t>martin.walter.73581353@example.com</t>
        </is>
      </c>
      <c r="CD17" t="inlineStr" s="8">
        <is>
          <t>FLINTSTONE FRED CEL: 3166173590</t>
        </is>
      </c>
      <c r="CE17" s="8"/>
    </row>
    <row r="18" ht="12.75" customHeight="1">
      <c r="A18" t="inlineStr" s="8">
        <is>
          <t>60007919080456</t>
        </is>
      </c>
      <c r="B18" s="8"/>
      <c r="C18" t="inlineStr" s="8">
        <is>
          <t>207</t>
        </is>
      </c>
      <c r="D18" s="9">
        <v>55.20</v>
      </c>
      <c r="E18" t="inlineStr" s="8">
        <is>
          <t>73590097</t>
        </is>
      </c>
      <c r="F18" t="inlineStr" s="8">
        <is>
          <t>ORGANA LEIA</t>
        </is>
      </c>
      <c r="G18" s="8"/>
      <c r="H18" t="inlineStr" s="8">
        <is>
          <t>BANCO DE BOGOTA</t>
        </is>
      </c>
      <c r="I18" s="9">
        <v>192172500.00</v>
      </c>
      <c r="J18" t="inlineStr" s="8">
        <is>
          <t>NCR3772CR</t>
        </is>
      </c>
      <c r="K18" s="8"/>
      <c r="L18" s="8"/>
      <c r="M18" s="9"/>
      <c r="N18" s="9"/>
      <c r="O18" t="inlineStr" s="8">
        <is>
          <t>ABR.4/24</t>
        </is>
      </c>
      <c r="P18" s="8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9">
        <v>77296000</v>
      </c>
      <c r="BF18" s="9"/>
      <c r="BG18" s="9"/>
      <c r="BH18" s="9"/>
      <c r="BI18" s="9">
        <f>SUM(M18,N18,Q18,R18,S18,T18,U18,V18,W18,X18,Y18,Z18,AA18,AB18,AC18,AD18,AE18,AF18,AG18,AH18,AI18,AJ18,AK18,AL18,AM18,AN18,AO18,AP18,AQ18,AR18,AS18,AT18,AU18,AV18,AW18,AX18,AY18,AZ18,BA18,BB18,BC18,BD18,BE18,BF18,BG18,BH18)</f>
      </c>
      <c r="BJ18" s="9">
        <f>I18-BI18</f>
      </c>
      <c r="BK18" s="9">
        <f>BJ18-BL18-BM18-BN18-BO18</f>
      </c>
      <c r="BL18" s="9"/>
      <c r="BM18" s="9"/>
      <c r="BN18" s="9"/>
      <c r="BO18" s="9"/>
      <c r="BP18" s="8"/>
      <c r="BQ18" t="inlineStr" s="8">
        <is>
          <t>2023-08-28</t>
        </is>
      </c>
      <c r="BR18" t="inlineStr" s="8">
        <is>
          <t>2023-09-16</t>
        </is>
      </c>
      <c r="BS18" s="8"/>
      <c r="BT18" s="8"/>
      <c r="BU18" s="8"/>
      <c r="BV18" s="8"/>
      <c r="BW18" s="8"/>
      <c r="BX18" s="8"/>
      <c r="BY18" s="8"/>
      <c r="BZ18" s="9"/>
      <c r="CA18" s="9"/>
      <c r="CB18" t="inlineStr" s="8">
        <is>
          <t>3166173896</t>
        </is>
      </c>
      <c r="CC18" t="inlineStr" s="8">
        <is>
          <t>organa.leia.73590097@example.com</t>
        </is>
      </c>
      <c r="CD18" t="inlineStr" s="8">
        <is>
          <t>MOUSE MICKEY CEL: 3166174223</t>
        </is>
      </c>
      <c r="CE18" s="8"/>
    </row>
    <row r="19" ht="12.75" customHeight="1">
      <c r="A19" t="inlineStr" s="8">
        <is>
          <t>60007919080590</t>
        </is>
      </c>
      <c r="B19" s="8"/>
      <c r="C19" t="inlineStr" s="8">
        <is>
          <t>301</t>
        </is>
      </c>
      <c r="D19" s="9">
        <v>55.20</v>
      </c>
      <c r="E19" t="inlineStr" s="8">
        <is>
          <t>73594135</t>
        </is>
      </c>
      <c r="F19" t="inlineStr" s="8">
        <is>
          <t>KENT JON</t>
        </is>
      </c>
      <c r="G19" t="inlineStr" s="8">
        <is>
          <t>SCHRUTE MAGGIE</t>
        </is>
      </c>
      <c r="H19" t="inlineStr" s="8">
        <is>
          <t>BANCO CAJA SOCIAL</t>
        </is>
      </c>
      <c r="I19" s="9">
        <v>192172500.00</v>
      </c>
      <c r="J19" t="inlineStr" s="8">
        <is>
          <t>NCR3782CR</t>
        </is>
      </c>
      <c r="K19" t="inlineStr" s="8">
        <is>
          <t>NCR3780 - NCR3777 - NCR3779 - NCR3776 - NCR3781 - NCR3778 - NCR3775</t>
        </is>
      </c>
      <c r="L19" t="inlineStr" s="8">
        <is>
          <t>ENE.1/24F - FEB.15/24F - JUN.2/24F - JUL.8/24F - OCT.6/24F - NOV.7/24F - DIC.19/24F</t>
        </is>
      </c>
      <c r="M19" s="9"/>
      <c r="N19" s="9"/>
      <c r="O19" t="inlineStr" s="8">
        <is>
          <t>SEP.24/24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>
        <v>10830000</v>
      </c>
      <c r="AO19" s="10">
        <v>2619000</v>
      </c>
      <c r="AP19" s="10"/>
      <c r="AQ19" s="10"/>
      <c r="AR19" s="10"/>
      <c r="AS19" s="10">
        <v>6391000</v>
      </c>
      <c r="AT19" s="10">
        <v>1687000</v>
      </c>
      <c r="AU19" s="10"/>
      <c r="AV19" s="10"/>
      <c r="AW19" s="10">
        <v>6390667</v>
      </c>
      <c r="AX19" s="10">
        <v>13227000</v>
      </c>
      <c r="AY19" s="10">
        <v>3240000</v>
      </c>
      <c r="AZ19" s="10"/>
      <c r="BA19" s="10"/>
      <c r="BB19" s="10"/>
      <c r="BC19" s="10"/>
      <c r="BD19" s="10"/>
      <c r="BE19" s="9">
        <v>22192333</v>
      </c>
      <c r="BF19" s="9"/>
      <c r="BG19" s="9"/>
      <c r="BH19" s="9"/>
      <c r="BI19" s="9">
        <f>SUM(M19,N19,Q19,R19,S19,T19,U19,V19,W19,X19,Y19,Z19,AA19,AB19,AC19,AD19,AE19,AF19,AG19,AH19,AI19,AJ19,AK19,AL19,AM19,AN19,AO19,AP19,AQ19,AR19,AS19,AT19,AU19,AV19,AW19,AX19,AY19,AZ19,BA19,BB19,BC19,BD19,BE19,BF19,BG19,BH19)</f>
      </c>
      <c r="BJ19" s="9">
        <f>I19-BI19</f>
      </c>
      <c r="BK19" s="9">
        <f>BJ19-BL19-BM19-BN19-BO19</f>
      </c>
      <c r="BL19" s="9"/>
      <c r="BM19" s="9"/>
      <c r="BN19" s="9"/>
      <c r="BO19" s="9"/>
      <c r="BP19" s="8"/>
      <c r="BQ19" t="inlineStr" s="8">
        <is>
          <t>2024-03-06</t>
        </is>
      </c>
      <c r="BR19" t="inlineStr" s="8">
        <is>
          <t>2024-05-26</t>
        </is>
      </c>
      <c r="BS19" s="8"/>
      <c r="BT19" s="8"/>
      <c r="BU19" s="8"/>
      <c r="BV19" s="8"/>
      <c r="BW19" s="8"/>
      <c r="BX19" s="8"/>
      <c r="BY19" s="8"/>
      <c r="BZ19" s="9"/>
      <c r="CA19" s="9"/>
      <c r="CB19" t="inlineStr" s="8">
        <is>
          <t>3166174679</t>
        </is>
      </c>
      <c r="CC19" t="inlineStr" s="8">
        <is>
          <t>kent.jon.73594135@example.com</t>
        </is>
      </c>
      <c r="CD19" t="inlineStr" s="8">
        <is>
          <t>JETSON GEORGE CEL: 3166175476</t>
        </is>
      </c>
      <c r="CE19" s="8"/>
    </row>
    <row r="20" ht="12.75" customHeight="1">
      <c r="A20" t="inlineStr" s="8">
        <is>
          <t>60007919080684</t>
        </is>
      </c>
      <c r="B20" s="8"/>
      <c r="C20" t="inlineStr" s="8">
        <is>
          <t>302</t>
        </is>
      </c>
      <c r="D20" s="9">
        <v>55.20</v>
      </c>
      <c r="E20" t="inlineStr" s="8">
        <is>
          <t>73604607</t>
        </is>
      </c>
      <c r="F20" t="inlineStr" s="8">
        <is>
          <t>ORGANA DIANA</t>
        </is>
      </c>
      <c r="G20" t="inlineStr" s="8">
        <is>
          <t>POIROT STEWIE</t>
        </is>
      </c>
      <c r="H20" t="inlineStr" s="8">
        <is>
          <t>BANCO CAJA SOCIAL</t>
        </is>
      </c>
      <c r="I20" s="9">
        <v>192172500.00</v>
      </c>
      <c r="J20" t="inlineStr" s="8">
        <is>
          <t>NCR3793 - NCR3789 - NCR3791 - NCR3794CR</t>
        </is>
      </c>
      <c r="K20" t="inlineStr" s="8">
        <is>
          <t>NCR3788 - NCR3792 - NCR3786 - NCR3785 - NCR3784 - NCR3787 - NCR3790</t>
        </is>
      </c>
      <c r="L20" t="inlineStr" s="8">
        <is>
          <t>AGO.12/23 - SEP.1/23 - SEP.4/23 - SEP.23/23F - ENE.26/24F - MAY.1/24F - MAY.7/24F - MAY.12/24F - MAY.13/24F - JUN.15/24F</t>
        </is>
      </c>
      <c r="M20" s="9">
        <f>4302000+3081000+9590000</f>
      </c>
      <c r="N20" s="9"/>
      <c r="O20" t="inlineStr" s="8">
        <is>
          <t>OCT.7/23</t>
        </is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7672000</v>
      </c>
      <c r="AK20" s="10"/>
      <c r="AL20" s="10"/>
      <c r="AM20" s="10"/>
      <c r="AN20" s="10">
        <v>232000</v>
      </c>
      <c r="AO20" s="10"/>
      <c r="AP20" s="10"/>
      <c r="AQ20" s="10"/>
      <c r="AR20" s="10">
        <f>9939000+10985000+3313000+407000</f>
      </c>
      <c r="AS20" s="10">
        <v>8602000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9">
        <v>80000000</v>
      </c>
      <c r="BF20" s="9"/>
      <c r="BG20" s="9"/>
      <c r="BH20" s="9"/>
      <c r="BI20" s="9">
        <f>SUM(M20,N20,Q20,R20,S20,T20,U20,V20,W20,X20,Y20,Z20,AA20,AB20,AC20,AD20,AE20,AF20,AG20,AH20,AI20,AJ20,AK20,AL20,AM20,AN20,AO20,AP20,AQ20,AR20,AS20,AT20,AU20,AV20,AW20,AX20,AY20,AZ20,BA20,BB20,BC20,BD20,BE20,BF20,BG20,BH20)</f>
      </c>
      <c r="BJ20" s="9">
        <f>I20-BI20</f>
      </c>
      <c r="BK20" s="9">
        <f>BJ20-BL20-BM20-BN20-BO20</f>
      </c>
      <c r="BL20" s="9"/>
      <c r="BM20" s="9"/>
      <c r="BN20" s="9"/>
      <c r="BO20" s="9"/>
      <c r="BP20" s="8"/>
      <c r="BQ20" t="inlineStr" s="8">
        <is>
          <t>2023-08-20</t>
        </is>
      </c>
      <c r="BR20" t="inlineStr" s="8">
        <is>
          <t>2023-09-16</t>
        </is>
      </c>
      <c r="BS20" s="8"/>
      <c r="BT20" s="8"/>
      <c r="BU20" s="8"/>
      <c r="BV20" s="8"/>
      <c r="BW20" s="8"/>
      <c r="BX20" s="8"/>
      <c r="BY20" s="8"/>
      <c r="BZ20" s="9"/>
      <c r="CA20" s="9"/>
      <c r="CB20" t="inlineStr" s="8">
        <is>
          <t>3166175521</t>
        </is>
      </c>
      <c r="CC20" t="inlineStr" s="8">
        <is>
          <t>organa.diana.73604607@example.com</t>
        </is>
      </c>
      <c r="CD20" t="inlineStr" s="8">
        <is>
          <t>BUNNY BUGS CEL: 3166176692</t>
        </is>
      </c>
      <c r="CE20" s="8"/>
    </row>
    <row r="21" ht="12.75" customHeight="1">
      <c r="A21" t="inlineStr" s="8">
        <is>
          <t>60007919080843</t>
        </is>
      </c>
      <c r="B21" s="8"/>
      <c r="C21" t="inlineStr" s="8">
        <is>
          <t>303</t>
        </is>
      </c>
      <c r="D21" s="9">
        <v>55.20</v>
      </c>
      <c r="E21" t="inlineStr" s="8">
        <is>
          <t>73626459</t>
        </is>
      </c>
      <c r="F21" t="inlineStr" s="8">
        <is>
          <t>SINCLAIR LISA</t>
        </is>
      </c>
      <c r="G21" s="8"/>
      <c r="H21" t="inlineStr" s="8">
        <is>
          <t>BANCOLOMBIA</t>
        </is>
      </c>
      <c r="I21" s="9">
        <v>192172500.00</v>
      </c>
      <c r="J21" t="inlineStr" s="8">
        <is>
          <t>NC3796TRASLADO - NCR3803CR</t>
        </is>
      </c>
      <c r="K21" t="inlineStr" s="8">
        <is>
          <t>NCR3797 - NCR3802 - NCR3799 - NCR3798 - NCR3801 - NCR3800</t>
        </is>
      </c>
      <c r="L21" t="inlineStr" s="8">
        <is>
          <t>MAR.13/24F - MAR.22/24F - (ABR.13/24TRASLADO) - JUN.18/24F - AGO.7/24F - NOV.21/24F - NOV.28/24F</t>
        </is>
      </c>
      <c r="M21" s="9"/>
      <c r="N21" s="9">
        <v>25000000</v>
      </c>
      <c r="O21" t="inlineStr" s="8">
        <is>
          <t>ABR.19/24</t>
        </is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>
        <f>6104000+1199500</f>
      </c>
      <c r="AQ21" s="10"/>
      <c r="AR21" s="10"/>
      <c r="AS21" s="10">
        <v>3652000</v>
      </c>
      <c r="AT21" s="10"/>
      <c r="AU21" s="10">
        <v>21652000</v>
      </c>
      <c r="AV21" s="10"/>
      <c r="AW21" s="10"/>
      <c r="AX21" s="10">
        <f>12678000+6887000</f>
      </c>
      <c r="AY21" s="10"/>
      <c r="AZ21" s="10"/>
      <c r="BA21" s="10"/>
      <c r="BB21" s="10"/>
      <c r="BC21" s="10"/>
      <c r="BD21" s="10"/>
      <c r="BE21" s="9">
        <v>95000000</v>
      </c>
      <c r="BF21" s="9"/>
      <c r="BG21" s="9"/>
      <c r="BH21" s="9"/>
      <c r="BI21" s="9">
        <f>SUM(M21,N21,Q21,R21,S21,T21,U21,V21,W21,X21,Y21,Z21,AA21,AB21,AC21,AD21,AE21,AF21,AG21,AH21,AI21,AJ21,AK21,AL21,AM21,AN21,AO21,AP21,AQ21,AR21,AS21,AT21,AU21,AV21,AW21,AX21,AY21,AZ21,BA21,BB21,BC21,BD21,BE21,BF21,BG21,BH21)</f>
      </c>
      <c r="BJ21" s="9">
        <f>I21-BI21</f>
      </c>
      <c r="BK21" s="9">
        <f>BJ21-BL21-BM21-BN21-BO21</f>
      </c>
      <c r="BL21" s="9"/>
      <c r="BM21" s="9"/>
      <c r="BN21" s="9"/>
      <c r="BO21" s="9"/>
      <c r="BP21" s="8"/>
      <c r="BQ21" t="inlineStr" s="8">
        <is>
          <t>2024-01-21</t>
        </is>
      </c>
      <c r="BR21" t="inlineStr" s="8">
        <is>
          <t>2024-02-17</t>
        </is>
      </c>
      <c r="BS21" s="8"/>
      <c r="BT21" s="8"/>
      <c r="BU21" s="8"/>
      <c r="BV21" s="8"/>
      <c r="BW21" s="8"/>
      <c r="BX21" s="8"/>
      <c r="BY21" s="8"/>
      <c r="BZ21" s="9"/>
      <c r="CA21" s="9"/>
      <c r="CB21" t="inlineStr" s="8">
        <is>
          <t>3166178083</t>
        </is>
      </c>
      <c r="CC21" t="inlineStr" s="8">
        <is>
          <t>sinclair.lisa.73626459@example.com</t>
        </is>
      </c>
      <c r="CD21" t="inlineStr" s="8">
        <is>
          <t>FLINTSTONE FRED CEL: 3166178768</t>
        </is>
      </c>
      <c r="CE21" t="inlineStr" s="8">
        <is>
          <t>NC3796 ABR.13/24 TRASLADO DE SPONGEBOB KRABS A LISA SINCLAIR *ANTIC $25.000.000 *ARRAS $4'640</t>
        </is>
      </c>
    </row>
    <row r="22" ht="12.75" customHeight="1">
      <c r="A22" t="inlineStr" s="8">
        <is>
          <t>60007919080962</t>
        </is>
      </c>
      <c r="B22" s="8"/>
      <c r="C22" t="inlineStr" s="8">
        <is>
          <t>304</t>
        </is>
      </c>
      <c r="D22" s="9">
        <v>55.20</v>
      </c>
      <c r="E22" t="inlineStr" s="8">
        <is>
          <t>73629348</t>
        </is>
      </c>
      <c r="F22" t="inlineStr" s="8">
        <is>
          <t>HOPPER FRODO</t>
        </is>
      </c>
      <c r="G22" s="8"/>
      <c r="H22" s="8"/>
      <c r="I22" s="9">
        <v>192172500.00</v>
      </c>
      <c r="J22" t="inlineStr" s="8">
        <is>
          <t>NCR3806 - NCR3811 - NCR3809 - NCR3810</t>
        </is>
      </c>
      <c r="K22" t="inlineStr" s="8">
        <is>
          <t>NCR3805 - NCR3813 - NCR3807 - NCR3808 - NCR3812</t>
        </is>
      </c>
      <c r="L22" t="inlineStr" s="8">
        <is>
          <t>JUN.11/23F - JUN.26/23F - JUN.28/23F - JUL.4/23 - AGO.27/23 - OCT.26/23 - DIC.18/23 - ENE.9/24F - FEB.13/24F</t>
        </is>
      </c>
      <c r="M22" s="9">
        <f>3814000+16582000+4035000+2874000</f>
      </c>
      <c r="N22" s="9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f>3980000+8622000+1050000</f>
      </c>
      <c r="AH22" s="10"/>
      <c r="AI22" s="10"/>
      <c r="AJ22" s="10"/>
      <c r="AK22" s="10"/>
      <c r="AL22" s="10"/>
      <c r="AM22" s="10"/>
      <c r="AN22" s="10">
        <v>11441000</v>
      </c>
      <c r="AO22" s="10">
        <v>2874000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/>
      <c r="BF22" s="9"/>
      <c r="BG22" s="9"/>
      <c r="BH22" s="9"/>
      <c r="BI22" s="9">
        <f>SUM(M22,N22,Q22,R22,S22,T22,U22,V22,W22,X22,Y22,Z22,AA22,AB22,AC22,AD22,AE22,AF22,AG22,AH22,AI22,AJ22,AK22,AL22,AM22,AN22,AO22,AP22,AQ22,AR22,AS22,AT22,AU22,AV22,AW22,AX22,AY22,AZ22,BA22,BB22,BC22,BD22,BE22,BF22,BG22,BH22)</f>
      </c>
      <c r="BJ22" s="9">
        <f>I22-BI22</f>
      </c>
      <c r="BK22" s="9">
        <f>BJ22-BL22-BM22-BN22-BO22</f>
      </c>
      <c r="BL22" s="9"/>
      <c r="BM22" s="9"/>
      <c r="BN22" s="9"/>
      <c r="BO22" s="9"/>
      <c r="BP22" s="8"/>
      <c r="BQ22" t="inlineStr" s="8">
        <is>
          <t>2023-01-05</t>
        </is>
      </c>
      <c r="BR22" t="inlineStr" s="8">
        <is>
          <t>2023-02-20</t>
        </is>
      </c>
      <c r="BS22" s="8"/>
      <c r="BT22" s="8"/>
      <c r="BU22" s="8"/>
      <c r="BV22" s="8"/>
      <c r="BW22" s="8"/>
      <c r="BX22" s="8"/>
      <c r="BY22" s="8"/>
      <c r="BZ22" s="9"/>
      <c r="CA22" s="9"/>
      <c r="CB22" t="inlineStr" s="8">
        <is>
          <t>3166179069</t>
        </is>
      </c>
      <c r="CC22" t="inlineStr" s="8">
        <is>
          <t>hopper.frodo.73629348@example.com</t>
        </is>
      </c>
      <c r="CD22" t="inlineStr" s="8">
        <is>
          <t>JAKE CEL: 3166179565</t>
        </is>
      </c>
      <c r="CE22" s="8"/>
    </row>
    <row r="23" ht="12.75" customHeight="1">
      <c r="A23" s="8"/>
      <c r="B23" s="8"/>
      <c r="C23" t="inlineStr" s="8">
        <is>
          <t>305</t>
        </is>
      </c>
      <c r="D23" s="9">
        <v>55.20</v>
      </c>
      <c r="E23" s="8"/>
      <c r="F23" s="8"/>
      <c r="G23" s="8"/>
      <c r="H23" t="inlineStr" s="8">
        <is>
          <t>BBVA</t>
        </is>
      </c>
      <c r="I23" s="9">
        <v>192172500.00</v>
      </c>
      <c r="J23" s="8"/>
      <c r="K23" s="8"/>
      <c r="L23" s="8"/>
      <c r="M23" s="9"/>
      <c r="N23" s="9"/>
      <c r="O23" s="8"/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9"/>
      <c r="CA23" s="9"/>
      <c r="CB23" s="8"/>
      <c r="CC23" s="8"/>
      <c r="CD23" s="8"/>
      <c r="CE23" s="8"/>
    </row>
    <row r="24" ht="12.75" customHeight="1">
      <c r="A24" t="inlineStr" s="8">
        <is>
          <t>60007919081130</t>
        </is>
      </c>
      <c r="B24" s="8"/>
      <c r="C24" t="inlineStr" s="8">
        <is>
          <t>306</t>
        </is>
      </c>
      <c r="D24" s="9">
        <v>55.20</v>
      </c>
      <c r="E24" t="inlineStr" s="8">
        <is>
          <t>73641178</t>
        </is>
      </c>
      <c r="F24" t="inlineStr" s="8">
        <is>
          <t>BUELLER STEVE</t>
        </is>
      </c>
      <c r="G24" s="8"/>
      <c r="H24" s="8"/>
      <c r="I24" s="9">
        <v>192172500.00</v>
      </c>
      <c r="J24" t="inlineStr" s="8">
        <is>
          <t>NCR3825 - NCR3821 - NCR3817</t>
        </is>
      </c>
      <c r="K24" t="inlineStr" s="8">
        <is>
          <t>NCR3822 - NCR3819 - NCR3820 - NCR3823 - NCR3824 - NCR3818</t>
        </is>
      </c>
      <c r="L24" t="inlineStr" s="8">
        <is>
          <t>ABR.15/22F - ENE.2/23F - FEB.17/23F - ABR.24/23F - MAY.26/23F - OCT.14/23 - OCT.18/23 - OCT.24/23F - NOV.15/23</t>
        </is>
      </c>
      <c r="M24" s="9">
        <f>7495000+30554500+65339000</f>
      </c>
      <c r="N24" s="9"/>
      <c r="O24" s="8"/>
      <c r="P24" s="8"/>
      <c r="Q24" s="10"/>
      <c r="R24" s="10"/>
      <c r="S24" s="10">
        <v>2690000</v>
      </c>
      <c r="T24" s="10"/>
      <c r="U24" s="10"/>
      <c r="V24" s="10"/>
      <c r="W24" s="10"/>
      <c r="X24" s="10"/>
      <c r="Y24" s="10"/>
      <c r="Z24" s="10"/>
      <c r="AA24" s="10"/>
      <c r="AB24" s="10">
        <v>47467000</v>
      </c>
      <c r="AC24" s="10">
        <v>8071000</v>
      </c>
      <c r="AD24" s="10"/>
      <c r="AE24" s="10">
        <v>961000</v>
      </c>
      <c r="AF24" s="10">
        <v>577000</v>
      </c>
      <c r="AG24" s="10"/>
      <c r="AH24" s="10"/>
      <c r="AI24" s="10"/>
      <c r="AJ24" s="10"/>
      <c r="AK24" s="10">
        <v>29018000</v>
      </c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/>
      <c r="BF24" s="9"/>
      <c r="BG24" s="9"/>
      <c r="BH24" s="9"/>
      <c r="BI24" s="9">
        <f>SUM(M24,N24,Q24,R24,S24,T24,U24,V24,W24,X24,Y24,Z24,AA24,AB24,AC24,AD24,AE24,AF24,AG24,AH24,AI24,AJ24,AK24,AL24,AM24,AN24,AO24,AP24,AQ24,AR24,AS24,AT24,AU24,AV24,AW24,AX24,AY24,AZ24,BA24,BB24,BC24,BD24,BE24,BF24,BG24,BH24)</f>
      </c>
      <c r="BJ24" s="9">
        <f>I24-BI24</f>
      </c>
      <c r="BK24" s="9">
        <f>BJ24-BL24-BM24-BN24-BO24</f>
      </c>
      <c r="BL24" s="9"/>
      <c r="BM24" s="9"/>
      <c r="BN24" s="9"/>
      <c r="BO24" s="9"/>
      <c r="BP24" s="8"/>
      <c r="BQ24" t="inlineStr" s="8">
        <is>
          <t>2022-06-14</t>
        </is>
      </c>
      <c r="BR24" t="inlineStr" s="8">
        <is>
          <t>2022-09-02</t>
        </is>
      </c>
      <c r="BS24" t="inlineStr" s="8">
        <is>
          <t>2023-11-15</t>
        </is>
      </c>
      <c r="BT24" s="8"/>
      <c r="BU24" s="8"/>
      <c r="BV24" s="8"/>
      <c r="BW24" s="8"/>
      <c r="BX24" s="8"/>
      <c r="BY24" s="8"/>
      <c r="BZ24" s="9"/>
      <c r="CA24" s="9"/>
      <c r="CB24" t="inlineStr" s="8">
        <is>
          <t>3166181855</t>
        </is>
      </c>
      <c r="CC24" t="inlineStr" s="8">
        <is>
          <t>bueller.steve.73641178@example.com</t>
        </is>
      </c>
      <c r="CD24" t="inlineStr" s="8">
        <is>
          <t>FLINTSTONE FRED CEL: 3166182249</t>
        </is>
      </c>
      <c r="CE24" s="8"/>
    </row>
    <row r="25" ht="12.75" customHeight="1">
      <c r="A25" s="8"/>
      <c r="B25" s="8"/>
      <c r="C25" t="inlineStr" s="8">
        <is>
          <t>307</t>
        </is>
      </c>
      <c r="D25" s="9">
        <v>55.20</v>
      </c>
      <c r="E25" s="8"/>
      <c r="F25" s="8"/>
      <c r="G25" s="8"/>
      <c r="H25" s="8"/>
      <c r="I25" s="9">
        <v>192172500.00</v>
      </c>
      <c r="J25" s="8"/>
      <c r="K25" s="8"/>
      <c r="L25" s="8"/>
      <c r="M25" s="9"/>
      <c r="N25" s="9"/>
      <c r="O25" s="8"/>
      <c r="P25" s="8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9"/>
      <c r="CA25" s="9"/>
      <c r="CB25" s="8"/>
      <c r="CC25" s="8"/>
      <c r="CD25" s="8"/>
      <c r="CE25" s="8"/>
    </row>
    <row r="26" ht="12.75" customHeight="1">
      <c r="A26" t="inlineStr" s="8">
        <is>
          <t>60007919081468</t>
        </is>
      </c>
      <c r="B26" s="8"/>
      <c r="C26" t="inlineStr" s="8">
        <is>
          <t>401</t>
        </is>
      </c>
      <c r="D26" s="9">
        <v>55.20</v>
      </c>
      <c r="E26" t="inlineStr" s="8">
        <is>
          <t>73653594</t>
        </is>
      </c>
      <c r="F26" t="inlineStr" s="8">
        <is>
          <t>SIMPSON MAGGIE</t>
        </is>
      </c>
      <c r="G26" s="8"/>
      <c r="H26" t="inlineStr" s="8">
        <is>
          <t>BANCO DE OCCIDENTE</t>
        </is>
      </c>
      <c r="I26" s="9">
        <v>192172500.00</v>
      </c>
      <c r="J26" t="inlineStr" s="8">
        <is>
          <t>NCR3844CR</t>
        </is>
      </c>
      <c r="K26" t="inlineStr" s="8">
        <is>
          <t>NCR3843 - NCR3840 - NCR3841 - NCR3842</t>
        </is>
      </c>
      <c r="L26" t="inlineStr" s="8">
        <is>
          <t>MAY.3/23F - MAR.7/24F - MAR.9/24F - MAR.23/24F</t>
        </is>
      </c>
      <c r="M26" s="9"/>
      <c r="N26" s="9"/>
      <c r="O26" t="inlineStr" s="8">
        <is>
          <t>OCT.23/23</t>
        </is>
      </c>
      <c r="P26" s="8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2712500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>
        <f>15391000+12313000+21756000</f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9">
        <v>125000000</v>
      </c>
      <c r="BF26" s="9"/>
      <c r="BG26" s="9"/>
      <c r="BH26" s="9"/>
      <c r="BI26" s="9">
        <f>SUM(M26,N26,Q26,R26,S26,T26,U26,V26,W26,X26,Y26,Z26,AA26,AB26,AC26,AD26,AE26,AF26,AG26,AH26,AI26,AJ26,AK26,AL26,AM26,AN26,AO26,AP26,AQ26,AR26,AS26,AT26,AU26,AV26,AW26,AX26,AY26,AZ26,BA26,BB26,BC26,BD26,BE26,BF26,BG26,BH26)</f>
      </c>
      <c r="BJ26" s="9">
        <f>I26-BI26</f>
      </c>
      <c r="BK26" s="9">
        <f>BJ26-BL26-BM26-BN26-BO26</f>
      </c>
      <c r="BL26" s="9"/>
      <c r="BM26" s="9"/>
      <c r="BN26" s="9"/>
      <c r="BO26" s="9"/>
      <c r="BP26" s="8"/>
      <c r="BQ26" t="inlineStr" s="8">
        <is>
          <t>2023-03-28</t>
        </is>
      </c>
      <c r="BR26" t="inlineStr" s="8">
        <is>
          <t>2023-04-18</t>
        </is>
      </c>
      <c r="BS26" t="inlineStr" s="8">
        <is>
          <t>2024-09-01</t>
        </is>
      </c>
      <c r="BT26" s="8"/>
      <c r="BU26" s="8"/>
      <c r="BV26" s="8"/>
      <c r="BW26" s="8"/>
      <c r="BX26" s="8"/>
      <c r="BY26" s="8"/>
      <c r="BZ26" s="9"/>
      <c r="CA26" s="9"/>
      <c r="CB26" t="inlineStr" s="8">
        <is>
          <t>3166183338</t>
        </is>
      </c>
      <c r="CC26" t="inlineStr" s="8">
        <is>
          <t>simpson.maggie.73653594@example.com</t>
        </is>
      </c>
      <c r="CD26" t="inlineStr" s="8">
        <is>
          <t>DUCK DAFFY CEL: 3166184263</t>
        </is>
      </c>
      <c r="CE26" s="8"/>
    </row>
    <row r="27" ht="12.75" customHeight="1">
      <c r="A27" s="8"/>
      <c r="B27" s="8"/>
      <c r="C27" t="inlineStr" s="8">
        <is>
          <t>402</t>
        </is>
      </c>
      <c r="D27" s="9">
        <v>55.20</v>
      </c>
      <c r="E27" s="8"/>
      <c r="F27" s="8"/>
      <c r="G27" s="8"/>
      <c r="H27" s="8"/>
      <c r="I27" s="9">
        <v>192172500.00</v>
      </c>
      <c r="J27" s="8"/>
      <c r="K27" s="8"/>
      <c r="L27" s="8"/>
      <c r="M27" s="9"/>
      <c r="N27" s="9"/>
      <c r="O27" s="8"/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9"/>
      <c r="CA27" s="9"/>
      <c r="CB27" s="8"/>
      <c r="CC27" s="8"/>
      <c r="CD27" s="8"/>
      <c r="CE27" s="8"/>
    </row>
    <row r="28" ht="12.75" customHeight="1">
      <c r="A28" t="inlineStr" s="8">
        <is>
          <t>60007919081636</t>
        </is>
      </c>
      <c r="B28" s="8"/>
      <c r="C28" t="inlineStr" s="8">
        <is>
          <t>403</t>
        </is>
      </c>
      <c r="D28" s="9">
        <v>55.20</v>
      </c>
      <c r="E28" t="inlineStr" s="8">
        <is>
          <t>73658013</t>
        </is>
      </c>
      <c r="F28" t="inlineStr" s="8">
        <is>
          <t>BUELLER PATRICK</t>
        </is>
      </c>
      <c r="G28" s="8"/>
      <c r="H28" t="inlineStr" s="8">
        <is>
          <t>BBVA</t>
        </is>
      </c>
      <c r="I28" s="9">
        <v>192172500.00</v>
      </c>
      <c r="J28" t="inlineStr" s="8">
        <is>
          <t>NCR3857 - NCR3860 - NCR3862CR</t>
        </is>
      </c>
      <c r="K28" t="inlineStr" s="8">
        <is>
          <t>NCR3861 - NCR3856 - NCR3859 - NCR3858 - NCR3855 - NCR3854</t>
        </is>
      </c>
      <c r="L28" t="inlineStr" s="8">
        <is>
          <t>AGO.20/23F - OCT.27/23 - NOV.3/23 - FEB.24/24F - ABR.26/24F - MAY.20/24F - JUL.18/24F - AGO.8/24F</t>
        </is>
      </c>
      <c r="M28" s="9">
        <f>26936000+1948000</f>
      </c>
      <c r="N28" s="9"/>
      <c r="O28" t="inlineStr" s="8">
        <is>
          <t>MAR.11/24</t>
        </is>
      </c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>
        <v>14106500</v>
      </c>
      <c r="AJ28" s="10"/>
      <c r="AK28" s="10"/>
      <c r="AL28" s="10"/>
      <c r="AM28" s="10"/>
      <c r="AN28" s="10"/>
      <c r="AO28" s="10">
        <v>3090000</v>
      </c>
      <c r="AP28" s="10"/>
      <c r="AQ28" s="10">
        <v>1545000</v>
      </c>
      <c r="AR28" s="10">
        <v>739000</v>
      </c>
      <c r="AS28" s="10"/>
      <c r="AT28" s="10">
        <v>7053000</v>
      </c>
      <c r="AU28" s="10">
        <v>11755000</v>
      </c>
      <c r="AV28" s="10"/>
      <c r="AW28" s="10"/>
      <c r="AX28" s="10"/>
      <c r="AY28" s="10"/>
      <c r="AZ28" s="10"/>
      <c r="BA28" s="10"/>
      <c r="BB28" s="10"/>
      <c r="BC28" s="10"/>
      <c r="BD28" s="10"/>
      <c r="BE28" s="9">
        <v>125000000</v>
      </c>
      <c r="BF28" s="9"/>
      <c r="BG28" s="9"/>
      <c r="BH28" s="9"/>
      <c r="BI28" s="9">
        <f>SUM(M28,N28,Q28,R28,S28,T28,U28,V28,W28,X28,Y28,Z28,AA28,AB28,AC28,AD28,AE28,AF28,AG28,AH28,AI28,AJ28,AK28,AL28,AM28,AN28,AO28,AP28,AQ28,AR28,AS28,AT28,AU28,AV28,AW28,AX28,AY28,AZ28,BA28,BB28,BC28,BD28,BE28,BF28,BG28,BH28)</f>
      </c>
      <c r="BJ28" s="9">
        <f>I28-BI28</f>
      </c>
      <c r="BK28" s="9">
        <f>BJ28-BL28-BM28-BN28-BO28</f>
      </c>
      <c r="BL28" s="9"/>
      <c r="BM28" s="9"/>
      <c r="BN28" s="9"/>
      <c r="BO28" s="9"/>
      <c r="BP28" s="8"/>
      <c r="BQ28" t="inlineStr" s="8">
        <is>
          <t>2023-07-26</t>
        </is>
      </c>
      <c r="BR28" t="inlineStr" s="8">
        <is>
          <t>2023-11-21</t>
        </is>
      </c>
      <c r="BS28" s="8"/>
      <c r="BT28" s="8"/>
      <c r="BU28" s="8"/>
      <c r="BV28" s="8"/>
      <c r="BW28" s="8"/>
      <c r="BX28" s="8"/>
      <c r="BY28" s="8"/>
      <c r="BZ28" s="9"/>
      <c r="CA28" s="9"/>
      <c r="CB28" t="inlineStr" s="8">
        <is>
          <t>3166185983</t>
        </is>
      </c>
      <c r="CC28" t="inlineStr" s="8">
        <is>
          <t>bueller.patrick.73658013@example.com</t>
        </is>
      </c>
      <c r="CD28" t="inlineStr" s="8">
        <is>
          <t>FINN CEL: 3166186744</t>
        </is>
      </c>
      <c r="CE28" s="8"/>
    </row>
    <row r="29" ht="12.75" customHeight="1">
      <c r="A29" t="inlineStr" s="8">
        <is>
          <t>60007919081818</t>
        </is>
      </c>
      <c r="B29" s="8"/>
      <c r="C29" t="inlineStr" s="8">
        <is>
          <t>404</t>
        </is>
      </c>
      <c r="D29" s="9">
        <v>55.20</v>
      </c>
      <c r="E29" t="inlineStr" s="8">
        <is>
          <t>73663827</t>
        </is>
      </c>
      <c r="F29" t="inlineStr" s="8">
        <is>
          <t>BUELLER SHERLOCK</t>
        </is>
      </c>
      <c r="G29" t="inlineStr" s="8">
        <is>
          <t>SCOTT JESSE</t>
        </is>
      </c>
      <c r="H29" t="inlineStr" s="8">
        <is>
          <t>BANCO DAVIVIENDA</t>
        </is>
      </c>
      <c r="I29" s="9">
        <v>192172500.00</v>
      </c>
      <c r="J29" t="inlineStr" s="8">
        <is>
          <t>NCR3869CR</t>
        </is>
      </c>
      <c r="K29" t="inlineStr" s="8">
        <is>
          <t>NCR3865 - NCR3867 - NCR3868 - NCR3864 - NCR3866</t>
        </is>
      </c>
      <c r="L29" t="inlineStr" s="8">
        <is>
          <t>MAR.14/22F - MAY.10/22F - JUN.27/22F - JUL.3/22F - NOV.17/22F</t>
        </is>
      </c>
      <c r="M29" s="9"/>
      <c r="N29" s="9"/>
      <c r="O29" t="inlineStr" s="8">
        <is>
          <t>NOV.20/22</t>
        </is>
      </c>
      <c r="P29" s="8"/>
      <c r="Q29" s="10"/>
      <c r="R29" s="10">
        <v>8000000</v>
      </c>
      <c r="S29" s="10"/>
      <c r="T29" s="10">
        <v>235000</v>
      </c>
      <c r="U29" s="10">
        <v>6864000</v>
      </c>
      <c r="V29" s="10">
        <v>6510000</v>
      </c>
      <c r="W29" s="10"/>
      <c r="X29" s="10"/>
      <c r="Y29" s="10"/>
      <c r="Z29" s="10">
        <v>17608000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9">
        <v>125000000</v>
      </c>
      <c r="BF29" s="9"/>
      <c r="BG29" s="9"/>
      <c r="BH29" s="9"/>
      <c r="BI29" s="9">
        <f>SUM(M29,N29,Q29,R29,S29,T29,U29,V29,W29,X29,Y29,Z29,AA29,AB29,AC29,AD29,AE29,AF29,AG29,AH29,AI29,AJ29,AK29,AL29,AM29,AN29,AO29,AP29,AQ29,AR29,AS29,AT29,AU29,AV29,AW29,AX29,AY29,AZ29,BA29,BB29,BC29,BD29,BE29,BF29,BG29,BH29)</f>
      </c>
      <c r="BJ29" s="9">
        <f>I29-BI29</f>
      </c>
      <c r="BK29" s="9">
        <f>BJ29-BL29-BM29-BN29-BO29</f>
      </c>
      <c r="BL29" s="9"/>
      <c r="BM29" s="9"/>
      <c r="BN29" s="9"/>
      <c r="BO29" s="9"/>
      <c r="BP29" s="8"/>
      <c r="BQ29" t="inlineStr" s="8">
        <is>
          <t>2022-02-24</t>
        </is>
      </c>
      <c r="BR29" t="inlineStr" s="8">
        <is>
          <t>2022-06-14</t>
        </is>
      </c>
      <c r="BS29" s="8"/>
      <c r="BT29" s="8"/>
      <c r="BU29" s="8"/>
      <c r="BV29" s="8"/>
      <c r="BW29" s="8"/>
      <c r="BX29" s="8"/>
      <c r="BY29" s="8"/>
      <c r="BZ29" s="9"/>
      <c r="CA29" s="9"/>
      <c r="CB29" t="inlineStr" s="8">
        <is>
          <t>3166186870</t>
        </is>
      </c>
      <c r="CC29" t="inlineStr" s="8">
        <is>
          <t>bueller.sherlock.73663827@example.com</t>
        </is>
      </c>
      <c r="CD29" t="inlineStr" s="8">
        <is>
          <t>MOUSE MINNIE CEL: 3166188021</t>
        </is>
      </c>
      <c r="CE29" s="8"/>
    </row>
    <row r="30" ht="12.75" customHeight="1">
      <c r="A30" t="inlineStr" s="8">
        <is>
          <t>60007919081867</t>
        </is>
      </c>
      <c r="B30" s="8"/>
      <c r="C30" t="inlineStr" s="8">
        <is>
          <t>405</t>
        </is>
      </c>
      <c r="D30" s="9">
        <v>55.20</v>
      </c>
      <c r="E30" t="inlineStr" s="8">
        <is>
          <t>73680823</t>
        </is>
      </c>
      <c r="F30" t="inlineStr" s="8">
        <is>
          <t>BUELLER PETER</t>
        </is>
      </c>
      <c r="G30" s="8"/>
      <c r="H30" t="inlineStr" s="8">
        <is>
          <t>BANCO DE OCCIDENTE</t>
        </is>
      </c>
      <c r="I30" s="9">
        <v>192172500.00</v>
      </c>
      <c r="J30" t="inlineStr" s="8">
        <is>
          <t>NCR3882 - NCR3874 - NCR3879 - NCR3883 - NC3870CESION - NCR3884CR</t>
        </is>
      </c>
      <c r="K30" t="inlineStr" s="8">
        <is>
          <t>NCR3878 - NCR3876 - NCR3872 - NCR3877 - NCR3871 - NCR3880 - NCR3873 - NCR3881 - NCR3875</t>
        </is>
      </c>
      <c r="L30" t="inlineStr" s="8">
        <is>
          <t>SEP.14/23 - SEP.19/23 - OCT.9/23 - OCT.12/23 - OCT.14/23F - NOV.2/23F - NOV.17/23F - FEB.24/24F - MAR.3/24F - (ABR.13/24CESION) - MAY.26/24F - JUN.5/24F - AGO.8/24F - AGO.22/24F</t>
        </is>
      </c>
      <c r="M30" s="9">
        <f>806000+2284000+7858500+8531000</f>
      </c>
      <c r="N30" s="9">
        <v>15000000</v>
      </c>
      <c r="O30" t="inlineStr" s="8">
        <is>
          <t>AGO.31/24</t>
        </is>
      </c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v>17331000</v>
      </c>
      <c r="AL30" s="10">
        <f>3560000+13031000</f>
      </c>
      <c r="AM30" s="10"/>
      <c r="AN30" s="10"/>
      <c r="AO30" s="10">
        <v>3896000</v>
      </c>
      <c r="AP30" s="10">
        <v>4702000</v>
      </c>
      <c r="AQ30" s="10"/>
      <c r="AR30" s="10">
        <v>2956000</v>
      </c>
      <c r="AS30" s="10">
        <v>672000</v>
      </c>
      <c r="AT30" s="10"/>
      <c r="AU30" s="10">
        <f>605000+940164</f>
      </c>
      <c r="AV30" s="10"/>
      <c r="AW30" s="10"/>
      <c r="AX30" s="10"/>
      <c r="AY30" s="10"/>
      <c r="AZ30" s="10"/>
      <c r="BA30" s="10"/>
      <c r="BB30" s="10"/>
      <c r="BC30" s="10"/>
      <c r="BD30" s="10"/>
      <c r="BE30" s="9">
        <v>110000000</v>
      </c>
      <c r="BF30" s="9"/>
      <c r="BG30" s="9"/>
      <c r="BH30" s="9"/>
      <c r="BI30" s="9">
        <f>SUM(M30,N30,Q30,R30,S30,T30,U30,V30,W30,X30,Y30,Z30,AA30,AB30,AC30,AD30,AE30,AF30,AG30,AH30,AI30,AJ30,AK30,AL30,AM30,AN30,AO30,AP30,AQ30,AR30,AS30,AT30,AU30,AV30,AW30,AX30,AY30,AZ30,BA30,BB30,BC30,BD30,BE30,BF30,BG30,BH30)</f>
      </c>
      <c r="BJ30" s="9">
        <f>I30-BI30</f>
      </c>
      <c r="BK30" s="9">
        <f>BJ30-BL30-BM30-BN30-BO30</f>
      </c>
      <c r="BL30" s="9"/>
      <c r="BM30" s="9"/>
      <c r="BN30" s="9"/>
      <c r="BO30" s="9"/>
      <c r="BP30" s="8"/>
      <c r="BQ30" t="inlineStr" s="8">
        <is>
          <t>2023-10-18</t>
        </is>
      </c>
      <c r="BR30" t="inlineStr" s="8">
        <is>
          <t>2024-01-27</t>
        </is>
      </c>
      <c r="BS30" s="8"/>
      <c r="BT30" s="8"/>
      <c r="BU30" s="8"/>
      <c r="BV30" s="8"/>
      <c r="BW30" s="8"/>
      <c r="BX30" s="8"/>
      <c r="BY30" s="8"/>
      <c r="BZ30" s="9"/>
      <c r="CA30" s="9"/>
      <c r="CB30" t="inlineStr" s="8">
        <is>
          <t>3166188266</t>
        </is>
      </c>
      <c r="CC30" t="inlineStr" s="8">
        <is>
          <t>bueller.peter.73680823@example.com</t>
        </is>
      </c>
      <c r="CD30" t="inlineStr" s="8">
        <is>
          <t>DUCK DAFFY CEL: 3166188606</t>
        </is>
      </c>
      <c r="CE30" t="inlineStr" s="8">
        <is>
          <t>NC3870 ABR.13/24 CESION DE DAENERYS KENT A PETER BUELLER *ANTIC $15.000.000 *ARRAS $4'640</t>
        </is>
      </c>
    </row>
    <row r="31" ht="12.75" customHeight="1">
      <c r="A31" t="inlineStr" s="8">
        <is>
          <t>60007919081942</t>
        </is>
      </c>
      <c r="B31" s="8"/>
      <c r="C31" t="inlineStr" s="8">
        <is>
          <t>406</t>
        </is>
      </c>
      <c r="D31" s="9">
        <v>55.20</v>
      </c>
      <c r="E31" t="inlineStr" s="8">
        <is>
          <t>73684318</t>
        </is>
      </c>
      <c r="F31" t="inlineStr" s="8">
        <is>
          <t>BEESLY JESSE</t>
        </is>
      </c>
      <c r="G31" s="8"/>
      <c r="H31" t="inlineStr" s="8">
        <is>
          <t>BBVA</t>
        </is>
      </c>
      <c r="I31" s="9">
        <v>192172500.00</v>
      </c>
      <c r="J31" t="inlineStr" s="8">
        <is>
          <t>NCR3890 - NCR3886 - NCR3896CR</t>
        </is>
      </c>
      <c r="K31" t="inlineStr" s="8">
        <is>
          <t>NCR3892 - NCR3891 - NCR3893 - NCR3895 - NCR3894 - NCR3889 - NCR3888 - NCR3887</t>
        </is>
      </c>
      <c r="L31" t="inlineStr" s="8">
        <is>
          <t>AGO.24/22F - OCT.8/22F - NOV.7/22F - FEB.5/23F - FEB.22/23F - ABR.9/23F - SEP.10/23F - NOV.7/23 - NOV.25/23 - DIC.12/23F</t>
        </is>
      </c>
      <c r="M31" s="9">
        <f>4017000+4174000</f>
      </c>
      <c r="N31" s="9"/>
      <c r="O31" t="inlineStr" s="8">
        <is>
          <t>DIC.25/23</t>
        </is>
      </c>
      <c r="P31" s="8"/>
      <c r="Q31" s="10"/>
      <c r="R31" s="10"/>
      <c r="S31" s="10"/>
      <c r="T31" s="10"/>
      <c r="U31" s="10"/>
      <c r="V31" s="10"/>
      <c r="W31" s="10">
        <v>2243000</v>
      </c>
      <c r="X31" s="10"/>
      <c r="Y31" s="10">
        <v>2296000</v>
      </c>
      <c r="Z31" s="10">
        <v>2035000</v>
      </c>
      <c r="AA31" s="10"/>
      <c r="AB31" s="10"/>
      <c r="AC31" s="10">
        <f>12208500+5843000</f>
      </c>
      <c r="AD31" s="10"/>
      <c r="AE31" s="10">
        <v>2139000</v>
      </c>
      <c r="AF31" s="10"/>
      <c r="AG31" s="10"/>
      <c r="AH31" s="10"/>
      <c r="AI31" s="10"/>
      <c r="AJ31" s="10">
        <v>13982000</v>
      </c>
      <c r="AK31" s="10"/>
      <c r="AL31" s="10"/>
      <c r="AM31" s="10">
        <v>3235000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9">
        <v>110000000</v>
      </c>
      <c r="BF31" s="9"/>
      <c r="BG31" s="9"/>
      <c r="BH31" s="9"/>
      <c r="BI31" s="9">
        <f>SUM(M31,N31,Q31,R31,S31,T31,U31,V31,W31,X31,Y31,Z31,AA31,AB31,AC31,AD31,AE31,AF31,AG31,AH31,AI31,AJ31,AK31,AL31,AM31,AN31,AO31,AP31,AQ31,AR31,AS31,AT31,AU31,AV31,AW31,AX31,AY31,AZ31,BA31,BB31,BC31,BD31,BE31,BF31,BG31,BH31)</f>
      </c>
      <c r="BJ31" s="9">
        <f>I31-BI31</f>
      </c>
      <c r="BK31" s="9">
        <f>BJ31-BL31-BM31-BN31-BO31</f>
      </c>
      <c r="BL31" s="9"/>
      <c r="BM31" s="9"/>
      <c r="BN31" s="9"/>
      <c r="BO31" s="9"/>
      <c r="BP31" s="8"/>
      <c r="BQ31" t="inlineStr" s="8">
        <is>
          <t>2022-10-27</t>
        </is>
      </c>
      <c r="BR31" t="inlineStr" s="8">
        <is>
          <t>2023-01-08</t>
        </is>
      </c>
      <c r="BS31" t="inlineStr" s="8">
        <is>
          <t>2024-01-16</t>
        </is>
      </c>
      <c r="BT31" s="8"/>
      <c r="BU31" s="8"/>
      <c r="BV31" s="8"/>
      <c r="BW31" s="8"/>
      <c r="BX31" s="8"/>
      <c r="BY31" s="8"/>
      <c r="BZ31" s="9"/>
      <c r="CA31" s="9"/>
      <c r="CB31" t="inlineStr" s="8">
        <is>
          <t>3166189114</t>
        </is>
      </c>
      <c r="CC31" t="inlineStr" s="8">
        <is>
          <t>beesly.jesse.73684318@example.com</t>
        </is>
      </c>
      <c r="CD31" t="inlineStr" s="8">
        <is>
          <t>MOUSE MINNIE CEL: 3166190140</t>
        </is>
      </c>
      <c r="CE31" s="8"/>
    </row>
    <row r="32" ht="12.75" customHeight="1">
      <c r="A32" t="inlineStr" s="8">
        <is>
          <t>60007919082084</t>
        </is>
      </c>
      <c r="B32" s="8"/>
      <c r="C32" t="inlineStr" s="8">
        <is>
          <t>407</t>
        </is>
      </c>
      <c r="D32" s="9">
        <v>55.20</v>
      </c>
      <c r="E32" t="inlineStr" s="8">
        <is>
          <t>73686973</t>
        </is>
      </c>
      <c r="F32" t="inlineStr" s="8">
        <is>
          <t>COOPER MAX</t>
        </is>
      </c>
      <c r="G32" t="inlineStr" s="8">
        <is>
          <t>DECKER AMY</t>
        </is>
      </c>
      <c r="H32" t="inlineStr" s="8">
        <is>
          <t>BANCO DE OCCIDENTE</t>
        </is>
      </c>
      <c r="I32" s="9">
        <v>192172500.00</v>
      </c>
      <c r="J32" t="inlineStr" s="8">
        <is>
          <t>NCR3899 - NCR3905 - NCR3909CR</t>
        </is>
      </c>
      <c r="K32" t="inlineStr" s="8">
        <is>
          <t>NCR3907 - NCR3903 - NCR3908 - NCR3900 - NCR3904 - NCR3902 - NCR3906 - NCR3901</t>
        </is>
      </c>
      <c r="L32" t="inlineStr" s="8">
        <is>
          <t>JUN.15/22F - JUL.22/22F - JUL.25/22F - ENE.4/23F - JUN.12/23 - JUN.19/23F - JUN.20/23F - JUN.24/23F - JUL.25/23 - JUL.26/23F</t>
        </is>
      </c>
      <c r="M32" s="9">
        <f>8958000+1588000</f>
      </c>
      <c r="N32" s="9"/>
      <c r="O32" t="inlineStr" s="8">
        <is>
          <t>DIC.16/22</t>
        </is>
      </c>
      <c r="P32" s="8"/>
      <c r="Q32" s="10"/>
      <c r="R32" s="10"/>
      <c r="S32" s="10"/>
      <c r="T32" s="10"/>
      <c r="U32" s="10">
        <v>19251000</v>
      </c>
      <c r="V32" s="10">
        <f>381000+1080000</f>
      </c>
      <c r="W32" s="10"/>
      <c r="X32" s="10"/>
      <c r="Y32" s="10"/>
      <c r="Z32" s="10"/>
      <c r="AA32" s="10"/>
      <c r="AB32" s="10">
        <v>4956000</v>
      </c>
      <c r="AC32" s="10"/>
      <c r="AD32" s="10"/>
      <c r="AE32" s="10"/>
      <c r="AF32" s="10"/>
      <c r="AG32" s="10">
        <f>4003000+1271000+15693000</f>
      </c>
      <c r="AH32" s="10">
        <v>6354000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>
        <v>65000000</v>
      </c>
      <c r="BF32" s="9"/>
      <c r="BG32" s="9"/>
      <c r="BH32" s="9"/>
      <c r="BI32" s="9">
        <f>SUM(M32,N32,Q32,R32,S32,T32,U32,V32,W32,X32,Y32,Z32,AA32,AB32,AC32,AD32,AE32,AF32,AG32,AH32,AI32,AJ32,AK32,AL32,AM32,AN32,AO32,AP32,AQ32,AR32,AS32,AT32,AU32,AV32,AW32,AX32,AY32,AZ32,BA32,BB32,BC32,BD32,BE32,BF32,BG32,BH32)</f>
      </c>
      <c r="BJ32" s="9">
        <f>I32-BI32</f>
      </c>
      <c r="BK32" s="9">
        <f>BJ32-BL32-BM32-BN32-BO32</f>
      </c>
      <c r="BL32" s="9"/>
      <c r="BM32" s="9"/>
      <c r="BN32" s="9"/>
      <c r="BO32" s="9"/>
      <c r="BP32" s="8"/>
      <c r="BQ32" t="inlineStr" s="8">
        <is>
          <t>2022-08-05</t>
        </is>
      </c>
      <c r="BR32" t="inlineStr" s="8">
        <is>
          <t>2022-08-19</t>
        </is>
      </c>
      <c r="BS32" s="8"/>
      <c r="BT32" s="8"/>
      <c r="BU32" s="8"/>
      <c r="BV32" s="8"/>
      <c r="BW32" s="8"/>
      <c r="BX32" s="8"/>
      <c r="BY32" s="8"/>
      <c r="BZ32" s="9"/>
      <c r="CA32" s="9"/>
      <c r="CB32" t="inlineStr" s="8">
        <is>
          <t>3166190798</t>
        </is>
      </c>
      <c r="CC32" t="inlineStr" s="8">
        <is>
          <t>cooper.max.73686973@example.com</t>
        </is>
      </c>
      <c r="CD32" t="inlineStr" s="8">
        <is>
          <t>BUNNY BUGS CEL: 3166191303</t>
        </is>
      </c>
      <c r="CE32" s="8"/>
    </row>
    <row r="33" ht="12.75" customHeight="1">
      <c r="A33" t="inlineStr" s="8">
        <is>
          <t>60007919082231</t>
        </is>
      </c>
      <c r="B33" s="8"/>
      <c r="C33" t="inlineStr" s="8">
        <is>
          <t>501</t>
        </is>
      </c>
      <c r="D33" s="9">
        <v>55.20</v>
      </c>
      <c r="E33" t="inlineStr" s="8">
        <is>
          <t>73705911</t>
        </is>
      </c>
      <c r="F33" t="inlineStr" s="8">
        <is>
          <t>PARKER TONY</t>
        </is>
      </c>
      <c r="G33" s="8"/>
      <c r="H33" t="inlineStr" s="8">
        <is>
          <t>BANCO DE OCCIDENTE</t>
        </is>
      </c>
      <c r="I33" s="9">
        <v>192172500.00</v>
      </c>
      <c r="J33" t="inlineStr" s="8">
        <is>
          <t>NC3910CESION - NCR3911 - NCR3917CR</t>
        </is>
      </c>
      <c r="K33" t="inlineStr" s="8">
        <is>
          <t>NCR3915 - NCR3916 - NCR3912 - NCR3913 - NCR3914</t>
        </is>
      </c>
      <c r="L33" t="inlineStr" s="8">
        <is>
          <t>MAY.14/22F - JUL.2/22F - DIC.24/22F - ENE.18/23F - FEB.27/23F - (JUN.6/23CESION) - AGO.23/23</t>
        </is>
      </c>
      <c r="M33" s="9">
        <v>380319</v>
      </c>
      <c r="N33" s="9">
        <v>25000000</v>
      </c>
      <c r="O33" t="inlineStr" s="8">
        <is>
          <t>FEB.22/23</t>
        </is>
      </c>
      <c r="P33" s="8"/>
      <c r="Q33" s="10"/>
      <c r="R33" s="10"/>
      <c r="S33" s="10"/>
      <c r="T33" s="10">
        <v>7127000</v>
      </c>
      <c r="U33" s="10"/>
      <c r="V33" s="10">
        <v>1981500</v>
      </c>
      <c r="W33" s="10"/>
      <c r="X33" s="10"/>
      <c r="Y33" s="10"/>
      <c r="Z33" s="10"/>
      <c r="AA33" s="10">
        <v>5061000</v>
      </c>
      <c r="AB33" s="10">
        <v>3289000</v>
      </c>
      <c r="AC33" s="10">
        <v>24334000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9">
        <v>125000000</v>
      </c>
      <c r="BF33" s="9"/>
      <c r="BG33" s="9"/>
      <c r="BH33" s="9"/>
      <c r="BI33" s="9">
        <f>SUM(M33,N33,Q33,R33,S33,T33,U33,V33,W33,X33,Y33,Z33,AA33,AB33,AC33,AD33,AE33,AF33,AG33,AH33,AI33,AJ33,AK33,AL33,AM33,AN33,AO33,AP33,AQ33,AR33,AS33,AT33,AU33,AV33,AW33,AX33,AY33,AZ33,BA33,BB33,BC33,BD33,BE33,BF33,BG33,BH33)</f>
      </c>
      <c r="BJ33" s="9">
        <f>I33-BI33</f>
      </c>
      <c r="BK33" s="9">
        <f>BJ33-BL33-BM33-BN33-BO33</f>
      </c>
      <c r="BL33" s="9"/>
      <c r="BM33" s="9"/>
      <c r="BN33" s="9"/>
      <c r="BO33" s="9"/>
      <c r="BP33" s="8"/>
      <c r="BQ33" t="inlineStr" s="8">
        <is>
          <t>2022-06-14</t>
        </is>
      </c>
      <c r="BR33" t="inlineStr" s="8">
        <is>
          <t>2022-09-18</t>
        </is>
      </c>
      <c r="BS33" t="inlineStr" s="8">
        <is>
          <t>2023-11-25</t>
        </is>
      </c>
      <c r="BT33" s="8"/>
      <c r="BU33" s="8"/>
      <c r="BV33" s="8"/>
      <c r="BW33" s="8"/>
      <c r="BX33" s="8"/>
      <c r="BY33" s="8"/>
      <c r="BZ33" s="9"/>
      <c r="CA33" s="9"/>
      <c r="CB33" t="inlineStr" s="8">
        <is>
          <t>3166193067</t>
        </is>
      </c>
      <c r="CC33" t="inlineStr" s="8">
        <is>
          <t>parker.tony.73705911@example.com</t>
        </is>
      </c>
      <c r="CD33" t="inlineStr" s="8">
        <is>
          <t>MOUSE MINNIE CEL: 3166193787</t>
        </is>
      </c>
      <c r="CE33" t="inlineStr" s="8">
        <is>
          <t>NC3910 JUN.6/23 CESION DE HERMIONE DECKER/RACHEL SKYWALKER A TONY PARKER *ANTIC $25.000.000 *ARRAS $4'640</t>
        </is>
      </c>
    </row>
    <row r="34" ht="12.75" customHeight="1">
      <c r="A34" t="inlineStr" s="8">
        <is>
          <t>60007919082384</t>
        </is>
      </c>
      <c r="B34" s="8"/>
      <c r="C34" t="inlineStr" s="8">
        <is>
          <t>502</t>
        </is>
      </c>
      <c r="D34" s="9">
        <v>55.20</v>
      </c>
      <c r="E34" t="inlineStr" s="8">
        <is>
          <t>73712753</t>
        </is>
      </c>
      <c r="F34" t="inlineStr" s="8">
        <is>
          <t>MALFOY JOEY</t>
        </is>
      </c>
      <c r="G34" s="8"/>
      <c r="H34" t="inlineStr" s="8">
        <is>
          <t>BBVA</t>
        </is>
      </c>
      <c r="I34" s="9">
        <v>192172500.00</v>
      </c>
      <c r="J34" t="inlineStr" s="8">
        <is>
          <t>NC3918CESION - NCR3926CR</t>
        </is>
      </c>
      <c r="K34" t="inlineStr" s="8">
        <is>
          <t>NCR3919 - NCR3925 - NCR3923 - NCR3920 - NCR3924 - NCR3922 - NCR3921</t>
        </is>
      </c>
      <c r="L34" t="inlineStr" s="8">
        <is>
          <t>FEB.10/22F - FEB.11/22F - MAR.26/22F - (MAR.29/22CESION) - SEP.6/22F - OCT.9/22F - DIC.9/22F - DIC.12/22F</t>
        </is>
      </c>
      <c r="M34" s="9"/>
      <c r="N34" s="9">
        <v>18000000</v>
      </c>
      <c r="O34" t="inlineStr" s="8">
        <is>
          <t>JUN.1/22</t>
        </is>
      </c>
      <c r="P34" s="8"/>
      <c r="Q34" s="10">
        <f>5114000+6491500</f>
      </c>
      <c r="R34" s="10">
        <v>20013000</v>
      </c>
      <c r="S34" s="10"/>
      <c r="T34" s="10"/>
      <c r="U34" s="10"/>
      <c r="V34" s="10"/>
      <c r="W34" s="10"/>
      <c r="X34" s="10">
        <v>639000</v>
      </c>
      <c r="Y34" s="10">
        <v>8310000</v>
      </c>
      <c r="Z34" s="10"/>
      <c r="AA34" s="10">
        <f>5114000+3491103</f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9">
        <v>125000000</v>
      </c>
      <c r="BF34" s="9"/>
      <c r="BG34" s="9"/>
      <c r="BH34" s="9"/>
      <c r="BI34" s="9">
        <f>SUM(M34,N34,Q34,R34,S34,T34,U34,V34,W34,X34,Y34,Z34,AA34,AB34,AC34,AD34,AE34,AF34,AG34,AH34,AI34,AJ34,AK34,AL34,AM34,AN34,AO34,AP34,AQ34,AR34,AS34,AT34,AU34,AV34,AW34,AX34,AY34,AZ34,BA34,BB34,BC34,BD34,BE34,BF34,BG34,BH34)</f>
      </c>
      <c r="BJ34" s="9">
        <f>I34-BI34</f>
      </c>
      <c r="BK34" s="9">
        <f>BJ34-BL34-BM34-BN34-BO34</f>
      </c>
      <c r="BL34" s="9"/>
      <c r="BM34" s="9"/>
      <c r="BN34" s="9"/>
      <c r="BO34" s="9"/>
      <c r="BP34" s="8"/>
      <c r="BQ34" t="inlineStr" s="8">
        <is>
          <t>2022-01-18</t>
        </is>
      </c>
      <c r="BR34" t="inlineStr" s="8">
        <is>
          <t>2022-04-03</t>
        </is>
      </c>
      <c r="BS34" s="8"/>
      <c r="BT34" s="8"/>
      <c r="BU34" s="8"/>
      <c r="BV34" s="8"/>
      <c r="BW34" s="8"/>
      <c r="BX34" s="8"/>
      <c r="BY34" s="8"/>
      <c r="BZ34" s="9"/>
      <c r="CA34" s="9"/>
      <c r="CB34" t="inlineStr" s="8">
        <is>
          <t>3166194739</t>
        </is>
      </c>
      <c r="CC34" t="inlineStr" s="8">
        <is>
          <t>malfoy.joey.73712753@example.com</t>
        </is>
      </c>
      <c r="CD34" t="inlineStr" s="8">
        <is>
          <t>JETSON GEORGE CEL: 3166195314</t>
        </is>
      </c>
      <c r="CE34" t="inlineStr" s="8">
        <is>
          <t>NC3918 MAR.29/22 CESION DE FERRIS ORGANA/SAMWISE BEESLY A JOEY MALFOY *ANTIC $18.000.000 *ARRAS $4'640</t>
        </is>
      </c>
    </row>
    <row r="35" ht="12.75" customHeight="1">
      <c r="A35" t="inlineStr" s="8">
        <is>
          <t>60007919082497</t>
        </is>
      </c>
      <c r="B35" s="8"/>
      <c r="C35" t="inlineStr" s="8">
        <is>
          <t>503</t>
        </is>
      </c>
      <c r="D35" s="9">
        <v>55.20</v>
      </c>
      <c r="E35" t="inlineStr" s="8">
        <is>
          <t>73719099</t>
        </is>
      </c>
      <c r="F35" t="inlineStr" s="8">
        <is>
          <t>ORGANA CLINT</t>
        </is>
      </c>
      <c r="G35" t="inlineStr" s="8">
        <is>
          <t>KENT LUNA</t>
        </is>
      </c>
      <c r="H35" s="8"/>
      <c r="I35" s="9">
        <v>192172500.00</v>
      </c>
      <c r="J35" t="inlineStr" s="8">
        <is>
          <t>NCR3929 - NCR3928</t>
        </is>
      </c>
      <c r="K35" t="inlineStr" s="8">
        <is>
          <t>NCR3938 - NCR3935 - NCR3933 - NCR3936 - NCR3934 - NCR3937 - NCR3932 - NCR3931 - NCR3927 - NCR3930 - NCR3939</t>
        </is>
      </c>
      <c r="L35" t="inlineStr" s="8">
        <is>
          <t>AGO.9/23F - SEP.17/23F - SEP.20/23F - OCT.25/23F - NOV.4/23 - FEB.12/24F - MAR.2/24F - ABR.20/24F - JUN.13/24 - AGO.5/24F - AGO.24/24F - SEP.6/24F - SEP.27/24F</t>
        </is>
      </c>
      <c r="M35" s="9">
        <f>19217000+35360000</f>
      </c>
      <c r="N35" s="9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25559000</v>
      </c>
      <c r="AJ35" s="10">
        <f>4996000+3075000</f>
      </c>
      <c r="AK35" s="10">
        <v>17296000</v>
      </c>
      <c r="AL35" s="10"/>
      <c r="AM35" s="10"/>
      <c r="AN35" s="10"/>
      <c r="AO35" s="10">
        <v>13260000</v>
      </c>
      <c r="AP35" s="10">
        <v>16335000</v>
      </c>
      <c r="AQ35" s="10">
        <v>24406000</v>
      </c>
      <c r="AR35" s="10"/>
      <c r="AS35" s="10"/>
      <c r="AT35" s="10"/>
      <c r="AU35" s="10">
        <f>6342000+2883000</f>
      </c>
      <c r="AV35" s="10">
        <f>4804000+18639500</f>
      </c>
      <c r="AW35" s="10"/>
      <c r="AX35" s="10"/>
      <c r="AY35" s="10"/>
      <c r="AZ35" s="10"/>
      <c r="BA35" s="10"/>
      <c r="BB35" s="10"/>
      <c r="BC35" s="10"/>
      <c r="BD35" s="10"/>
      <c r="BE35" s="9"/>
      <c r="BF35" s="9"/>
      <c r="BG35" s="9"/>
      <c r="BH35" s="9"/>
      <c r="BI35" s="9">
        <f>SUM(M35,N35,Q35,R35,S35,T35,U35,V35,W35,X35,Y35,Z35,AA35,AB35,AC35,AD35,AE35,AF35,AG35,AH35,AI35,AJ35,AK35,AL35,AM35,AN35,AO35,AP35,AQ35,AR35,AS35,AT35,AU35,AV35,AW35,AX35,AY35,AZ35,BA35,BB35,BC35,BD35,BE35,BF35,BG35,BH35)</f>
      </c>
      <c r="BJ35" s="9">
        <f>I35-BI35</f>
      </c>
      <c r="BK35" s="9">
        <f>BJ35-BL35-BM35-BN35-BO35</f>
      </c>
      <c r="BL35" s="9"/>
      <c r="BM35" s="9"/>
      <c r="BN35" s="9"/>
      <c r="BO35" s="9"/>
      <c r="BP35" s="8"/>
      <c r="BQ35" t="inlineStr" s="8">
        <is>
          <t>2023-09-21</t>
        </is>
      </c>
      <c r="BR35" t="inlineStr" s="8">
        <is>
          <t>2023-11-01</t>
        </is>
      </c>
      <c r="BS35" t="inlineStr" s="8">
        <is>
          <t>2024-12-26</t>
        </is>
      </c>
      <c r="BT35" s="8"/>
      <c r="BU35" s="8"/>
      <c r="BV35" s="8"/>
      <c r="BW35" s="8"/>
      <c r="BX35" s="8"/>
      <c r="BY35" s="8"/>
      <c r="BZ35" s="9"/>
      <c r="CA35" s="9"/>
      <c r="CB35" t="inlineStr" s="8">
        <is>
          <t>3166195938</t>
        </is>
      </c>
      <c r="CC35" t="inlineStr" s="8">
        <is>
          <t>organa.clint.73719099@example.com</t>
        </is>
      </c>
      <c r="CD35" t="inlineStr" s="8">
        <is>
          <t>BUNNY BUGS CEL: 3166196861</t>
        </is>
      </c>
      <c r="CE35" s="8"/>
    </row>
    <row r="36" ht="12.75" customHeight="1">
      <c r="A36" t="inlineStr" s="8">
        <is>
          <t>60007919082610</t>
        </is>
      </c>
      <c r="B36" s="8"/>
      <c r="C36" t="inlineStr" s="8">
        <is>
          <t>504</t>
        </is>
      </c>
      <c r="D36" s="9">
        <v>55.20</v>
      </c>
      <c r="E36" t="inlineStr" s="8">
        <is>
          <t>73733950</t>
        </is>
      </c>
      <c r="F36" t="inlineStr" s="8">
        <is>
          <t>DECKER SHERLOCK</t>
        </is>
      </c>
      <c r="G36" t="inlineStr" s="8">
        <is>
          <t>HOFSTADTER SAMWISE</t>
        </is>
      </c>
      <c r="H36" t="inlineStr" s="8">
        <is>
          <t>BANCOLOMBIA</t>
        </is>
      </c>
      <c r="I36" s="9">
        <v>192172500.00</v>
      </c>
      <c r="J36" t="inlineStr" s="8">
        <is>
          <t>NCR3948CR</t>
        </is>
      </c>
      <c r="K36" t="inlineStr" s="8">
        <is>
          <t>NCR3946 - NCR3943 - NCR3942 - NCR3945 - NCR3944 - NCR3947</t>
        </is>
      </c>
      <c r="L36" t="inlineStr" s="8">
        <is>
          <t>JUN.26/24F - FEB.1/25F - FEB.7/25F - FEB.11/25F - FEB.19/25F - MAR.23/25F</t>
        </is>
      </c>
      <c r="M36" s="9"/>
      <c r="N36" s="9"/>
      <c r="O36" t="inlineStr" s="8">
        <is>
          <t>ABR.13/25</t>
        </is>
      </c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>
        <v>28763000</v>
      </c>
      <c r="AT36" s="10"/>
      <c r="AU36" s="10"/>
      <c r="AV36" s="10"/>
      <c r="AW36" s="10"/>
      <c r="AX36" s="10"/>
      <c r="AY36" s="10"/>
      <c r="AZ36" s="10"/>
      <c r="BA36" s="10">
        <f>23419000+11952000+26625000+3595000</f>
      </c>
      <c r="BB36" s="10">
        <v>2818500</v>
      </c>
      <c r="BC36" s="10"/>
      <c r="BD36" s="10"/>
      <c r="BE36" s="9">
        <v>95000000</v>
      </c>
      <c r="BF36" s="9"/>
      <c r="BG36" s="9"/>
      <c r="BH36" s="9"/>
      <c r="BI36" s="9">
        <f>SUM(M36,N36,Q36,R36,S36,T36,U36,V36,W36,X36,Y36,Z36,AA36,AB36,AC36,AD36,AE36,AF36,AG36,AH36,AI36,AJ36,AK36,AL36,AM36,AN36,AO36,AP36,AQ36,AR36,AS36,AT36,AU36,AV36,AW36,AX36,AY36,AZ36,BA36,BB36,BC36,BD36,BE36,BF36,BG36,BH36)</f>
      </c>
      <c r="BJ36" s="9">
        <f>I36-BI36</f>
      </c>
      <c r="BK36" s="9">
        <f>BJ36-BL36-BM36-BN36-BO36</f>
      </c>
      <c r="BL36" s="9"/>
      <c r="BM36" s="9"/>
      <c r="BN36" s="9"/>
      <c r="BO36" s="9"/>
      <c r="BP36" s="8"/>
      <c r="BQ36" t="inlineStr" s="8">
        <is>
          <t>2023-10-21</t>
        </is>
      </c>
      <c r="BR36" t="inlineStr" s="8">
        <is>
          <t>2024-01-14</t>
        </is>
      </c>
      <c r="BS36" t="inlineStr" s="8">
        <is>
          <t>2025-06-26</t>
        </is>
      </c>
      <c r="BT36" s="8"/>
      <c r="BU36" s="8"/>
      <c r="BV36" s="8"/>
      <c r="BW36" s="8"/>
      <c r="BX36" s="8"/>
      <c r="BY36" s="8"/>
      <c r="BZ36" s="9"/>
      <c r="CA36" s="9"/>
      <c r="CB36" t="inlineStr" s="8">
        <is>
          <t>3166197771</t>
        </is>
      </c>
      <c r="CC36" t="inlineStr" s="8">
        <is>
          <t>decker.sherlock.73733950@example.com</t>
        </is>
      </c>
      <c r="CD36" t="inlineStr" s="8">
        <is>
          <t>FINN CEL: 3166199119</t>
        </is>
      </c>
      <c r="CE36" s="8"/>
    </row>
    <row r="37" ht="12.75" customHeight="1">
      <c r="A37" t="inlineStr" s="8">
        <is>
          <t>60007919082688</t>
        </is>
      </c>
      <c r="B37" s="8"/>
      <c r="C37" t="inlineStr" s="8">
        <is>
          <t>505</t>
        </is>
      </c>
      <c r="D37" s="9">
        <v>55.20</v>
      </c>
      <c r="E37" t="inlineStr" s="8">
        <is>
          <t>73747528</t>
        </is>
      </c>
      <c r="F37" t="inlineStr" s="8">
        <is>
          <t>SQUAREPANTS AMY</t>
        </is>
      </c>
      <c r="G37" s="8"/>
      <c r="H37" s="8"/>
      <c r="I37" s="9">
        <v>192172500.00</v>
      </c>
      <c r="J37" s="8"/>
      <c r="K37" t="inlineStr" s="8">
        <is>
          <t>NCR3952 - NCR3956 - NCR3955 - NCR3950 - NCR3953 - NCR3958 - NCR3957 - NCR3951 - NCR3954 - NCR3949</t>
        </is>
      </c>
      <c r="L37" t="inlineStr" s="8">
        <is>
          <t>ABR.14/22F - MAY.5/22F - JUL.6/22F - JUL.26/22F - SEP.25/22F - DIC.2/22F - DIC.14/22F - MAR.27/23F - ABR.15/23F - ABR.18/23F</t>
        </is>
      </c>
      <c r="M37" s="9"/>
      <c r="N37" s="9"/>
      <c r="O37" s="8"/>
      <c r="P37" s="8"/>
      <c r="Q37" s="10"/>
      <c r="R37" s="10"/>
      <c r="S37" s="10">
        <v>8271000</v>
      </c>
      <c r="T37" s="10">
        <v>2757000</v>
      </c>
      <c r="U37" s="10"/>
      <c r="V37" s="10">
        <f>31461000+19136000</f>
      </c>
      <c r="W37" s="10"/>
      <c r="X37" s="10">
        <v>3243000</v>
      </c>
      <c r="Y37" s="10"/>
      <c r="Z37" s="10"/>
      <c r="AA37" s="10">
        <f>487500+13460000</f>
      </c>
      <c r="AB37" s="10"/>
      <c r="AC37" s="10"/>
      <c r="AD37" s="10">
        <v>53841000</v>
      </c>
      <c r="AE37" s="10">
        <f>5514000+24002000</f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9"/>
      <c r="BF37" s="9"/>
      <c r="BG37" s="9"/>
      <c r="BH37" s="9"/>
      <c r="BI37" s="9">
        <f>SUM(M37,N37,Q37,R37,S37,T37,U37,V37,W37,X37,Y37,Z37,AA37,AB37,AC37,AD37,AE37,AF37,AG37,AH37,AI37,AJ37,AK37,AL37,AM37,AN37,AO37,AP37,AQ37,AR37,AS37,AT37,AU37,AV37,AW37,AX37,AY37,AZ37,BA37,BB37,BC37,BD37,BE37,BF37,BG37,BH37)</f>
      </c>
      <c r="BJ37" s="9">
        <f>I37-BI37</f>
      </c>
      <c r="BK37" s="9">
        <f>BJ37-BL37-BM37-BN37-BO37</f>
      </c>
      <c r="BL37" s="9"/>
      <c r="BM37" s="9"/>
      <c r="BN37" s="9"/>
      <c r="BO37" s="9"/>
      <c r="BP37" s="8"/>
      <c r="BQ37" t="inlineStr" s="8">
        <is>
          <t>2022-05-29</t>
        </is>
      </c>
      <c r="BR37" t="inlineStr" s="8">
        <is>
          <t>2022-09-21</t>
        </is>
      </c>
      <c r="BS37" s="8"/>
      <c r="BT37" s="8"/>
      <c r="BU37" s="8"/>
      <c r="BV37" s="8"/>
      <c r="BW37" s="8"/>
      <c r="BX37" s="8"/>
      <c r="BY37" s="8"/>
      <c r="BZ37" s="9"/>
      <c r="CA37" s="9"/>
      <c r="CB37" t="inlineStr" s="8">
        <is>
          <t>3166199870</t>
        </is>
      </c>
      <c r="CC37" t="inlineStr" s="8">
        <is>
          <t>squarepants.amy.73747528@example.com</t>
        </is>
      </c>
      <c r="CD37" t="inlineStr" s="8">
        <is>
          <t>PANTHER PINK CEL: 3166200793</t>
        </is>
      </c>
      <c r="CE37" s="8"/>
    </row>
    <row r="38" ht="12.75" customHeight="1">
      <c r="A38" s="8"/>
      <c r="B38" s="8"/>
      <c r="C38" t="inlineStr" s="8">
        <is>
          <t>506</t>
        </is>
      </c>
      <c r="D38" s="9">
        <v>55.20</v>
      </c>
      <c r="E38" s="8"/>
      <c r="F38" s="8"/>
      <c r="G38" s="8"/>
      <c r="H38" t="inlineStr" s="8">
        <is>
          <t>BANCO CAJA SOCIAL</t>
        </is>
      </c>
      <c r="I38" s="9">
        <v>192172500.00</v>
      </c>
      <c r="J38" s="8"/>
      <c r="K38" s="8"/>
      <c r="L38" s="8"/>
      <c r="M38" s="9"/>
      <c r="N38" s="9"/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9"/>
      <c r="CA38" s="9"/>
      <c r="CB38" s="8"/>
      <c r="CC38" s="8"/>
      <c r="CD38" s="8"/>
      <c r="CE38" s="8"/>
    </row>
    <row r="39" ht="12.75" customHeight="1">
      <c r="A39" t="inlineStr" s="8">
        <is>
          <t>60007919082887</t>
        </is>
      </c>
      <c r="B39" s="8"/>
      <c r="C39" t="inlineStr" s="8">
        <is>
          <t>507</t>
        </is>
      </c>
      <c r="D39" s="9">
        <v>55.20</v>
      </c>
      <c r="E39" t="inlineStr" s="8">
        <is>
          <t>73760616</t>
        </is>
      </c>
      <c r="F39" t="inlineStr" s="8">
        <is>
          <t>GREEN HOWARD</t>
        </is>
      </c>
      <c r="G39" s="8"/>
      <c r="H39" t="inlineStr" s="8">
        <is>
          <t>BANCO DE OCCIDENTE</t>
        </is>
      </c>
      <c r="I39" s="9">
        <v>192172500.00</v>
      </c>
      <c r="J39" t="inlineStr" s="8">
        <is>
          <t>NC3974CESION - NCR3983 - NCR3986CR</t>
        </is>
      </c>
      <c r="K39" t="inlineStr" s="8">
        <is>
          <t>NCR3984 - NCR3979 - NCR3982 - NCR3985 - NCR3981 - NCR3975 - NCR3978 - NCR3977 - NCR3980 - NCR3976</t>
        </is>
      </c>
      <c r="L39" t="inlineStr" s="8">
        <is>
          <t>NOV.23/23F - DIC.19/23F - ENE.28/24F - (MAR.6/24CESION) - JUN.25/24F - AGO.22/24F - DIC.13/24 - ABR.3/25F - ABR.6/25F - ABR.7/25F - ABR.19/25F - ABR.21/25F</t>
        </is>
      </c>
      <c r="M39" s="9">
        <v>257000</v>
      </c>
      <c r="N39" s="9">
        <v>18000000</v>
      </c>
      <c r="O39" t="inlineStr" s="8">
        <is>
          <t>ABR.9/25</t>
        </is>
      </c>
      <c r="P39" s="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>
        <v>449000</v>
      </c>
      <c r="AM39" s="10">
        <v>3273000</v>
      </c>
      <c r="AN39" s="10">
        <v>7251000</v>
      </c>
      <c r="AO39" s="10"/>
      <c r="AP39" s="10"/>
      <c r="AQ39" s="10"/>
      <c r="AR39" s="10"/>
      <c r="AS39" s="10">
        <v>10203500</v>
      </c>
      <c r="AT39" s="10"/>
      <c r="AU39" s="10">
        <v>11423000</v>
      </c>
      <c r="AV39" s="10"/>
      <c r="AW39" s="10"/>
      <c r="AX39" s="10"/>
      <c r="AY39" s="10"/>
      <c r="AZ39" s="10"/>
      <c r="BA39" s="10"/>
      <c r="BB39" s="10"/>
      <c r="BC39" s="10">
        <f>6289000+770000+1283000+11359000+11615000</f>
      </c>
      <c r="BD39" s="10"/>
      <c r="BE39" s="9">
        <v>95000000</v>
      </c>
      <c r="BF39" s="9"/>
      <c r="BG39" s="9"/>
      <c r="BH39" s="9"/>
      <c r="BI39" s="9">
        <f>SUM(M39,N39,Q39,R39,S39,T39,U39,V39,W39,X39,Y39,Z39,AA39,AB39,AC39,AD39,AE39,AF39,AG39,AH39,AI39,AJ39,AK39,AL39,AM39,AN39,AO39,AP39,AQ39,AR39,AS39,AT39,AU39,AV39,AW39,AX39,AY39,AZ39,BA39,BB39,BC39,BD39,BE39,BF39,BG39,BH39)</f>
      </c>
      <c r="BJ39" s="9">
        <f>I39-BI39</f>
      </c>
      <c r="BK39" s="9">
        <f>BJ39-BL39-BM39-BN39-BO39</f>
      </c>
      <c r="BL39" s="9"/>
      <c r="BM39" s="9"/>
      <c r="BN39" s="9"/>
      <c r="BO39" s="9"/>
      <c r="BP39" s="8"/>
      <c r="BQ39" t="inlineStr" s="8">
        <is>
          <t>2023-11-28</t>
        </is>
      </c>
      <c r="BR39" t="inlineStr" s="8">
        <is>
          <t>2024-02-15</t>
        </is>
      </c>
      <c r="BS39" s="8"/>
      <c r="BT39" s="8"/>
      <c r="BU39" s="8"/>
      <c r="BV39" s="8"/>
      <c r="BW39" s="8"/>
      <c r="BX39" s="8"/>
      <c r="BY39" s="8"/>
      <c r="BZ39" s="9"/>
      <c r="CA39" s="9"/>
      <c r="CB39" t="inlineStr" s="8">
        <is>
          <t>3166202944</t>
        </is>
      </c>
      <c r="CC39" t="inlineStr" s="8">
        <is>
          <t>green.howard.73760616@example.com</t>
        </is>
      </c>
      <c r="CD39" t="inlineStr" s="8">
        <is>
          <t>JETSON GEORGE CEL: 3166203387</t>
        </is>
      </c>
      <c r="CE39" t="inlineStr" s="8">
        <is>
          <t>NC3974 MAR.6/24 CESION DE JIM POTTER A HOWARD GREEN *ANTIC $18.000.000 *ARRAS $4'640</t>
        </is>
      </c>
    </row>
    <row r="40" ht="12.75" customHeight="1">
      <c r="A40" t="inlineStr" s="8">
        <is>
          <t>60007919083036</t>
        </is>
      </c>
      <c r="B40" s="8"/>
      <c r="C40" t="inlineStr" s="8">
        <is>
          <t>601</t>
        </is>
      </c>
      <c r="D40" s="9">
        <v>55.20</v>
      </c>
      <c r="E40" t="inlineStr" s="8">
        <is>
          <t>73767667</t>
        </is>
      </c>
      <c r="F40" t="inlineStr" s="8">
        <is>
          <t>BROWN OBI WAN</t>
        </is>
      </c>
      <c r="G40" s="8"/>
      <c r="H40" t="inlineStr" s="8">
        <is>
          <t>BANCO CAJA SOCIAL</t>
        </is>
      </c>
      <c r="I40" s="9">
        <v>192172500.00</v>
      </c>
      <c r="J40" t="inlineStr" s="8">
        <is>
          <t>NCR3989 - NCR3991 - NCR3990 - NCR3992 - NCR3996CR</t>
        </is>
      </c>
      <c r="K40" t="inlineStr" s="8">
        <is>
          <t>NCR3994 - NCR3993 - NCR3995</t>
        </is>
      </c>
      <c r="L40" t="inlineStr" s="8">
        <is>
          <t>SEP.23/23F - NOV.1/23 - NOV.14/23 - NOV.18/23 - DIC.6/23 - FEB.18/24F - MAR.20/24F</t>
        </is>
      </c>
      <c r="M40" s="9">
        <f>16726000+13636000+10412000+1276000</f>
      </c>
      <c r="N40" s="9"/>
      <c r="O40" t="inlineStr" s="8">
        <is>
          <t>MAR.11/24</t>
        </is>
      </c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15920000</v>
      </c>
      <c r="AK40" s="10"/>
      <c r="AL40" s="10"/>
      <c r="AM40" s="10"/>
      <c r="AN40" s="10"/>
      <c r="AO40" s="10">
        <v>2956000</v>
      </c>
      <c r="AP40" s="10">
        <v>6246500</v>
      </c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>
        <v>125000000</v>
      </c>
      <c r="BF40" s="9"/>
      <c r="BG40" s="9"/>
      <c r="BH40" s="9"/>
      <c r="BI40" s="9">
        <f>SUM(M40,N40,Q40,R40,S40,T40,U40,V40,W40,X40,Y40,Z40,AA40,AB40,AC40,AD40,AE40,AF40,AG40,AH40,AI40,AJ40,AK40,AL40,AM40,AN40,AO40,AP40,AQ40,AR40,AS40,AT40,AU40,AV40,AW40,AX40,AY40,AZ40,BA40,BB40,BC40,BD40,BE40,BF40,BG40,BH40)</f>
      </c>
      <c r="BJ40" s="9">
        <f>I40-BI40</f>
      </c>
      <c r="BK40" s="9">
        <f>BJ40-BL40-BM40-BN40-BO40</f>
      </c>
      <c r="BL40" s="9"/>
      <c r="BM40" s="9"/>
      <c r="BN40" s="9"/>
      <c r="BO40" s="9"/>
      <c r="BP40" s="8"/>
      <c r="BQ40" t="inlineStr" s="8">
        <is>
          <t>2023-07-22</t>
        </is>
      </c>
      <c r="BR40" t="inlineStr" s="8">
        <is>
          <t>2023-10-18</t>
        </is>
      </c>
      <c r="BS40" t="inlineStr" s="8">
        <is>
          <t>2024-09-29</t>
        </is>
      </c>
      <c r="BT40" s="8"/>
      <c r="BU40" s="8"/>
      <c r="BV40" s="8"/>
      <c r="BW40" s="8"/>
      <c r="BX40" s="8"/>
      <c r="BY40" s="8"/>
      <c r="BZ40" s="9"/>
      <c r="CA40" s="9"/>
      <c r="CB40" t="inlineStr" s="8">
        <is>
          <t>3166204120</t>
        </is>
      </c>
      <c r="CC40" t="inlineStr" s="8">
        <is>
          <t>brown.obi.wan.73767667@example.com</t>
        </is>
      </c>
      <c r="CD40" t="inlineStr" s="8">
        <is>
          <t>JAKE CEL: 3166204605</t>
        </is>
      </c>
      <c r="CE40" s="8"/>
    </row>
    <row r="41" ht="12.75" customHeight="1">
      <c r="A41" t="inlineStr" s="8">
        <is>
          <t>60007919083096</t>
        </is>
      </c>
      <c r="B41" s="8"/>
      <c r="C41" t="inlineStr" s="8">
        <is>
          <t>602</t>
        </is>
      </c>
      <c r="D41" s="9">
        <v>55.20</v>
      </c>
      <c r="E41" t="inlineStr" s="8">
        <is>
          <t>73777500</t>
        </is>
      </c>
      <c r="F41" t="inlineStr" s="8">
        <is>
          <t>KRABS HOWARD</t>
        </is>
      </c>
      <c r="G41" t="inlineStr" s="8">
        <is>
          <t>PRINCE DIANA</t>
        </is>
      </c>
      <c r="H41" s="8"/>
      <c r="I41" s="9">
        <v>192172500.00</v>
      </c>
      <c r="J41" t="inlineStr" s="8">
        <is>
          <t>NCR4004 - NCR4006 - NCR3999 - NCR4001 - NCR4008 - NCR4003 - NC3997CESION</t>
        </is>
      </c>
      <c r="K41" t="inlineStr" s="8">
        <is>
          <t>NCR4007 - NCR3998 - NCR4005 - NCR4009 - NCR4002 - NCR4000</t>
        </is>
      </c>
      <c r="L41" t="inlineStr" s="8">
        <is>
          <t>DIC.28/22F - ENE.9/23F - ENE.23/23F - MAR.13/23F - JUL.8/23 - JUL.16/23 - SEP.7/23 - SEP.10/23 - NOV.10/23F - DIC.2/23 - ENE.17/24F - JUN.7/24 - (AGO.9/24CESION)</t>
        </is>
      </c>
      <c r="M41" s="9">
        <f>2162000+12792000+4684000+10270000+11171000+180000</f>
      </c>
      <c r="N41" s="9">
        <v>12000000</v>
      </c>
      <c r="O41" s="8"/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>
        <v>19819000</v>
      </c>
      <c r="AB41" s="10">
        <f>38377000+31350000</f>
      </c>
      <c r="AC41" s="10"/>
      <c r="AD41" s="10">
        <v>17477500</v>
      </c>
      <c r="AE41" s="10"/>
      <c r="AF41" s="10"/>
      <c r="AG41" s="10"/>
      <c r="AH41" s="10"/>
      <c r="AI41" s="10"/>
      <c r="AJ41" s="10"/>
      <c r="AK41" s="10"/>
      <c r="AL41" s="10">
        <v>17837000</v>
      </c>
      <c r="AM41" s="10"/>
      <c r="AN41" s="10">
        <v>14053000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9"/>
      <c r="BF41" s="9"/>
      <c r="BG41" s="9"/>
      <c r="BH41" s="9"/>
      <c r="BI41" s="9">
        <f>SUM(M41,N41,Q41,R41,S41,T41,U41,V41,W41,X41,Y41,Z41,AA41,AB41,AC41,AD41,AE41,AF41,AG41,AH41,AI41,AJ41,AK41,AL41,AM41,AN41,AO41,AP41,AQ41,AR41,AS41,AT41,AU41,AV41,AW41,AX41,AY41,AZ41,BA41,BB41,BC41,BD41,BE41,BF41,BG41,BH41)</f>
      </c>
      <c r="BJ41" s="9">
        <f>I41-BI41</f>
      </c>
      <c r="BK41" s="9">
        <f>BJ41-BL41-BM41-BN41-BO41</f>
      </c>
      <c r="BL41" s="9"/>
      <c r="BM41" s="9"/>
      <c r="BN41" s="9"/>
      <c r="BO41" s="9"/>
      <c r="BP41" s="8"/>
      <c r="BQ41" t="inlineStr" s="8">
        <is>
          <t>2023-03-10</t>
        </is>
      </c>
      <c r="BR41" t="inlineStr" s="8">
        <is>
          <t>2023-06-01</t>
        </is>
      </c>
      <c r="BS41" t="inlineStr" s="8">
        <is>
          <t>2024-08-15</t>
        </is>
      </c>
      <c r="BT41" s="8"/>
      <c r="BU41" s="8"/>
      <c r="BV41" s="8"/>
      <c r="BW41" s="8"/>
      <c r="BX41" s="8"/>
      <c r="BY41" s="8"/>
      <c r="BZ41" s="9"/>
      <c r="CA41" s="9"/>
      <c r="CB41" t="inlineStr" s="8">
        <is>
          <t>3166205137</t>
        </is>
      </c>
      <c r="CC41" t="inlineStr" s="8">
        <is>
          <t>krabs.howard.73777500@example.com</t>
        </is>
      </c>
      <c r="CD41" t="inlineStr" s="8">
        <is>
          <t>JAKE CEL: 3166205648</t>
        </is>
      </c>
      <c r="CE41" s="8"/>
    </row>
    <row r="42" ht="12.75" customHeight="1">
      <c r="A42" t="inlineStr" s="8">
        <is>
          <t>60007919083248</t>
        </is>
      </c>
      <c r="B42" s="8"/>
      <c r="C42" t="inlineStr" s="8">
        <is>
          <t>603</t>
        </is>
      </c>
      <c r="D42" s="9">
        <v>55.20</v>
      </c>
      <c r="E42" t="inlineStr" s="8">
        <is>
          <t>73794720</t>
        </is>
      </c>
      <c r="F42" t="inlineStr" s="8">
        <is>
          <t>TRIBBIANI NANCY</t>
        </is>
      </c>
      <c r="G42" t="inlineStr" s="8">
        <is>
          <t>SIMPSON WALTER</t>
        </is>
      </c>
      <c r="H42" t="inlineStr" s="8">
        <is>
          <t>BANCO CAJA SOCIAL</t>
        </is>
      </c>
      <c r="I42" s="9">
        <v>192172500.00</v>
      </c>
      <c r="J42" t="inlineStr" s="8">
        <is>
          <t>NCR4016CR</t>
        </is>
      </c>
      <c r="K42" t="inlineStr" s="8">
        <is>
          <t>NCR4015 - NCR4013 - NCR4014 - NCR4010 - NCR4011 - NCR4012</t>
        </is>
      </c>
      <c r="L42" t="inlineStr" s="8">
        <is>
          <t>MAY.16/24F - JUN.13/24F - AGO.18/24F - NOV.1/24F - ENE.16/25F - MAR.18/25F</t>
        </is>
      </c>
      <c r="M42" s="9"/>
      <c r="N42" s="9"/>
      <c r="O42" t="inlineStr" s="8">
        <is>
          <t>JUL.7/25</t>
        </is>
      </c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>
        <v>12866334</v>
      </c>
      <c r="AS42" s="10">
        <v>547000</v>
      </c>
      <c r="AT42" s="10"/>
      <c r="AU42" s="10">
        <v>950000</v>
      </c>
      <c r="AV42" s="10"/>
      <c r="AW42" s="10"/>
      <c r="AX42" s="10">
        <v>2101000</v>
      </c>
      <c r="AY42" s="10"/>
      <c r="AZ42" s="10">
        <v>2936000</v>
      </c>
      <c r="BA42" s="10"/>
      <c r="BB42" s="10">
        <v>9383000</v>
      </c>
      <c r="BC42" s="10"/>
      <c r="BD42" s="10"/>
      <c r="BE42" s="9">
        <v>27391666</v>
      </c>
      <c r="BF42" s="9"/>
      <c r="BG42" s="9"/>
      <c r="BH42" s="9"/>
      <c r="BI42" s="9">
        <f>SUM(M42,N42,Q42,R42,S42,T42,U42,V42,W42,X42,Y42,Z42,AA42,AB42,AC42,AD42,AE42,AF42,AG42,AH42,AI42,AJ42,AK42,AL42,AM42,AN42,AO42,AP42,AQ42,AR42,AS42,AT42,AU42,AV42,AW42,AX42,AY42,AZ42,BA42,BB42,BC42,BD42,BE42,BF42,BG42,BH42)</f>
      </c>
      <c r="BJ42" s="9">
        <f>I42-BI42</f>
      </c>
      <c r="BK42" s="9">
        <f>BJ42-BL42-BM42-BN42-BO42</f>
      </c>
      <c r="BL42" s="9"/>
      <c r="BM42" s="9"/>
      <c r="BN42" s="9"/>
      <c r="BO42" s="9"/>
      <c r="BP42" s="8"/>
      <c r="BQ42" t="inlineStr" s="8">
        <is>
          <t>2023-12-14</t>
        </is>
      </c>
      <c r="BR42" t="inlineStr" s="8">
        <is>
          <t>2024-03-24</t>
        </is>
      </c>
      <c r="BS42" s="8"/>
      <c r="BT42" s="8"/>
      <c r="BU42" s="8"/>
      <c r="BV42" s="8"/>
      <c r="BW42" s="8"/>
      <c r="BX42" s="8"/>
      <c r="BY42" s="8"/>
      <c r="BZ42" s="9"/>
      <c r="CA42" s="9"/>
      <c r="CB42" t="inlineStr" s="8">
        <is>
          <t>3166206002</t>
        </is>
      </c>
      <c r="CC42" t="inlineStr" s="8">
        <is>
          <t>tribbiani.nancy.73794720@example.com</t>
        </is>
      </c>
      <c r="CD42" t="inlineStr" s="8">
        <is>
          <t>MOUSE MINNIE CEL: 3166206743</t>
        </is>
      </c>
      <c r="CE42" s="8"/>
    </row>
    <row r="43" ht="12.75" customHeight="1">
      <c r="A43" t="inlineStr" s="8">
        <is>
          <t>60007919083331</t>
        </is>
      </c>
      <c r="B43" s="8"/>
      <c r="C43" t="inlineStr" s="8">
        <is>
          <t>604</t>
        </is>
      </c>
      <c r="D43" s="9">
        <v>55.20</v>
      </c>
      <c r="E43" t="inlineStr" s="8">
        <is>
          <t>73804795</t>
        </is>
      </c>
      <c r="F43" t="inlineStr" s="8">
        <is>
          <t>SCOTT PHOEBE</t>
        </is>
      </c>
      <c r="G43" t="inlineStr" s="8">
        <is>
          <t>PRINCE FRODO</t>
        </is>
      </c>
      <c r="H43" t="inlineStr" s="8">
        <is>
          <t>BANCO CAJA SOCIAL</t>
        </is>
      </c>
      <c r="I43" s="9">
        <v>192172500.00</v>
      </c>
      <c r="J43" t="inlineStr" s="8">
        <is>
          <t>NCR4030 - NCR4028 - NCR4032 - NCR4033CR</t>
        </is>
      </c>
      <c r="K43" t="inlineStr" s="8">
        <is>
          <t>NCR4024 - NCR4023 - NCR4029 - NCR4019 - NCR4027 - NCR4025 - NCR4022 - NCR4026 - NCR4021 - NCR4031 - NCR4020</t>
        </is>
      </c>
      <c r="L43" t="inlineStr" s="8">
        <is>
          <t>MAR.6/23F - MAY.10/23F - JUN.16/23F - JUL.12/23F - JUL.21/23F - AGO.12/23F - OCT.14/23 - OCT.15/23F - NOV.20/23 - DIC.12/23 - ABR.3/24F - JUN.4/24F - AGO.6/24F - SEP.12/24F</t>
        </is>
      </c>
      <c r="M43" s="9">
        <f>752000+2597000+1020334</f>
      </c>
      <c r="N43" s="9"/>
      <c r="O43" t="inlineStr" s="8">
        <is>
          <t>DIC.16/23</t>
        </is>
      </c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1970000</v>
      </c>
      <c r="AE43" s="10"/>
      <c r="AF43" s="10">
        <v>860000</v>
      </c>
      <c r="AG43" s="10">
        <v>1057000</v>
      </c>
      <c r="AH43" s="10">
        <f>1164000+100000</f>
      </c>
      <c r="AI43" s="10">
        <v>376000</v>
      </c>
      <c r="AJ43" s="10"/>
      <c r="AK43" s="10">
        <v>4210000</v>
      </c>
      <c r="AL43" s="10"/>
      <c r="AM43" s="10"/>
      <c r="AN43" s="10"/>
      <c r="AO43" s="10"/>
      <c r="AP43" s="10"/>
      <c r="AQ43" s="10">
        <v>394000</v>
      </c>
      <c r="AR43" s="10"/>
      <c r="AS43" s="10">
        <v>100000</v>
      </c>
      <c r="AT43" s="10"/>
      <c r="AU43" s="10">
        <v>3206000</v>
      </c>
      <c r="AV43" s="10">
        <v>107000</v>
      </c>
      <c r="AW43" s="10"/>
      <c r="AX43" s="10"/>
      <c r="AY43" s="10"/>
      <c r="AZ43" s="10"/>
      <c r="BA43" s="10"/>
      <c r="BB43" s="10"/>
      <c r="BC43" s="10"/>
      <c r="BD43" s="10"/>
      <c r="BE43" s="9">
        <v>8956666</v>
      </c>
      <c r="BF43" s="9"/>
      <c r="BG43" s="9"/>
      <c r="BH43" s="9"/>
      <c r="BI43" s="9">
        <f>SUM(M43,N43,Q43,R43,S43,T43,U43,V43,W43,X43,Y43,Z43,AA43,AB43,AC43,AD43,AE43,AF43,AG43,AH43,AI43,AJ43,AK43,AL43,AM43,AN43,AO43,AP43,AQ43,AR43,AS43,AT43,AU43,AV43,AW43,AX43,AY43,AZ43,BA43,BB43,BC43,BD43,BE43,BF43,BG43,BH43)</f>
      </c>
      <c r="BJ43" s="9">
        <f>I43-BI43</f>
      </c>
      <c r="BK43" s="9">
        <f>BJ43-BL43-BM43-BN43-BO43</f>
      </c>
      <c r="BL43" s="9"/>
      <c r="BM43" s="9"/>
      <c r="BN43" s="9"/>
      <c r="BO43" s="9"/>
      <c r="BP43" s="8"/>
      <c r="BQ43" t="inlineStr" s="8">
        <is>
          <t>2023-06-12</t>
        </is>
      </c>
      <c r="BR43" t="inlineStr" s="8">
        <is>
          <t>2023-08-13</t>
        </is>
      </c>
      <c r="BS43" s="8"/>
      <c r="BT43" s="8"/>
      <c r="BU43" s="8"/>
      <c r="BV43" s="8"/>
      <c r="BW43" s="8"/>
      <c r="BX43" s="8"/>
      <c r="BY43" s="8"/>
      <c r="BZ43" s="9"/>
      <c r="CA43" s="9"/>
      <c r="CB43" t="inlineStr" s="8">
        <is>
          <t>3166207630</t>
        </is>
      </c>
      <c r="CC43" t="inlineStr" s="8">
        <is>
          <t>scott.phoebe.73804795@example.com</t>
        </is>
      </c>
      <c r="CD43" t="inlineStr" s="8">
        <is>
          <t>FINN CEL: 3166208954</t>
        </is>
      </c>
      <c r="CE43" s="8"/>
    </row>
    <row r="44" ht="12.75" customHeight="1">
      <c r="A44" t="inlineStr" s="8">
        <is>
          <t>60007919083438</t>
        </is>
      </c>
      <c r="B44" s="8"/>
      <c r="C44" t="inlineStr" s="8">
        <is>
          <t>605</t>
        </is>
      </c>
      <c r="D44" s="9">
        <v>55.20</v>
      </c>
      <c r="E44" t="inlineStr" s="8">
        <is>
          <t>73815915</t>
        </is>
      </c>
      <c r="F44" t="inlineStr" s="8">
        <is>
          <t>KRABS LISA</t>
        </is>
      </c>
      <c r="G44" s="8"/>
      <c r="H44" t="inlineStr" s="8">
        <is>
          <t>BANCO CAJA SOCIAL</t>
        </is>
      </c>
      <c r="I44" s="9">
        <v>192172500.00</v>
      </c>
      <c r="J44" t="inlineStr" s="8">
        <is>
          <t>NCR4034 - NCR4035 - NCR4038CR</t>
        </is>
      </c>
      <c r="K44" t="inlineStr" s="8">
        <is>
          <t>NCR4037 - NCR4036</t>
        </is>
      </c>
      <c r="L44" t="inlineStr" s="8">
        <is>
          <t>OCT.7/22F - MAR.8/23F - SEP.6/23 - OCT.19/23</t>
        </is>
      </c>
      <c r="M44" s="9">
        <f>9912000+12632000</f>
      </c>
      <c r="N44" s="9"/>
      <c r="O44" t="inlineStr" s="8">
        <is>
          <t>NOV.3/22</t>
        </is>
      </c>
      <c r="P44" s="8"/>
      <c r="Q44" s="10"/>
      <c r="R44" s="10"/>
      <c r="S44" s="10"/>
      <c r="T44" s="10"/>
      <c r="U44" s="10"/>
      <c r="V44" s="10"/>
      <c r="W44" s="10"/>
      <c r="X44" s="10"/>
      <c r="Y44" s="10">
        <v>47323500</v>
      </c>
      <c r="Z44" s="10"/>
      <c r="AA44" s="10"/>
      <c r="AB44" s="10"/>
      <c r="AC44" s="10"/>
      <c r="AD44" s="10">
        <v>27305000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9">
        <v>95000000</v>
      </c>
      <c r="BF44" s="9"/>
      <c r="BG44" s="9"/>
      <c r="BH44" s="9"/>
      <c r="BI44" s="9">
        <f>SUM(M44,N44,Q44,R44,S44,T44,U44,V44,W44,X44,Y44,Z44,AA44,AB44,AC44,AD44,AE44,AF44,AG44,AH44,AI44,AJ44,AK44,AL44,AM44,AN44,AO44,AP44,AQ44,AR44,AS44,AT44,AU44,AV44,AW44,AX44,AY44,AZ44,BA44,BB44,BC44,BD44,BE44,BF44,BG44,BH44)</f>
      </c>
      <c r="BJ44" s="9">
        <f>I44-BI44</f>
      </c>
      <c r="BK44" s="9">
        <f>BJ44-BL44-BM44-BN44-BO44</f>
      </c>
      <c r="BL44" s="9"/>
      <c r="BM44" s="9"/>
      <c r="BN44" s="9"/>
      <c r="BO44" s="9"/>
      <c r="BP44" s="8"/>
      <c r="BQ44" t="inlineStr" s="8">
        <is>
          <t>2022-04-27</t>
        </is>
      </c>
      <c r="BR44" t="inlineStr" s="8">
        <is>
          <t>2022-07-29</t>
        </is>
      </c>
      <c r="BS44" t="inlineStr" s="8">
        <is>
          <t>2023-12-08</t>
        </is>
      </c>
      <c r="BT44" s="8"/>
      <c r="BU44" s="8"/>
      <c r="BV44" s="8"/>
      <c r="BW44" s="8"/>
      <c r="BX44" s="8"/>
      <c r="BY44" s="8"/>
      <c r="BZ44" s="9"/>
      <c r="CA44" s="9"/>
      <c r="CB44" t="inlineStr" s="8">
        <is>
          <t>3166209723</t>
        </is>
      </c>
      <c r="CC44" t="inlineStr" s="8">
        <is>
          <t>krabs.lisa.73815915@example.com</t>
        </is>
      </c>
      <c r="CD44" t="inlineStr" s="8">
        <is>
          <t>MOUSE MINNIE CEL: 3166210289</t>
        </is>
      </c>
      <c r="CE44" s="8"/>
    </row>
    <row r="45" ht="12.75" customHeight="1">
      <c r="A45" t="inlineStr" s="8">
        <is>
          <t>60007919083536</t>
        </is>
      </c>
      <c r="B45" s="8"/>
      <c r="C45" t="inlineStr" s="8">
        <is>
          <t>606</t>
        </is>
      </c>
      <c r="D45" s="9">
        <v>55.20</v>
      </c>
      <c r="E45" t="inlineStr" s="8">
        <is>
          <t>73816802</t>
        </is>
      </c>
      <c r="F45" t="inlineStr" s="8">
        <is>
          <t>EHRMANTRAUT DRACO</t>
        </is>
      </c>
      <c r="G45" t="inlineStr" s="8">
        <is>
          <t>POIROT LOIS</t>
        </is>
      </c>
      <c r="H45" t="inlineStr" s="8">
        <is>
          <t>BANCO DAVIVIENDA</t>
        </is>
      </c>
      <c r="I45" s="9">
        <v>192172500.00</v>
      </c>
      <c r="J45" t="inlineStr" s="8">
        <is>
          <t>NCR4041 - NCR4043 - NCR4039 - NCR4044CR</t>
        </is>
      </c>
      <c r="K45" t="inlineStr" s="8">
        <is>
          <t>NCR4042 - NCR4040</t>
        </is>
      </c>
      <c r="L45" t="inlineStr" s="8">
        <is>
          <t>JUL.17/23 - JUN.23/24 - JUL.1/24F - NOV.17/24F - DIC.28/24</t>
        </is>
      </c>
      <c r="M45" s="9">
        <f>7503000+81644500+16660000</f>
      </c>
      <c r="N45" s="9"/>
      <c r="O45" t="inlineStr" s="8">
        <is>
          <t>SEP.7/24</t>
        </is>
      </c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>
        <v>11700000</v>
      </c>
      <c r="AU45" s="10"/>
      <c r="AV45" s="10"/>
      <c r="AW45" s="10"/>
      <c r="AX45" s="10">
        <v>9665000</v>
      </c>
      <c r="AY45" s="10"/>
      <c r="AZ45" s="10"/>
      <c r="BA45" s="10"/>
      <c r="BB45" s="10"/>
      <c r="BC45" s="10"/>
      <c r="BD45" s="10"/>
      <c r="BE45" s="9">
        <v>65000000</v>
      </c>
      <c r="BF45" s="9"/>
      <c r="BG45" s="9"/>
      <c r="BH45" s="9"/>
      <c r="BI45" s="9">
        <f>SUM(M45,N45,Q45,R45,S45,T45,U45,V45,W45,X45,Y45,Z45,AA45,AB45,AC45,AD45,AE45,AF45,AG45,AH45,AI45,AJ45,AK45,AL45,AM45,AN45,AO45,AP45,AQ45,AR45,AS45,AT45,AU45,AV45,AW45,AX45,AY45,AZ45,BA45,BB45,BC45,BD45,BE45,BF45,BG45,BH45)</f>
      </c>
      <c r="BJ45" s="9">
        <f>I45-BI45</f>
      </c>
      <c r="BK45" s="9">
        <f>BJ45-BL45-BM45-BN45-BO45</f>
      </c>
      <c r="BL45" s="9"/>
      <c r="BM45" s="9"/>
      <c r="BN45" s="9"/>
      <c r="BO45" s="9"/>
      <c r="BP45" s="8"/>
      <c r="BQ45" t="inlineStr" s="8">
        <is>
          <t>2023-09-07</t>
        </is>
      </c>
      <c r="BR45" t="inlineStr" s="8">
        <is>
          <t>2023-12-18</t>
        </is>
      </c>
      <c r="BS45" t="inlineStr" s="8">
        <is>
          <t>2025-05-30</t>
        </is>
      </c>
      <c r="BT45" s="8"/>
      <c r="BU45" s="8"/>
      <c r="BV45" s="8"/>
      <c r="BW45" s="8"/>
      <c r="BX45" s="8"/>
      <c r="BY45" s="8"/>
      <c r="BZ45" s="9"/>
      <c r="CA45" s="9"/>
      <c r="CB45" t="inlineStr" s="8">
        <is>
          <t>3166210432</t>
        </is>
      </c>
      <c r="CC45" t="inlineStr" s="8">
        <is>
          <t>ehrmantraut.draco.73816802@example.com</t>
        </is>
      </c>
      <c r="CD45" t="inlineStr" s="8">
        <is>
          <t>JETSON GEORGE CEL: 3166211396</t>
        </is>
      </c>
      <c r="CE45" s="8"/>
    </row>
    <row r="46" ht="12.75" customHeight="1">
      <c r="A46" t="inlineStr" s="8">
        <is>
          <t>60007919083611</t>
        </is>
      </c>
      <c r="B46" s="8"/>
      <c r="C46" t="inlineStr" s="8">
        <is>
          <t>607</t>
        </is>
      </c>
      <c r="D46" s="9">
        <v>55.20</v>
      </c>
      <c r="E46" t="inlineStr" s="8">
        <is>
          <t>73827542</t>
        </is>
      </c>
      <c r="F46" t="inlineStr" s="8">
        <is>
          <t>ROGERS HERCULE</t>
        </is>
      </c>
      <c r="G46" s="8"/>
      <c r="H46" t="inlineStr" s="8">
        <is>
          <t>BANCO DE BOGOTA</t>
        </is>
      </c>
      <c r="I46" s="9">
        <v>192172500.00</v>
      </c>
      <c r="J46" t="inlineStr" s="8">
        <is>
          <t>NCR4056 - NCR4052 - NCR4055 - NCR4050 - NCR4057 - NCR4045 - NCR4054 - NCR4059CR</t>
        </is>
      </c>
      <c r="K46" t="inlineStr" s="8">
        <is>
          <t>NCR4046 - NCR4049 - NCR4053 - NCR4047 - NCR4051 - NCR4058 - NCR4048</t>
        </is>
      </c>
      <c r="L46" t="inlineStr" s="8">
        <is>
          <t>OCT.2/22F - OCT.8/22F - OCT.10/22F - NOV.28/22F - DIC.20/22F - DIC.21/22F - MAR.1/23F - JUN.5/23 - JUL.9/23 - JUL.10/23 - JUL.28/23 - AGO.5/23 - AGO.19/23 - SEP.26/23</t>
        </is>
      </c>
      <c r="M46" s="9">
        <f>298000+596000+794000+4488000+775000+1986000+1053000</f>
      </c>
      <c r="N46" s="9"/>
      <c r="O46" t="inlineStr" s="8">
        <is>
          <t>SEP.20/23</t>
        </is>
      </c>
      <c r="P46" s="8"/>
      <c r="Q46" s="10"/>
      <c r="R46" s="10"/>
      <c r="S46" s="10"/>
      <c r="T46" s="10"/>
      <c r="U46" s="10"/>
      <c r="V46" s="10"/>
      <c r="W46" s="10"/>
      <c r="X46" s="10"/>
      <c r="Y46" s="10">
        <f>2741000+100000+397000</f>
      </c>
      <c r="Z46" s="10">
        <v>1569000</v>
      </c>
      <c r="AA46" s="10">
        <f>556000+1567000</f>
      </c>
      <c r="AB46" s="10"/>
      <c r="AC46" s="10"/>
      <c r="AD46" s="10">
        <v>2939000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9">
        <v>125000000</v>
      </c>
      <c r="BF46" s="9"/>
      <c r="BG46" s="9"/>
      <c r="BH46" s="9"/>
      <c r="BI46" s="9">
        <f>SUM(M46,N46,Q46,R46,S46,T46,U46,V46,W46,X46,Y46,Z46,AA46,AB46,AC46,AD46,AE46,AF46,AG46,AH46,AI46,AJ46,AK46,AL46,AM46,AN46,AO46,AP46,AQ46,AR46,AS46,AT46,AU46,AV46,AW46,AX46,AY46,AZ46,BA46,BB46,BC46,BD46,BE46,BF46,BG46,BH46)</f>
      </c>
      <c r="BJ46" s="9">
        <f>I46-BI46</f>
      </c>
      <c r="BK46" s="9">
        <f>BJ46-BL46-BM46-BN46-BO46</f>
      </c>
      <c r="BL46" s="9"/>
      <c r="BM46" s="9"/>
      <c r="BN46" s="9"/>
      <c r="BO46" s="9"/>
      <c r="BP46" s="8"/>
      <c r="BQ46" t="inlineStr" s="8">
        <is>
          <t>2022-10-03</t>
        </is>
      </c>
      <c r="BR46" t="inlineStr" s="8">
        <is>
          <t>2022-12-12</t>
        </is>
      </c>
      <c r="BS46" s="8"/>
      <c r="BT46" s="8"/>
      <c r="BU46" s="8"/>
      <c r="BV46" s="8"/>
      <c r="BW46" s="8"/>
      <c r="BX46" s="8"/>
      <c r="BY46" s="8"/>
      <c r="BZ46" s="9"/>
      <c r="CA46" s="9"/>
      <c r="CB46" t="inlineStr" s="8">
        <is>
          <t>3166211438</t>
        </is>
      </c>
      <c r="CC46" t="inlineStr" s="8">
        <is>
          <t>rogers.hercule.73827542@example.com</t>
        </is>
      </c>
      <c r="CD46" t="inlineStr" s="8">
        <is>
          <t>JAKE CEL: 3166211986</t>
        </is>
      </c>
      <c r="CE46" s="8"/>
    </row>
    <row r="47" ht="12.75" customHeight="1">
      <c r="A47" t="inlineStr" s="8">
        <is>
          <t>60007919083653</t>
        </is>
      </c>
      <c r="B47" s="8"/>
      <c r="C47" t="inlineStr" s="8">
        <is>
          <t>701</t>
        </is>
      </c>
      <c r="D47" s="9">
        <v>55.20</v>
      </c>
      <c r="E47" t="inlineStr" s="8">
        <is>
          <t>73829667</t>
        </is>
      </c>
      <c r="F47" t="inlineStr" s="8">
        <is>
          <t>SINCLAIR CLINT</t>
        </is>
      </c>
      <c r="G47" s="8"/>
      <c r="H47" t="inlineStr" s="8">
        <is>
          <t>BANCOLOMBIA</t>
        </is>
      </c>
      <c r="I47" s="9">
        <v>192172500.00</v>
      </c>
      <c r="J47" t="inlineStr" s="8">
        <is>
          <t>NCR4069 - NCR4071CR</t>
        </is>
      </c>
      <c r="K47" t="inlineStr" s="8">
        <is>
          <t>NCR4061 - NCR4062 - NCR4060 - NCR4067 - NCR4065 - NCR4063 - NCR4070 - NCR4064 - NCR4068 - NCR4066</t>
        </is>
      </c>
      <c r="L47" t="inlineStr" s="8">
        <is>
          <t>MAR.11/24F - MAR.14/24F - MAR.19/24F - MAY.3/24F - MAY.18/24F - JUN.22/24 - JUL.18/24F - SEP.17/24F - OCT.14/24F - FEB.19/25F - MAR.10/25F</t>
        </is>
      </c>
      <c r="M47" s="9">
        <v>10428000</v>
      </c>
      <c r="N47" s="9"/>
      <c r="O47" t="inlineStr" s="8">
        <is>
          <t>FEB.23/25</t>
        </is>
      </c>
      <c r="P47" s="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>
        <f>3561000+19839000+5087000</f>
      </c>
      <c r="AQ47" s="10"/>
      <c r="AR47" s="10">
        <f>28487000+1526000</f>
      </c>
      <c r="AS47" s="10"/>
      <c r="AT47" s="10">
        <v>14625000</v>
      </c>
      <c r="AU47" s="10"/>
      <c r="AV47" s="10">
        <v>126500</v>
      </c>
      <c r="AW47" s="10">
        <v>3561000</v>
      </c>
      <c r="AX47" s="10"/>
      <c r="AY47" s="10"/>
      <c r="AZ47" s="10"/>
      <c r="BA47" s="10">
        <v>23527000</v>
      </c>
      <c r="BB47" s="10">
        <v>16405000</v>
      </c>
      <c r="BC47" s="10"/>
      <c r="BD47" s="10"/>
      <c r="BE47" s="9">
        <v>65000000</v>
      </c>
      <c r="BF47" s="9"/>
      <c r="BG47" s="9"/>
      <c r="BH47" s="9"/>
      <c r="BI47" s="9">
        <f>SUM(M47,N47,Q47,R47,S47,T47,U47,V47,W47,X47,Y47,Z47,AA47,AB47,AC47,AD47,AE47,AF47,AG47,AH47,AI47,AJ47,AK47,AL47,AM47,AN47,AO47,AP47,AQ47,AR47,AS47,AT47,AU47,AV47,AW47,AX47,AY47,AZ47,BA47,BB47,BC47,BD47,BE47,BF47,BG47,BH47)</f>
      </c>
      <c r="BJ47" s="9">
        <f>I47-BI47</f>
      </c>
      <c r="BK47" s="9">
        <f>BJ47-BL47-BM47-BN47-BO47</f>
      </c>
      <c r="BL47" s="9"/>
      <c r="BM47" s="9"/>
      <c r="BN47" s="9"/>
      <c r="BO47" s="9"/>
      <c r="BP47" s="8"/>
      <c r="BQ47" t="inlineStr" s="8">
        <is>
          <t>2024-02-10</t>
        </is>
      </c>
      <c r="BR47" t="inlineStr" s="8">
        <is>
          <t>2024-04-19</t>
        </is>
      </c>
      <c r="BS47" t="inlineStr" s="8">
        <is>
          <t>2025-06-03</t>
        </is>
      </c>
      <c r="BT47" s="8"/>
      <c r="BU47" s="8"/>
      <c r="BV47" s="8"/>
      <c r="BW47" s="8"/>
      <c r="BX47" s="8"/>
      <c r="BY47" s="8"/>
      <c r="BZ47" s="9"/>
      <c r="CA47" s="9"/>
      <c r="CB47" t="inlineStr" s="8">
        <is>
          <t>3166212764</t>
        </is>
      </c>
      <c r="CC47" t="inlineStr" s="8">
        <is>
          <t>sinclair.clint.73829667@example.com</t>
        </is>
      </c>
      <c r="CD47" t="inlineStr" s="8">
        <is>
          <t>FLINTSTONE FRED CEL: 3166212972</t>
        </is>
      </c>
      <c r="CE47" s="8"/>
    </row>
    <row r="48" ht="12.75" customHeight="1">
      <c r="A48" t="inlineStr" s="8">
        <is>
          <t>60007919083787</t>
        </is>
      </c>
      <c r="B48" s="8"/>
      <c r="C48" t="inlineStr" s="8">
        <is>
          <t>702</t>
        </is>
      </c>
      <c r="D48" s="9">
        <v>55.20</v>
      </c>
      <c r="E48" t="inlineStr" s="8">
        <is>
          <t>73841949</t>
        </is>
      </c>
      <c r="F48" t="inlineStr" s="8">
        <is>
          <t>MALFOY RACHEL</t>
        </is>
      </c>
      <c r="G48" t="inlineStr" s="8">
        <is>
          <t>TANO AHSOKA</t>
        </is>
      </c>
      <c r="H48" t="inlineStr" s="8">
        <is>
          <t>BANCO DE BOGOTA</t>
        </is>
      </c>
      <c r="I48" s="9">
        <v>192172500.00</v>
      </c>
      <c r="J48" t="inlineStr" s="8">
        <is>
          <t>NC4072TRASLADO - NCR4078CR</t>
        </is>
      </c>
      <c r="K48" t="inlineStr" s="8">
        <is>
          <t>NCR4076 - NCR4077 - NCR4074 - NCR4073 - NCR4075</t>
        </is>
      </c>
      <c r="L48" t="inlineStr" s="8">
        <is>
          <t>MAY.17/22F - AGO.11/22F - (AGO.12/22TRASLADO) - FEB.18/23F - FEB.24/23F - ABR.9/23F</t>
        </is>
      </c>
      <c r="M48" s="9"/>
      <c r="N48" s="9">
        <v>12000000</v>
      </c>
      <c r="O48" t="inlineStr" s="8">
        <is>
          <t>DIC.28/22</t>
        </is>
      </c>
      <c r="P48" s="8"/>
      <c r="Q48" s="10"/>
      <c r="R48" s="10"/>
      <c r="S48" s="10"/>
      <c r="T48" s="10">
        <v>6311000</v>
      </c>
      <c r="U48" s="10"/>
      <c r="V48" s="10"/>
      <c r="W48" s="10">
        <v>452000</v>
      </c>
      <c r="X48" s="10"/>
      <c r="Y48" s="10"/>
      <c r="Z48" s="10"/>
      <c r="AA48" s="10"/>
      <c r="AB48" s="10"/>
      <c r="AC48" s="10">
        <f>327000+16846000</f>
      </c>
      <c r="AD48" s="10"/>
      <c r="AE48" s="10">
        <v>1207000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>
        <v>65000000</v>
      </c>
      <c r="BF48" s="9"/>
      <c r="BG48" s="9"/>
      <c r="BH48" s="9"/>
      <c r="BI48" s="9">
        <f>SUM(M48,N48,Q48,R48,S48,T48,U48,V48,W48,X48,Y48,Z48,AA48,AB48,AC48,AD48,AE48,AF48,AG48,AH48,AI48,AJ48,AK48,AL48,AM48,AN48,AO48,AP48,AQ48,AR48,AS48,AT48,AU48,AV48,AW48,AX48,AY48,AZ48,BA48,BB48,BC48,BD48,BE48,BF48,BG48,BH48)</f>
      </c>
      <c r="BJ48" s="9">
        <f>I48-BI48</f>
      </c>
      <c r="BK48" s="9">
        <f>BJ48-BL48-BM48-BN48-BO48</f>
      </c>
      <c r="BL48" s="9"/>
      <c r="BM48" s="9"/>
      <c r="BN48" s="9"/>
      <c r="BO48" s="9"/>
      <c r="BP48" s="8"/>
      <c r="BQ48" t="inlineStr" s="8">
        <is>
          <t>2022-05-28</t>
        </is>
      </c>
      <c r="BR48" t="inlineStr" s="8">
        <is>
          <t>2022-09-14</t>
        </is>
      </c>
      <c r="BS48" s="8"/>
      <c r="BT48" s="8"/>
      <c r="BU48" s="8"/>
      <c r="BV48" s="8"/>
      <c r="BW48" s="8"/>
      <c r="BX48" s="8"/>
      <c r="BY48" s="8"/>
      <c r="BZ48" s="9"/>
      <c r="CA48" s="9"/>
      <c r="CB48" t="inlineStr" s="8">
        <is>
          <t>3166213186</t>
        </is>
      </c>
      <c r="CC48" t="inlineStr" s="8">
        <is>
          <t>malfoy.rachel.73841949@example.com</t>
        </is>
      </c>
      <c r="CD48" t="inlineStr" s="8">
        <is>
          <t>FLINTSTONE FRED CEL: 3166213451</t>
        </is>
      </c>
      <c r="CE48" s="8"/>
    </row>
    <row r="49" ht="12.75" customHeight="1">
      <c r="A49" t="inlineStr" s="8">
        <is>
          <t>60007919083917</t>
        </is>
      </c>
      <c r="B49" s="8"/>
      <c r="C49" t="inlineStr" s="8">
        <is>
          <t>703</t>
        </is>
      </c>
      <c r="D49" s="9">
        <v>55.20</v>
      </c>
      <c r="E49" t="inlineStr" s="8">
        <is>
          <t>73850930</t>
        </is>
      </c>
      <c r="F49" t="inlineStr" s="8">
        <is>
          <t>POIROT LEIA</t>
        </is>
      </c>
      <c r="G49" s="8"/>
      <c r="H49" s="8"/>
      <c r="I49" s="9">
        <v>192172500.00</v>
      </c>
      <c r="J49" t="inlineStr" s="8">
        <is>
          <t>NCR4084 - NCR4082 - NCR4083 - NCR4085 - NCR4080</t>
        </is>
      </c>
      <c r="K49" t="inlineStr" s="8">
        <is>
          <t>NCR4088 - NCR4081 - NCR4087 - NCR4086</t>
        </is>
      </c>
      <c r="L49" t="inlineStr" s="8">
        <is>
          <t>FEB.4/23F - MAY.26/23F - JUN.27/23 - AGO.27/23 - OCT.18/23F - NOV.25/23 - DIC.4/23 - JUN.28/24 - AGO.14/24F</t>
        </is>
      </c>
      <c r="M49" s="9">
        <f>41354000+36813000+20596000+6487000+26921000</f>
      </c>
      <c r="N49" s="9"/>
      <c r="O49" s="8"/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>
        <v>4216500</v>
      </c>
      <c r="AD49" s="10"/>
      <c r="AE49" s="10"/>
      <c r="AF49" s="10">
        <v>19623000</v>
      </c>
      <c r="AG49" s="10"/>
      <c r="AH49" s="10"/>
      <c r="AI49" s="10"/>
      <c r="AJ49" s="10"/>
      <c r="AK49" s="10">
        <v>1135000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0">
        <v>5027000</v>
      </c>
      <c r="AV49" s="10"/>
      <c r="AW49" s="10"/>
      <c r="AX49" s="10"/>
      <c r="AY49" s="10"/>
      <c r="AZ49" s="10"/>
      <c r="BA49" s="10"/>
      <c r="BB49" s="10"/>
      <c r="BC49" s="10"/>
      <c r="BD49" s="10"/>
      <c r="BE49" s="9"/>
      <c r="BF49" s="9"/>
      <c r="BG49" s="9"/>
      <c r="BH49" s="9"/>
      <c r="BI49" s="9">
        <f>SUM(M49,N49,Q49,R49,S49,T49,U49,V49,W49,X49,Y49,Z49,AA49,AB49,AC49,AD49,AE49,AF49,AG49,AH49,AI49,AJ49,AK49,AL49,AM49,AN49,AO49,AP49,AQ49,AR49,AS49,AT49,AU49,AV49,AW49,AX49,AY49,AZ49,BA49,BB49,BC49,BD49,BE49,BF49,BG49,BH49)</f>
      </c>
      <c r="BJ49" s="9">
        <f>I49-BI49</f>
      </c>
      <c r="BK49" s="9">
        <f>BJ49-BL49-BM49-BN49-BO49</f>
      </c>
      <c r="BL49" s="9"/>
      <c r="BM49" s="9"/>
      <c r="BN49" s="9"/>
      <c r="BO49" s="9"/>
      <c r="BP49" s="8"/>
      <c r="BQ49" t="inlineStr" s="8">
        <is>
          <t>2023-03-22</t>
        </is>
      </c>
      <c r="BR49" t="inlineStr" s="8">
        <is>
          <t>2023-06-16</t>
        </is>
      </c>
      <c r="BS49" t="inlineStr" s="8">
        <is>
          <t>2024-12-18</t>
        </is>
      </c>
      <c r="BT49" s="8"/>
      <c r="BU49" s="8"/>
      <c r="BV49" s="8"/>
      <c r="BW49" s="8"/>
      <c r="BX49" s="8"/>
      <c r="BY49" s="8"/>
      <c r="BZ49" s="9"/>
      <c r="CA49" s="9"/>
      <c r="CB49" t="inlineStr" s="8">
        <is>
          <t>3166214194</t>
        </is>
      </c>
      <c r="CC49" t="inlineStr" s="8">
        <is>
          <t>poirot.leia.73850930@example.com</t>
        </is>
      </c>
      <c r="CD49" t="inlineStr" s="8">
        <is>
          <t>MOUSE MINNIE CEL: 3166214293</t>
        </is>
      </c>
      <c r="CE49" s="8"/>
    </row>
    <row r="50" ht="12.75" customHeight="1">
      <c r="A50" t="inlineStr" s="8">
        <is>
          <t>60007919084146</t>
        </is>
      </c>
      <c r="B50" s="8"/>
      <c r="C50" t="inlineStr" s="8">
        <is>
          <t>704</t>
        </is>
      </c>
      <c r="D50" s="9">
        <v>55.20</v>
      </c>
      <c r="E50" t="inlineStr" s="8">
        <is>
          <t>73875797</t>
        </is>
      </c>
      <c r="F50" t="inlineStr" s="8">
        <is>
          <t>JANE DUSTIN</t>
        </is>
      </c>
      <c r="G50" t="inlineStr" s="8">
        <is>
          <t>TENTACLES ROSS</t>
        </is>
      </c>
      <c r="H50" t="inlineStr" s="8">
        <is>
          <t>BANCO DE BOGOTA</t>
        </is>
      </c>
      <c r="I50" s="9">
        <v>192172500.00</v>
      </c>
      <c r="J50" t="inlineStr" s="8">
        <is>
          <t>NCR4109CR</t>
        </is>
      </c>
      <c r="K50" t="inlineStr" s="8">
        <is>
          <t>NCR4105 - NCR4107 - NCR4108 - NCR4106</t>
        </is>
      </c>
      <c r="L50" t="inlineStr" s="8">
        <is>
          <t>DIC.26/23F - MAR.6/24F - ABR.7/24F - AGO.15/24F</t>
        </is>
      </c>
      <c r="M50" s="9"/>
      <c r="N50" s="9"/>
      <c r="O50" t="inlineStr" s="8">
        <is>
          <t>JUN.16/24</t>
        </is>
      </c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>
        <v>13909000</v>
      </c>
      <c r="AN50" s="10"/>
      <c r="AO50" s="10"/>
      <c r="AP50" s="10">
        <v>2019000</v>
      </c>
      <c r="AQ50" s="10">
        <v>69210500</v>
      </c>
      <c r="AR50" s="10"/>
      <c r="AS50" s="10"/>
      <c r="AT50" s="10"/>
      <c r="AU50" s="10">
        <v>27034000</v>
      </c>
      <c r="AV50" s="10"/>
      <c r="AW50" s="10"/>
      <c r="AX50" s="10"/>
      <c r="AY50" s="10"/>
      <c r="AZ50" s="10"/>
      <c r="BA50" s="10"/>
      <c r="BB50" s="10"/>
      <c r="BC50" s="10"/>
      <c r="BD50" s="10"/>
      <c r="BE50" s="9">
        <v>65000000</v>
      </c>
      <c r="BF50" s="9"/>
      <c r="BG50" s="9"/>
      <c r="BH50" s="9"/>
      <c r="BI50" s="9">
        <f>SUM(M50,N50,Q50,R50,S50,T50,U50,V50,W50,X50,Y50,Z50,AA50,AB50,AC50,AD50,AE50,AF50,AG50,AH50,AI50,AJ50,AK50,AL50,AM50,AN50,AO50,AP50,AQ50,AR50,AS50,AT50,AU50,AV50,AW50,AX50,AY50,AZ50,BA50,BB50,BC50,BD50,BE50,BF50,BG50,BH50)</f>
      </c>
      <c r="BJ50" s="9">
        <f>I50-BI50</f>
      </c>
      <c r="BK50" s="9">
        <f>BJ50-BL50-BM50-BN50-BO50</f>
      </c>
      <c r="BL50" s="9"/>
      <c r="BM50" s="9"/>
      <c r="BN50" s="9"/>
      <c r="BO50" s="9"/>
      <c r="BP50" s="8"/>
      <c r="BQ50" t="inlineStr" s="8">
        <is>
          <t>2024-02-29</t>
        </is>
      </c>
      <c r="BR50" t="inlineStr" s="8">
        <is>
          <t>2024-04-08</t>
        </is>
      </c>
      <c r="BS50" t="inlineStr" s="8">
        <is>
          <t>2024-12-31</t>
        </is>
      </c>
      <c r="BT50" s="8"/>
      <c r="BU50" s="8"/>
      <c r="BV50" s="8"/>
      <c r="BW50" s="8"/>
      <c r="BX50" s="8"/>
      <c r="BY50" s="8"/>
      <c r="BZ50" s="9"/>
      <c r="CA50" s="9"/>
      <c r="CB50" t="inlineStr" s="8">
        <is>
          <t>3166216266</t>
        </is>
      </c>
      <c r="CC50" t="inlineStr" s="8">
        <is>
          <t>jane.dustin.73875797@example.com</t>
        </is>
      </c>
      <c r="CD50" t="inlineStr" s="8">
        <is>
          <t>BUNNY BUGS CEL: 3166216811</t>
        </is>
      </c>
      <c r="CE50" s="8"/>
    </row>
    <row r="51" ht="12.75" customHeight="1">
      <c r="A51" t="inlineStr" s="8">
        <is>
          <t>60007919084244</t>
        </is>
      </c>
      <c r="B51" s="8"/>
      <c r="C51" t="inlineStr" s="8">
        <is>
          <t>705</t>
        </is>
      </c>
      <c r="D51" s="9">
        <v>55.20</v>
      </c>
      <c r="E51" t="inlineStr" s="8">
        <is>
          <t>73883540</t>
        </is>
      </c>
      <c r="F51" t="inlineStr" s="8">
        <is>
          <t>BYERS ARYA</t>
        </is>
      </c>
      <c r="G51" s="8"/>
      <c r="H51" t="inlineStr" s="8">
        <is>
          <t>BANCO DAVIVIENDA</t>
        </is>
      </c>
      <c r="I51" s="9">
        <v>192172500.00</v>
      </c>
      <c r="J51" t="inlineStr" s="8">
        <is>
          <t>NCR4116 - NCR4113 - NCR4119CR</t>
        </is>
      </c>
      <c r="K51" t="inlineStr" s="8">
        <is>
          <t>NCR4114 - NCR4117 - NCR4115 - NCR4111 - NCR4112 - NCR4118</t>
        </is>
      </c>
      <c r="L51" t="inlineStr" s="8">
        <is>
          <t>FEB.11/23F - MAY.15/23F - JUL.24/23F - OCT.28/23F - DIC.18/23 - DIC.23/23 - FEB.7/24F - ABR.11/24F</t>
        </is>
      </c>
      <c r="M51" s="9">
        <f>5635000+3158000</f>
      </c>
      <c r="N51" s="9"/>
      <c r="O51" t="inlineStr" s="8">
        <is>
          <t>DIC.31/23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>
        <v>10541000</v>
      </c>
      <c r="AD51" s="10"/>
      <c r="AE51" s="10"/>
      <c r="AF51" s="10">
        <v>1700000</v>
      </c>
      <c r="AG51" s="10"/>
      <c r="AH51" s="10">
        <v>14719000</v>
      </c>
      <c r="AI51" s="10"/>
      <c r="AJ51" s="10"/>
      <c r="AK51" s="10">
        <v>5489000</v>
      </c>
      <c r="AL51" s="10"/>
      <c r="AM51" s="10"/>
      <c r="AN51" s="10"/>
      <c r="AO51" s="10">
        <v>5003000</v>
      </c>
      <c r="AP51" s="10"/>
      <c r="AQ51" s="10">
        <v>2332334</v>
      </c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9">
        <v>24288666</v>
      </c>
      <c r="BF51" s="9"/>
      <c r="BG51" s="9"/>
      <c r="BH51" s="9"/>
      <c r="BI51" s="9">
        <f>SUM(M51,N51,Q51,R51,S51,T51,U51,V51,W51,X51,Y51,Z51,AA51,AB51,AC51,AD51,AE51,AF51,AG51,AH51,AI51,AJ51,AK51,AL51,AM51,AN51,AO51,AP51,AQ51,AR51,AS51,AT51,AU51,AV51,AW51,AX51,AY51,AZ51,BA51,BB51,BC51,BD51,BE51,BF51,BG51,BH51)</f>
      </c>
      <c r="BJ51" s="9">
        <f>I51-BI51</f>
      </c>
      <c r="BK51" s="9">
        <f>BJ51-BL51-BM51-BN51-BO51</f>
      </c>
      <c r="BL51" s="9"/>
      <c r="BM51" s="9"/>
      <c r="BN51" s="9"/>
      <c r="BO51" s="9"/>
      <c r="BP51" s="8"/>
      <c r="BQ51" t="inlineStr" s="8">
        <is>
          <t>2022-12-29</t>
        </is>
      </c>
      <c r="BR51" t="inlineStr" s="8">
        <is>
          <t>2023-01-11</t>
        </is>
      </c>
      <c r="BS51" s="8"/>
      <c r="BT51" s="8"/>
      <c r="BU51" s="8"/>
      <c r="BV51" s="8"/>
      <c r="BW51" s="8"/>
      <c r="BX51" s="8"/>
      <c r="BY51" s="8"/>
      <c r="BZ51" s="9"/>
      <c r="CA51" s="9"/>
      <c r="CB51" t="inlineStr" s="8">
        <is>
          <t>3166217172</t>
        </is>
      </c>
      <c r="CC51" t="inlineStr" s="8">
        <is>
          <t>byers.arya.73883540@example.com</t>
        </is>
      </c>
      <c r="CD51" t="inlineStr" s="8">
        <is>
          <t>JAKE CEL: 3166217632</t>
        </is>
      </c>
      <c r="CE51" s="8"/>
    </row>
    <row r="52" ht="12.75" customHeight="1">
      <c r="A52" s="8"/>
      <c r="B52" s="8"/>
      <c r="C52" t="inlineStr" s="8">
        <is>
          <t>706</t>
        </is>
      </c>
      <c r="D52" s="9">
        <v>55.20</v>
      </c>
      <c r="E52" s="8"/>
      <c r="F52" s="8"/>
      <c r="G52" s="8"/>
      <c r="H52" t="inlineStr" s="8">
        <is>
          <t>BANCO CAJA SOCIAL</t>
        </is>
      </c>
      <c r="I52" s="9">
        <v>192172500.00</v>
      </c>
      <c r="J52" s="8"/>
      <c r="K52" s="8"/>
      <c r="L52" s="8"/>
      <c r="M52" s="9"/>
      <c r="N52" s="9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9"/>
      <c r="CA52" s="9"/>
      <c r="CB52" s="8"/>
      <c r="CC52" s="8"/>
      <c r="CD52" s="8"/>
      <c r="CE52" s="8"/>
    </row>
    <row r="53" ht="12.75" customHeight="1">
      <c r="A53" t="inlineStr" s="8">
        <is>
          <t>60007919084442</t>
        </is>
      </c>
      <c r="B53" s="8"/>
      <c r="C53" t="inlineStr" s="8">
        <is>
          <t>707</t>
        </is>
      </c>
      <c r="D53" s="9">
        <v>55.20</v>
      </c>
      <c r="E53" t="inlineStr" s="8">
        <is>
          <t>73895690</t>
        </is>
      </c>
      <c r="F53" t="inlineStr" s="8">
        <is>
          <t>GELLER NATASHA</t>
        </is>
      </c>
      <c r="G53" t="inlineStr" s="8">
        <is>
          <t>HOFSTADTER PAM</t>
        </is>
      </c>
      <c r="H53" s="8"/>
      <c r="I53" s="9">
        <v>192172500.00</v>
      </c>
      <c r="J53" t="inlineStr" s="8">
        <is>
          <t>NCR4141</t>
        </is>
      </c>
      <c r="K53" t="inlineStr" s="8">
        <is>
          <t>NCR4138 - NCR4137 - NCR4139 - NCR4140</t>
        </is>
      </c>
      <c r="L53" t="inlineStr" s="8">
        <is>
          <t>ENE.12/23F - ENE.14/23F - FEB.10/23F - JUL.10/23 - FEB.13/24F</t>
        </is>
      </c>
      <c r="M53" s="9">
        <v>51651500</v>
      </c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f>15496000+98999000</f>
      </c>
      <c r="AC53" s="10">
        <v>4132000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>
        <v>1894000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9"/>
      <c r="BF53" s="9"/>
      <c r="BG53" s="9"/>
      <c r="BH53" s="9"/>
      <c r="BI53" s="9">
        <f>SUM(M53,N53,Q53,R53,S53,T53,U53,V53,W53,X53,Y53,Z53,AA53,AB53,AC53,AD53,AE53,AF53,AG53,AH53,AI53,AJ53,AK53,AL53,AM53,AN53,AO53,AP53,AQ53,AR53,AS53,AT53,AU53,AV53,AW53,AX53,AY53,AZ53,BA53,BB53,BC53,BD53,BE53,BF53,BG53,BH53)</f>
      </c>
      <c r="BJ53" s="9">
        <f>I53-BI53</f>
      </c>
      <c r="BK53" s="9">
        <f>BJ53-BL53-BM53-BN53-BO53</f>
      </c>
      <c r="BL53" s="9"/>
      <c r="BM53" s="9"/>
      <c r="BN53" s="9"/>
      <c r="BO53" s="9"/>
      <c r="BP53" s="8"/>
      <c r="BQ53" t="inlineStr" s="8">
        <is>
          <t>2023-03-25</t>
        </is>
      </c>
      <c r="BR53" t="inlineStr" s="8">
        <is>
          <t>2023-06-15</t>
        </is>
      </c>
      <c r="BS53" s="8"/>
      <c r="BT53" s="8"/>
      <c r="BU53" s="8"/>
      <c r="BV53" s="8"/>
      <c r="BW53" s="8"/>
      <c r="BX53" s="8"/>
      <c r="BY53" s="8"/>
      <c r="BZ53" s="9"/>
      <c r="CA53" s="9"/>
      <c r="CB53" t="inlineStr" s="8">
        <is>
          <t>3166218997</t>
        </is>
      </c>
      <c r="CC53" t="inlineStr" s="8">
        <is>
          <t>geller.natasha.73895690@example.com</t>
        </is>
      </c>
      <c r="CD53" t="inlineStr" s="8">
        <is>
          <t>MOUSE MINNIE CEL: 3166219601</t>
        </is>
      </c>
      <c r="CE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9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9">
        <f>SUM(BZ5:BZ53)</f>
      </c>
      <c r="CA54" s="9">
        <f>SUM(CA5:CA53)</f>
      </c>
      <c r="CB54" s="8"/>
      <c r="CC54" s="8"/>
      <c r="CD54" s="8"/>
      <c r="CE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8"/>
      <c r="CC55" s="8"/>
      <c r="CD55" s="8"/>
      <c r="CE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9">
        <f>SUM(BE5:BE53)</f>
      </c>
      <c r="BF56" s="9">
        <f>SUM(BF5:BF53)</f>
      </c>
      <c r="BG56" s="9">
        <f>SUM(BG5:BG53)</f>
      </c>
      <c r="BH56" s="9"/>
      <c r="BI56" s="9">
        <f>SUM(BI5:BI53)</f>
      </c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9">
        <f>SUM(BZ5:BZ53)</f>
      </c>
      <c r="CA56" s="9">
        <f>SUM(CA5:CA53)</f>
      </c>
      <c r="CB56" s="8"/>
      <c r="CC56" s="8"/>
      <c r="CD56" s="8"/>
      <c r="CE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3.7" customHeight="1">
      <c r="A59" t="inlineStr" s="8">
        <is>
          <t>60007919082327</t>
        </is>
      </c>
      <c r="B59" t="inlineStr" s="8">
        <is>
          <t>60007919082384</t>
        </is>
      </c>
      <c r="C59" t="inlineStr" s="8">
        <is>
          <t>502</t>
        </is>
      </c>
      <c r="D59" s="9">
        <v>55.20</v>
      </c>
      <c r="E59" t="inlineStr" s="8">
        <is>
          <t>73708548</t>
        </is>
      </c>
      <c r="F59" t="inlineStr" s="8">
        <is>
          <t>ORGANA FERRIS</t>
        </is>
      </c>
      <c r="G59" t="inlineStr" s="8">
        <is>
          <t>*CESION/ARRAS</t>
        </is>
      </c>
      <c r="H59" t="inlineStr" s="8">
        <is>
          <t>BBVA</t>
        </is>
      </c>
      <c r="I59" s="9">
        <v>192172500.00</v>
      </c>
      <c r="J59" s="8"/>
      <c r="K59" s="8"/>
      <c r="L59" t="inlineStr" s="8">
        <is>
          <t>2022-03-29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9"/>
      <c r="BF59" s="9"/>
      <c r="BG59" s="9"/>
      <c r="BH59" s="9"/>
      <c r="BI59" s="9">
        <f>SUM(M59,N59,Q59,R59,S59,T59,U59,V59,W59,X59,Y59,Z59,AA59,AB59,AC59,AD59,AE59,AF59,AG59,AH59,AI59,AJ59,AK59,AL59,AM59,AN59,AO59,AP59,AQ59,AR59,AS59,AT59,AU59,AV59,AW59,AX59,AY59,AZ59,BA59,BB59,BC59,BD59,BE59,BF59,BG59,BH59)</f>
      </c>
      <c r="BJ59" s="9">
        <f>I59-BI59</f>
      </c>
      <c r="BK59" s="9">
        <f>BJ59-BL59-BM59-BN59-BO59</f>
      </c>
      <c r="BL59" s="9"/>
      <c r="BM59" s="9"/>
      <c r="BN59" s="9"/>
      <c r="BO59" s="9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t="inlineStr" s="8">
        <is>
          <t>3166194286</t>
        </is>
      </c>
      <c r="CC59" t="inlineStr" s="8">
        <is>
          <t>organa.ferris.73708548@example.com</t>
        </is>
      </c>
      <c r="CD59" t="inlineStr" s="8">
        <is>
          <t>JETSON GEORGE CEL: 3166195314</t>
        </is>
      </c>
      <c r="CE59" t="inlineStr" s="8">
        <is>
          <t>NC3918 MAR.29/22 CESION DE FERRIS ORGANA/SAMWISE BEESLY A JOEY MALFOY *ANTIC $18.000.000 *ARRAS $4'640</t>
        </is>
      </c>
    </row>
    <row r="60" ht="13.7" customHeight="1">
      <c r="A60" t="inlineStr" s="8">
        <is>
          <t>60007919082384</t>
        </is>
      </c>
      <c r="B60" s="8"/>
      <c r="C60" t="inlineStr" s="8">
        <is>
          <t>502</t>
        </is>
      </c>
      <c r="D60" s="9">
        <v>55.20</v>
      </c>
      <c r="E60" t="inlineStr" s="8">
        <is>
          <t>73712753</t>
        </is>
      </c>
      <c r="F60" t="inlineStr" s="8">
        <is>
          <t>MALFOY JOEY</t>
        </is>
      </c>
      <c r="G60" t="inlineStr" s="8">
        <is>
          <t>*CESION/ARRAS</t>
        </is>
      </c>
      <c r="H60" t="inlineStr" s="8">
        <is>
          <t>BBVA</t>
        </is>
      </c>
      <c r="I60" s="9">
        <v>192172500.00</v>
      </c>
      <c r="J60" t="inlineStr" s="8">
        <is>
          <t>NC3918CESION - NCR3926CR</t>
        </is>
      </c>
      <c r="K60" t="inlineStr" s="8">
        <is>
          <t>NCR3921 - NCR3922 - NCR3924 - NCR3920 - NCR3923 - NCR3925 - NCR3919</t>
        </is>
      </c>
      <c r="L60" t="inlineStr" s="8">
        <is>
          <t>2022-03-29</t>
        </is>
      </c>
      <c r="M60" s="9"/>
      <c r="N60" s="9">
        <v>18000000</v>
      </c>
      <c r="O60" t="inlineStr" s="8">
        <is>
          <t>JUN.1/22</t>
        </is>
      </c>
      <c r="P60" s="8"/>
      <c r="Q60" s="10">
        <f>6491500+5114000</f>
      </c>
      <c r="R60" s="10">
        <v>20013000</v>
      </c>
      <c r="S60" s="10"/>
      <c r="T60" s="10"/>
      <c r="U60" s="10"/>
      <c r="V60" s="10"/>
      <c r="W60" s="10"/>
      <c r="X60" s="10">
        <v>639000</v>
      </c>
      <c r="Y60" s="10">
        <v>8310000</v>
      </c>
      <c r="Z60" s="10"/>
      <c r="AA60" s="10">
        <f>3491103+5114000</f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>
        <v>125000000</v>
      </c>
      <c r="BF60" s="9"/>
      <c r="BG60" s="9"/>
      <c r="BH60" s="9"/>
      <c r="BI60" s="9">
        <f>SUM(M60,N60,Q60,R60,S60,T60,U60,V60,W60,X60,Y60,Z60,AA60,AB60,AC60,AD60,AE60,AF60,AG60,AH60,AI60,AJ60,AK60,AL60,AM60,AN60,AO60,AP60,AQ60,AR60,AS60,AT60,AU60,AV60,AW60,AX60,AY60,AZ60,BA60,BB60,BC60,BD60,BE60,BF60,BG60,BH60)</f>
      </c>
      <c r="BJ60" s="9">
        <f>I60-BI60</f>
      </c>
      <c r="BK60" s="9">
        <f>BJ60-BL60-BM60-BN60-BO60</f>
      </c>
      <c r="BL60" s="9"/>
      <c r="BM60" s="9"/>
      <c r="BN60" s="9"/>
      <c r="BO60" s="9"/>
      <c r="BP60" s="8"/>
      <c r="BQ60" t="inlineStr" s="8">
        <is>
          <t>2022-01-18</t>
        </is>
      </c>
      <c r="BR60" t="inlineStr" s="8">
        <is>
          <t>2022-04-03</t>
        </is>
      </c>
      <c r="BS60" s="8"/>
      <c r="BT60" s="8"/>
      <c r="BU60" s="8"/>
      <c r="BV60" s="8"/>
      <c r="BW60" s="8"/>
      <c r="BX60" s="8"/>
      <c r="BY60" s="8"/>
      <c r="BZ60" s="9"/>
      <c r="CA60" s="9"/>
      <c r="CB60" t="inlineStr" s="8">
        <is>
          <t>3166194739</t>
        </is>
      </c>
      <c r="CC60" t="inlineStr" s="8">
        <is>
          <t>malfoy.joey.73712753@example.com</t>
        </is>
      </c>
      <c r="CD60" t="inlineStr" s="8">
        <is>
          <t>JETSON GEORGE CEL: 3166195314</t>
        </is>
      </c>
      <c r="CE60" t="inlineStr" s="8">
        <is>
          <t>NC3918 MAR.29/22 CESION DE FERRIS ORGANA/SAMWISE BEESLY A JOEY MALFOY *ANTIC $18.000.000 *ARRAS $4'640</t>
        </is>
      </c>
    </row>
    <row r="61" ht="13.7" customHeight="1">
      <c r="A61" t="inlineStr" s="8">
        <is>
          <t>60007919081727</t>
        </is>
      </c>
      <c r="B61" s="8"/>
      <c r="C61" t="inlineStr" s="8">
        <is>
          <t>404</t>
        </is>
      </c>
      <c r="D61" s="9">
        <v>55.20</v>
      </c>
      <c r="E61" t="inlineStr" s="8">
        <is>
          <t>73663827</t>
        </is>
      </c>
      <c r="F61" t="inlineStr" s="8">
        <is>
          <t>BUELLER SHERLOCK</t>
        </is>
      </c>
      <c r="G61" t="inlineStr" s="8">
        <is>
          <t>*INCLUSION</t>
        </is>
      </c>
      <c r="H61" t="inlineStr" s="8">
        <is>
          <t>BANCO DAVIVIENDA</t>
        </is>
      </c>
      <c r="I61" s="9">
        <v>192172500.00</v>
      </c>
      <c r="J61" s="8"/>
      <c r="K61" s="8"/>
      <c r="L61" t="inlineStr" s="8">
        <is>
          <t>2022-05-14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/>
      <c r="BF61" s="9"/>
      <c r="BG61" s="9"/>
      <c r="BH61" s="9"/>
      <c r="BI61" s="9">
        <f>SUM(M61,N61,Q61,R61,S61,T61,U61,V61,W61,X61,Y61,Z61,AA61,AB61,AC61,AD61,AE61,AF61,AG61,AH61,AI61,AJ61,AK61,AL61,AM61,AN61,AO61,AP61,AQ61,AR61,AS61,AT61,AU61,AV61,AW61,AX61,AY61,AZ61,BA61,BB61,BC61,BD61,BE61,BF61,BG61,BH61)</f>
      </c>
      <c r="BJ61" s="9">
        <f>I61-BI61</f>
      </c>
      <c r="BK61" s="9">
        <f>BJ61-BL61-BM61-BN61-BO61</f>
      </c>
      <c r="BL61" s="9"/>
      <c r="BM61" s="9"/>
      <c r="BN61" s="9"/>
      <c r="BO61" s="9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9"/>
      <c r="CA61" s="9"/>
      <c r="CB61" t="inlineStr" s="8">
        <is>
          <t>3166186870</t>
        </is>
      </c>
      <c r="CC61" t="inlineStr" s="8">
        <is>
          <t>bueller.sherlock.73663827@example.com</t>
        </is>
      </c>
      <c r="CD61" t="inlineStr" s="8">
        <is>
          <t>MOUSE MINNIE CEL: 3166188021</t>
        </is>
      </c>
      <c r="CE61" t="inlineStr" s="8">
        <is>
          <t>NC3863 MAY.14/22 INCLUSION JESSE SCOTT</t>
        </is>
      </c>
    </row>
    <row r="62" ht="13.7" customHeight="1">
      <c r="A62" t="inlineStr" s="8">
        <is>
          <t>60007919079398</t>
        </is>
      </c>
      <c r="B62" s="8"/>
      <c r="C62" t="inlineStr" s="8">
        <is>
          <t>105</t>
        </is>
      </c>
      <c r="D62" s="9">
        <v>55.20</v>
      </c>
      <c r="E62" t="inlineStr" s="8">
        <is>
          <t>73496606</t>
        </is>
      </c>
      <c r="F62" t="inlineStr" s="8">
        <is>
          <t>TANO ARYA</t>
        </is>
      </c>
      <c r="G62" t="inlineStr" s="8">
        <is>
          <t>*INCLUSION</t>
        </is>
      </c>
      <c r="H62" s="8"/>
      <c r="I62" s="9">
        <v>192172500.00</v>
      </c>
      <c r="J62" s="8"/>
      <c r="K62" s="8"/>
      <c r="L62" t="inlineStr" s="8">
        <is>
          <t>2022-07-11</t>
        </is>
      </c>
      <c r="M62" s="9"/>
      <c r="N62" s="9"/>
      <c r="O62" s="8"/>
      <c r="P62" s="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9"/>
      <c r="BF62" s="9"/>
      <c r="BG62" s="9"/>
      <c r="BH62" s="9"/>
      <c r="BI62" s="9">
        <f>SUM(M62,N62,Q62,R62,S62,T62,U62,V62,W62,X62,Y62,Z62,AA62,AB62,AC62,AD62,AE62,AF62,AG62,AH62,AI62,AJ62,AK62,AL62,AM62,AN62,AO62,AP62,AQ62,AR62,AS62,AT62,AU62,AV62,AW62,AX62,AY62,AZ62,BA62,BB62,BC62,BD62,BE62,BF62,BG62,BH62)</f>
      </c>
      <c r="BJ62" s="9">
        <f>I62-BI62</f>
      </c>
      <c r="BK62" s="9">
        <f>BJ62-BL62-BM62-BN62-BO62</f>
      </c>
      <c r="BL62" s="9"/>
      <c r="BM62" s="9"/>
      <c r="BN62" s="9"/>
      <c r="BO62" s="9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9"/>
      <c r="CA62" s="9"/>
      <c r="CB62" t="inlineStr" s="8">
        <is>
          <t>3166161111</t>
        </is>
      </c>
      <c r="CC62" t="inlineStr" s="8">
        <is>
          <t>tano.arya.73496606@example.com</t>
        </is>
      </c>
      <c r="CD62" t="inlineStr" s="8">
        <is>
          <t>BUNNY BUGS CEL: 3166161731</t>
        </is>
      </c>
      <c r="CE62" t="inlineStr" s="8">
        <is>
          <t>NC3675 JUL.11/22 INCLUSION SUMMER GRANGER</t>
        </is>
      </c>
    </row>
    <row r="63" ht="13.7" customHeight="1">
      <c r="A63" t="inlineStr" s="8">
        <is>
          <t>60007919083738</t>
        </is>
      </c>
      <c r="B63" s="8"/>
      <c r="C63" t="inlineStr" s="8">
        <is>
          <t>702</t>
        </is>
      </c>
      <c r="D63" s="9">
        <v>55.20</v>
      </c>
      <c r="E63" t="inlineStr" s="8">
        <is>
          <t>73836123</t>
        </is>
      </c>
      <c r="F63" t="inlineStr" s="8">
        <is>
          <t>GELLER CLEVELAND</t>
        </is>
      </c>
      <c r="G63" t="inlineStr" s="8">
        <is>
          <t>*TRASLADO</t>
        </is>
      </c>
      <c r="H63" t="inlineStr" s="8">
        <is>
          <t>BANCO DE BOGOTA</t>
        </is>
      </c>
      <c r="I63" s="9">
        <v>192172500.00</v>
      </c>
      <c r="J63" s="8"/>
      <c r="K63" s="8"/>
      <c r="L63" t="inlineStr" s="8">
        <is>
          <t>2022-08-12</t>
        </is>
      </c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/>
      <c r="BF63" s="9"/>
      <c r="BG63" s="9"/>
      <c r="BH63" s="9"/>
      <c r="BI63" s="9">
        <f>SUM(M63,N63,Q63,R63,S63,T63,U63,V63,W63,X63,Y63,Z63,AA63,AB63,AC63,AD63,AE63,AF63,AG63,AH63,AI63,AJ63,AK63,AL63,AM63,AN63,AO63,AP63,AQ63,AR63,AS63,AT63,AU63,AV63,AW63,AX63,AY63,AZ63,BA63,BB63,BC63,BD63,BE63,BF63,BG63,BH63)</f>
      </c>
      <c r="BJ63" s="9">
        <f>I63-BI63</f>
      </c>
      <c r="BK63" s="9">
        <f>BJ63-BL63-BM63-BN63-BO63</f>
      </c>
      <c r="BL63" s="9"/>
      <c r="BM63" s="9"/>
      <c r="BN63" s="9"/>
      <c r="BO63" s="9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t="inlineStr" s="8">
        <is>
          <t>3166213049</t>
        </is>
      </c>
      <c r="CC63" t="inlineStr" s="8">
        <is>
          <t>geller.cleveland.73836123@example.com</t>
        </is>
      </c>
      <c r="CD63" t="inlineStr" s="8">
        <is>
          <t>FLINTSTONE FRED CEL: 3166213451</t>
        </is>
      </c>
      <c r="CE63" t="inlineStr" s="8">
        <is>
          <t>NC4072 AGO.12/22 TRASLADO DE CLEVELAND GELLER A RACHEL MALFOY/AHSOKA TANO *ANTIC $12.000.000 *ARRAS $4'640</t>
        </is>
      </c>
    </row>
    <row r="64" ht="13.7" customHeight="1">
      <c r="A64" t="inlineStr" s="8">
        <is>
          <t>60007919079287</t>
        </is>
      </c>
      <c r="B64" t="inlineStr" s="8">
        <is>
          <t>60007919079360</t>
        </is>
      </c>
      <c r="C64" t="inlineStr" s="8">
        <is>
          <t>104</t>
        </is>
      </c>
      <c r="D64" s="9">
        <v>55.20</v>
      </c>
      <c r="E64" t="inlineStr" s="8">
        <is>
          <t>73491487</t>
        </is>
      </c>
      <c r="F64" t="inlineStr" s="8">
        <is>
          <t>ROGERS MICHAEL</t>
        </is>
      </c>
      <c r="G64" t="inlineStr" s="8">
        <is>
          <t>*CESION/ARRAS</t>
        </is>
      </c>
      <c r="H64" s="8"/>
      <c r="I64" s="9">
        <v>192172500.00</v>
      </c>
      <c r="J64" s="8"/>
      <c r="K64" s="8"/>
      <c r="L64" t="inlineStr" s="8">
        <is>
          <t>2023-02-21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/>
      <c r="BF64" s="9"/>
      <c r="BG64" s="9"/>
      <c r="BH64" s="9"/>
      <c r="BI64" s="9">
        <f>SUM(M64,N64,Q64,R64,S64,T64,U64,V64,W64,X64,Y64,Z64,AA64,AB64,AC64,AD64,AE64,AF64,AG64,AH64,AI64,AJ64,AK64,AL64,AM64,AN64,AO64,AP64,AQ64,AR64,AS64,AT64,AU64,AV64,AW64,AX64,AY64,AZ64,BA64,BB64,BC64,BD64,BE64,BF64,BG64,BH64)</f>
      </c>
      <c r="BJ64" s="9">
        <f>I64-BI64</f>
      </c>
      <c r="BK64" s="9">
        <f>BJ64-BL64-BM64-BN64-BO64</f>
      </c>
      <c r="BL64" s="9"/>
      <c r="BM64" s="9"/>
      <c r="BN64" s="9"/>
      <c r="BO64" s="9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t="inlineStr" s="8">
        <is>
          <t>3166160389</t>
        </is>
      </c>
      <c r="CC64" t="inlineStr" s="8">
        <is>
          <t>rogers.michael.73491487@example.com</t>
        </is>
      </c>
      <c r="CD64" t="inlineStr" s="8">
        <is>
          <t>MOUSE MICKEY CEL: 3166160503</t>
        </is>
      </c>
      <c r="CE64" t="inlineStr" s="8">
        <is>
          <t>NC3669 FEB.21/23 CESION DE MICHAEL ROGERS A SAUL LOVEGOOD *ANTIC $12.000.000 *ARRAS $4'640</t>
        </is>
      </c>
    </row>
    <row r="65" ht="13.7" customHeight="1">
      <c r="A65" t="inlineStr" s="8">
        <is>
          <t>60007919079360</t>
        </is>
      </c>
      <c r="B65" s="8"/>
      <c r="C65" t="inlineStr" s="8">
        <is>
          <t>104</t>
        </is>
      </c>
      <c r="D65" s="9">
        <v>55.20</v>
      </c>
      <c r="E65" t="inlineStr" s="8">
        <is>
          <t>73494359</t>
        </is>
      </c>
      <c r="F65" t="inlineStr" s="8">
        <is>
          <t>LOVEGOOD SAUL</t>
        </is>
      </c>
      <c r="G65" t="inlineStr" s="8">
        <is>
          <t>*CESION/ARRAS</t>
        </is>
      </c>
      <c r="H65" s="8"/>
      <c r="I65" s="9">
        <v>192172500.00</v>
      </c>
      <c r="J65" t="inlineStr" s="8">
        <is>
          <t>NCR3673 - NCR3671 - NCR3670 - NC3669CESION</t>
        </is>
      </c>
      <c r="K65" t="inlineStr" s="8">
        <is>
          <t>NCR3672</t>
        </is>
      </c>
      <c r="L65" t="inlineStr" s="8">
        <is>
          <t>2023-02-21</t>
        </is>
      </c>
      <c r="M65" s="9">
        <f>17343500+89193000+40963000</f>
      </c>
      <c r="N65" s="9">
        <v>12000000</v>
      </c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>
        <v>17673000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/>
      <c r="BF65" s="9"/>
      <c r="BG65" s="9"/>
      <c r="BH65" s="9"/>
      <c r="BI65" s="9">
        <f>SUM(M65,N65,Q65,R65,S65,T65,U65,V65,W65,X65,Y65,Z65,AA65,AB65,AC65,AD65,AE65,AF65,AG65,AH65,AI65,AJ65,AK65,AL65,AM65,AN65,AO65,AP65,AQ65,AR65,AS65,AT65,AU65,AV65,AW65,AX65,AY65,AZ65,BA65,BB65,BC65,BD65,BE65,BF65,BG65,BH65)</f>
      </c>
      <c r="BJ65" s="9">
        <f>I65-BI65</f>
      </c>
      <c r="BK65" s="9">
        <f>BJ65-BL65-BM65-BN65-BO65</f>
      </c>
      <c r="BL65" s="9"/>
      <c r="BM65" s="9"/>
      <c r="BN65" s="9"/>
      <c r="BO65" s="9"/>
      <c r="BP65" s="8"/>
      <c r="BQ65" t="inlineStr" s="8">
        <is>
          <t>2022-11-11</t>
        </is>
      </c>
      <c r="BR65" t="inlineStr" s="8">
        <is>
          <t>2022-11-29</t>
        </is>
      </c>
      <c r="BS65" t="inlineStr" s="8">
        <is>
          <t>2024-01-22</t>
        </is>
      </c>
      <c r="BT65" s="8"/>
      <c r="BU65" s="8"/>
      <c r="BV65" s="8"/>
      <c r="BW65" s="8"/>
      <c r="BX65" s="8"/>
      <c r="BY65" s="8"/>
      <c r="BZ65" s="9"/>
      <c r="CA65" s="9"/>
      <c r="CB65" t="inlineStr" s="8">
        <is>
          <t>3166160474</t>
        </is>
      </c>
      <c r="CC65" t="inlineStr" s="8">
        <is>
          <t>lovegood.saul.73494359@example.com</t>
        </is>
      </c>
      <c r="CD65" t="inlineStr" s="8">
        <is>
          <t>MOUSE MICKEY CEL: 3166160503</t>
        </is>
      </c>
      <c r="CE65" t="inlineStr" s="8">
        <is>
          <t>NC3669 FEB.21/23 CESION DE MICHAEL ROGERS A SAUL LOVEGOOD *ANTIC $12.000.000 *ARRAS $4'640</t>
        </is>
      </c>
    </row>
    <row r="66" ht="13.7" customHeight="1">
      <c r="A66" t="inlineStr" s="8">
        <is>
          <t>60007919081942</t>
        </is>
      </c>
      <c r="B66" s="8"/>
      <c r="C66" t="inlineStr" s="8">
        <is>
          <t>406</t>
        </is>
      </c>
      <c r="D66" s="9">
        <v>55.20</v>
      </c>
      <c r="E66" t="inlineStr" s="8">
        <is>
          <t>73684318</t>
        </is>
      </c>
      <c r="F66" t="inlineStr" s="8">
        <is>
          <t>BEESLY JESSE</t>
        </is>
      </c>
      <c r="G66" t="inlineStr" s="8">
        <is>
          <t>*EXCLUSION</t>
        </is>
      </c>
      <c r="H66" t="inlineStr" s="8">
        <is>
          <t>BBVA</t>
        </is>
      </c>
      <c r="I66" s="9">
        <v>192172500.00</v>
      </c>
      <c r="J66" t="inlineStr" s="8">
        <is>
          <t>NCR3886 - NCR3890 - NCR3896CR</t>
        </is>
      </c>
      <c r="K66" t="inlineStr" s="8">
        <is>
          <t>NCR3887 - NCR3888 - NCR3889 - NCR3894 - NCR3895 - NCR3893 - NCR3891 - NCR3892</t>
        </is>
      </c>
      <c r="L66" t="inlineStr" s="8">
        <is>
          <t>2023-02-21</t>
        </is>
      </c>
      <c r="M66" s="9">
        <f>4174000+4017000</f>
      </c>
      <c r="N66" s="9"/>
      <c r="O66" t="inlineStr" s="8">
        <is>
          <t>DIC.25/23</t>
        </is>
      </c>
      <c r="P66" s="8"/>
      <c r="Q66" s="10"/>
      <c r="R66" s="10"/>
      <c r="S66" s="10"/>
      <c r="T66" s="10"/>
      <c r="U66" s="10"/>
      <c r="V66" s="10"/>
      <c r="W66" s="10">
        <v>2243000</v>
      </c>
      <c r="X66" s="10"/>
      <c r="Y66" s="10">
        <v>2296000</v>
      </c>
      <c r="Z66" s="10">
        <v>2035000</v>
      </c>
      <c r="AA66" s="10"/>
      <c r="AB66" s="10"/>
      <c r="AC66" s="10">
        <f>5843000+12208500</f>
      </c>
      <c r="AD66" s="10"/>
      <c r="AE66" s="10">
        <v>2139000</v>
      </c>
      <c r="AF66" s="10"/>
      <c r="AG66" s="10"/>
      <c r="AH66" s="10"/>
      <c r="AI66" s="10"/>
      <c r="AJ66" s="10">
        <v>13982000</v>
      </c>
      <c r="AK66" s="10"/>
      <c r="AL66" s="10"/>
      <c r="AM66" s="10">
        <v>3235000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>
        <v>110000000</v>
      </c>
      <c r="BF66" s="9"/>
      <c r="BG66" s="9"/>
      <c r="BH66" s="9"/>
      <c r="BI66" s="9">
        <f>SUM(M66,N66,Q66,R66,S66,T66,U66,V66,W66,X66,Y66,Z66,AA66,AB66,AC66,AD66,AE66,AF66,AG66,AH66,AI66,AJ66,AK66,AL66,AM66,AN66,AO66,AP66,AQ66,AR66,AS66,AT66,AU66,AV66,AW66,AX66,AY66,AZ66,BA66,BB66,BC66,BD66,BE66,BF66,BG66,BH66)</f>
      </c>
      <c r="BJ66" s="9">
        <f>I66-BI66</f>
      </c>
      <c r="BK66" s="9">
        <f>BJ66-BL66-BM66-BN66-BO66</f>
      </c>
      <c r="BL66" s="9"/>
      <c r="BM66" s="9"/>
      <c r="BN66" s="9"/>
      <c r="BO66" s="9"/>
      <c r="BP66" s="8"/>
      <c r="BQ66" t="inlineStr" s="8">
        <is>
          <t>2022-10-27</t>
        </is>
      </c>
      <c r="BR66" t="inlineStr" s="8">
        <is>
          <t>2023-01-08</t>
        </is>
      </c>
      <c r="BS66" t="inlineStr" s="8">
        <is>
          <t>2024-01-16</t>
        </is>
      </c>
      <c r="BT66" s="8"/>
      <c r="BU66" s="8"/>
      <c r="BV66" s="8"/>
      <c r="BW66" s="8"/>
      <c r="BX66" s="8"/>
      <c r="BY66" s="8"/>
      <c r="BZ66" s="9"/>
      <c r="CA66" s="9"/>
      <c r="CB66" t="inlineStr" s="8">
        <is>
          <t>3166189114</t>
        </is>
      </c>
      <c r="CC66" t="inlineStr" s="8">
        <is>
          <t>beesly.jesse.73684318@example.com</t>
        </is>
      </c>
      <c r="CD66" t="inlineStr" s="8">
        <is>
          <t>MOUSE MINNIE CEL: 3166190140</t>
        </is>
      </c>
      <c r="CE66" t="inlineStr" s="8">
        <is>
          <t>NC3885 FEB.21/23 EXCLUSION DE WILL SOLO</t>
        </is>
      </c>
    </row>
    <row r="67" ht="13.7" customHeight="1">
      <c r="A67" t="inlineStr" s="8">
        <is>
          <t>60007919080071</t>
        </is>
      </c>
      <c r="B67" s="8"/>
      <c r="C67" t="inlineStr" s="8">
        <is>
          <t>203</t>
        </is>
      </c>
      <c r="D67" s="9">
        <v>55.20</v>
      </c>
      <c r="E67" t="inlineStr" s="8">
        <is>
          <t>73560112</t>
        </is>
      </c>
      <c r="F67" t="inlineStr" s="8">
        <is>
          <t>ROGERS CLARK</t>
        </is>
      </c>
      <c r="G67" t="inlineStr" s="8">
        <is>
          <t>*INCLUSION</t>
        </is>
      </c>
      <c r="H67" t="inlineStr" s="8">
        <is>
          <t>BANCO DE OCCIDENTE</t>
        </is>
      </c>
      <c r="I67" s="9">
        <v>192172500.00</v>
      </c>
      <c r="J67" s="8"/>
      <c r="K67" s="8"/>
      <c r="L67" t="inlineStr" s="8">
        <is>
          <t>2023-03-01</t>
        </is>
      </c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/>
      <c r="BF67" s="9"/>
      <c r="BG67" s="9"/>
      <c r="BH67" s="9"/>
      <c r="BI67" s="9">
        <f>SUM(M67,N67,Q67,R67,S67,T67,U67,V67,W67,X67,Y67,Z67,AA67,AB67,AC67,AD67,AE67,AF67,AG67,AH67,AI67,AJ67,AK67,AL67,AM67,AN67,AO67,AP67,AQ67,AR67,AS67,AT67,AU67,AV67,AW67,AX67,AY67,AZ67,BA67,BB67,BC67,BD67,BE67,BF67,BG67,BH67)</f>
      </c>
      <c r="BJ67" s="9">
        <f>I67-BI67</f>
      </c>
      <c r="BK67" s="9">
        <f>BJ67-BL67-BM67-BN67-BO67</f>
      </c>
      <c r="BL67" s="9"/>
      <c r="BM67" s="9"/>
      <c r="BN67" s="9"/>
      <c r="BO67" s="9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9"/>
      <c r="CA67" s="9"/>
      <c r="CB67" t="inlineStr" s="8">
        <is>
          <t>3166169048</t>
        </is>
      </c>
      <c r="CC67" t="inlineStr" s="8">
        <is>
          <t>rogers.clark.73560112@example.com</t>
        </is>
      </c>
      <c r="CD67" t="inlineStr" s="8">
        <is>
          <t>MOUSE MICKEY CEL: 3166169239</t>
        </is>
      </c>
      <c r="CE67" t="inlineStr" s="8">
        <is>
          <t>NC3729 MAR.1/23 INCLUSION JON KENOBI</t>
        </is>
      </c>
    </row>
    <row r="68" ht="13.7" customHeight="1">
      <c r="A68" t="inlineStr" s="8">
        <is>
          <t>60007919082083</t>
        </is>
      </c>
      <c r="B68" s="8"/>
      <c r="C68" t="inlineStr" s="8">
        <is>
          <t>407</t>
        </is>
      </c>
      <c r="D68" s="9">
        <v>55.20</v>
      </c>
      <c r="E68" t="inlineStr" s="8">
        <is>
          <t>73686973</t>
        </is>
      </c>
      <c r="F68" t="inlineStr" s="8">
        <is>
          <t>COOPER MAX</t>
        </is>
      </c>
      <c r="G68" t="inlineStr" s="8">
        <is>
          <t>*INCLUSION</t>
        </is>
      </c>
      <c r="H68" t="inlineStr" s="8">
        <is>
          <t>BANCO DE OCCIDENTE</t>
        </is>
      </c>
      <c r="I68" s="9">
        <v>192172500.00</v>
      </c>
      <c r="J68" s="8"/>
      <c r="K68" s="8"/>
      <c r="L68" t="inlineStr" s="8">
        <is>
          <t>2023-04-07</t>
        </is>
      </c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/>
      <c r="BF68" s="9"/>
      <c r="BG68" s="9"/>
      <c r="BH68" s="9"/>
      <c r="BI68" s="9">
        <f>SUM(M68,N68,Q68,R68,S68,T68,U68,V68,W68,X68,Y68,Z68,AA68,AB68,AC68,AD68,AE68,AF68,AG68,AH68,AI68,AJ68,AK68,AL68,AM68,AN68,AO68,AP68,AQ68,AR68,AS68,AT68,AU68,AV68,AW68,AX68,AY68,AZ68,BA68,BB68,BC68,BD68,BE68,BF68,BG68,BH68)</f>
      </c>
      <c r="BJ68" s="9">
        <f>I68-BI68</f>
      </c>
      <c r="BK68" s="9">
        <f>BJ68-BL68-BM68-BN68-BO68</f>
      </c>
      <c r="BL68" s="9"/>
      <c r="BM68" s="9"/>
      <c r="BN68" s="9"/>
      <c r="BO68" s="9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9"/>
      <c r="CA68" s="9"/>
      <c r="CB68" t="inlineStr" s="8">
        <is>
          <t>3166190798</t>
        </is>
      </c>
      <c r="CC68" t="inlineStr" s="8">
        <is>
          <t>cooper.max.73686973@example.com</t>
        </is>
      </c>
      <c r="CD68" t="inlineStr" s="8">
        <is>
          <t>BUNNY BUGS CEL: 3166191303</t>
        </is>
      </c>
      <c r="CE68" t="inlineStr" s="8">
        <is>
          <t>NC3898 ABR.7/23 INCLUSION AMY DECKER</t>
        </is>
      </c>
    </row>
    <row r="69" ht="13.7" customHeight="1">
      <c r="A69" t="inlineStr" s="8">
        <is>
          <t>60007919082146</t>
        </is>
      </c>
      <c r="B69" t="inlineStr" s="8">
        <is>
          <t>60007919082231</t>
        </is>
      </c>
      <c r="C69" t="inlineStr" s="8">
        <is>
          <t>501</t>
        </is>
      </c>
      <c r="D69" s="9">
        <v>55.20</v>
      </c>
      <c r="E69" t="inlineStr" s="8">
        <is>
          <t>73698022</t>
        </is>
      </c>
      <c r="F69" t="inlineStr" s="8">
        <is>
          <t>DECKER HERMIONE</t>
        </is>
      </c>
      <c r="G69" t="inlineStr" s="8">
        <is>
          <t>*CESION/ARRAS</t>
        </is>
      </c>
      <c r="H69" t="inlineStr" s="8">
        <is>
          <t>BANCO DE OCCIDENTE</t>
        </is>
      </c>
      <c r="I69" s="9">
        <v>192172500.00</v>
      </c>
      <c r="J69" s="8"/>
      <c r="K69" s="8"/>
      <c r="L69" t="inlineStr" s="8">
        <is>
          <t>2023-06-06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/>
      <c r="BF69" s="9"/>
      <c r="BG69" s="9"/>
      <c r="BH69" s="9"/>
      <c r="BI69" s="9">
        <f>SUM(M69,N69,Q69,R69,S69,T69,U69,V69,W69,X69,Y69,Z69,AA69,AB69,AC69,AD69,AE69,AF69,AG69,AH69,AI69,AJ69,AK69,AL69,AM69,AN69,AO69,AP69,AQ69,AR69,AS69,AT69,AU69,AV69,AW69,AX69,AY69,AZ69,BA69,BB69,BC69,BD69,BE69,BF69,BG69,BH69)</f>
      </c>
      <c r="BJ69" s="9">
        <f>I69-BI69</f>
      </c>
      <c r="BK69" s="9">
        <f>BJ69-BL69-BM69-BN69-BO69</f>
      </c>
      <c r="BL69" s="9"/>
      <c r="BM69" s="9"/>
      <c r="BN69" s="9"/>
      <c r="BO69" s="9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9"/>
      <c r="CA69" s="9"/>
      <c r="CB69" t="inlineStr" s="8">
        <is>
          <t>3166191906</t>
        </is>
      </c>
      <c r="CC69" t="inlineStr" s="8">
        <is>
          <t>decker.hermione.73698022@example.com</t>
        </is>
      </c>
      <c r="CD69" t="inlineStr" s="8">
        <is>
          <t>MOUSE MINNIE CEL: 3166193787</t>
        </is>
      </c>
      <c r="CE69" t="inlineStr" s="8">
        <is>
          <t>NC3910 JUN.6/23 CESION DE HERMIONE DECKER/RACHEL SKYWALKER A TONY PARKER *ANTIC $25.000.000 *ARRAS $4'640</t>
        </is>
      </c>
    </row>
    <row r="70" ht="13.7" customHeight="1">
      <c r="A70" t="inlineStr" s="8">
        <is>
          <t>60007919082231</t>
        </is>
      </c>
      <c r="B70" s="8"/>
      <c r="C70" t="inlineStr" s="8">
        <is>
          <t>501</t>
        </is>
      </c>
      <c r="D70" s="9">
        <v>55.20</v>
      </c>
      <c r="E70" t="inlineStr" s="8">
        <is>
          <t>73705911</t>
        </is>
      </c>
      <c r="F70" t="inlineStr" s="8">
        <is>
          <t>PARKER TONY</t>
        </is>
      </c>
      <c r="G70" t="inlineStr" s="8">
        <is>
          <t>*CESION/ARRAS</t>
        </is>
      </c>
      <c r="H70" t="inlineStr" s="8">
        <is>
          <t>BANCO DE OCCIDENTE</t>
        </is>
      </c>
      <c r="I70" s="9">
        <v>192172500.00</v>
      </c>
      <c r="J70" t="inlineStr" s="8">
        <is>
          <t>NCR3911 - NC3910CESION - NCR3917CR</t>
        </is>
      </c>
      <c r="K70" t="inlineStr" s="8">
        <is>
          <t>NCR3914 - NCR3913 - NCR3912 - NCR3916 - NCR3915</t>
        </is>
      </c>
      <c r="L70" t="inlineStr" s="8">
        <is>
          <t>2023-06-06</t>
        </is>
      </c>
      <c r="M70" s="9">
        <v>380319</v>
      </c>
      <c r="N70" s="9">
        <v>25000000</v>
      </c>
      <c r="O70" t="inlineStr" s="8">
        <is>
          <t>FEB.22/23</t>
        </is>
      </c>
      <c r="P70" s="8"/>
      <c r="Q70" s="10"/>
      <c r="R70" s="10"/>
      <c r="S70" s="10"/>
      <c r="T70" s="10">
        <v>7127000</v>
      </c>
      <c r="U70" s="10"/>
      <c r="V70" s="10">
        <v>1981500</v>
      </c>
      <c r="W70" s="10"/>
      <c r="X70" s="10"/>
      <c r="Y70" s="10"/>
      <c r="Z70" s="10"/>
      <c r="AA70" s="10">
        <v>5061000</v>
      </c>
      <c r="AB70" s="10">
        <v>3289000</v>
      </c>
      <c r="AC70" s="10">
        <v>24334000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>
        <v>125000000</v>
      </c>
      <c r="BF70" s="9"/>
      <c r="BG70" s="9"/>
      <c r="BH70" s="9"/>
      <c r="BI70" s="9">
        <f>SUM(M70,N70,Q70,R70,S70,T70,U70,V70,W70,X70,Y70,Z70,AA70,AB70,AC70,AD70,AE70,AF70,AG70,AH70,AI70,AJ70,AK70,AL70,AM70,AN70,AO70,AP70,AQ70,AR70,AS70,AT70,AU70,AV70,AW70,AX70,AY70,AZ70,BA70,BB70,BC70,BD70,BE70,BF70,BG70,BH70)</f>
      </c>
      <c r="BJ70" s="9">
        <f>I70-BI70</f>
      </c>
      <c r="BK70" s="9">
        <f>BJ70-BL70-BM70-BN70-BO70</f>
      </c>
      <c r="BL70" s="9"/>
      <c r="BM70" s="9"/>
      <c r="BN70" s="9"/>
      <c r="BO70" s="9"/>
      <c r="BP70" s="8"/>
      <c r="BQ70" t="inlineStr" s="8">
        <is>
          <t>2022-06-14</t>
        </is>
      </c>
      <c r="BR70" t="inlineStr" s="8">
        <is>
          <t>2022-09-18</t>
        </is>
      </c>
      <c r="BS70" t="inlineStr" s="8">
        <is>
          <t>2023-11-25</t>
        </is>
      </c>
      <c r="BT70" s="8"/>
      <c r="BU70" s="8"/>
      <c r="BV70" s="8"/>
      <c r="BW70" s="8"/>
      <c r="BX70" s="8"/>
      <c r="BY70" s="8"/>
      <c r="BZ70" s="9"/>
      <c r="CA70" s="9"/>
      <c r="CB70" t="inlineStr" s="8">
        <is>
          <t>3166193067</t>
        </is>
      </c>
      <c r="CC70" t="inlineStr" s="8">
        <is>
          <t>parker.tony.73705911@example.com</t>
        </is>
      </c>
      <c r="CD70" t="inlineStr" s="8">
        <is>
          <t>MOUSE MINNIE CEL: 3166193787</t>
        </is>
      </c>
      <c r="CE70" t="inlineStr" s="8">
        <is>
          <t>NC3910 JUN.6/23 CESION DE HERMIONE DECKER/RACHEL SKYWALKER A TONY PARKER *ANTIC $25.000.000 *ARRAS $4'640</t>
        </is>
      </c>
    </row>
    <row r="71" ht="13.7" customHeight="1">
      <c r="A71" t="inlineStr" s="8">
        <is>
          <t>60007919080279</t>
        </is>
      </c>
      <c r="B71" s="8"/>
      <c r="C71" t="inlineStr" s="8">
        <is>
          <t>205</t>
        </is>
      </c>
      <c r="D71" s="9">
        <v>55.20</v>
      </c>
      <c r="E71" t="inlineStr" s="8">
        <is>
          <t>73571458</t>
        </is>
      </c>
      <c r="F71" t="inlineStr" s="8">
        <is>
          <t>GRANGER SPONGEBOB</t>
        </is>
      </c>
      <c r="G71" t="inlineStr" s="8">
        <is>
          <t>*CESION/ARRAS</t>
        </is>
      </c>
      <c r="H71" t="inlineStr" s="8">
        <is>
          <t>BANCOLOMBIA</t>
        </is>
      </c>
      <c r="I71" s="9">
        <v>192172500.00</v>
      </c>
      <c r="J71" s="8"/>
      <c r="K71" s="8"/>
      <c r="L71" t="inlineStr" s="8">
        <is>
          <t>2023-07-27</t>
        </is>
      </c>
      <c r="M71" s="9"/>
      <c r="N71" s="9"/>
      <c r="O71" s="8"/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/>
      <c r="BF71" s="9"/>
      <c r="BG71" s="9"/>
      <c r="BH71" s="9"/>
      <c r="BI71" s="9">
        <f>SUM(M71,N71,Q71,R71,S71,T71,U71,V71,W71,X71,Y71,Z71,AA71,AB71,AC71,AD71,AE71,AF71,AG71,AH71,AI71,AJ71,AK71,AL71,AM71,AN71,AO71,AP71,AQ71,AR71,AS71,AT71,AU71,AV71,AW71,AX71,AY71,AZ71,BA71,BB71,BC71,BD71,BE71,BF71,BG71,BH71)</f>
      </c>
      <c r="BJ71" s="9">
        <f>I71-BI71</f>
      </c>
      <c r="BK71" s="9">
        <f>BJ71-BL71-BM71-BN71-BO71</f>
      </c>
      <c r="BL71" s="9"/>
      <c r="BM71" s="9"/>
      <c r="BN71" s="9"/>
      <c r="BO71" s="9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9"/>
      <c r="CA71" s="9"/>
      <c r="CB71" t="inlineStr" s="8">
        <is>
          <t>3166170549</t>
        </is>
      </c>
      <c r="CC71" t="inlineStr" s="8">
        <is>
          <t>granger.spongebob.73571458@example.com</t>
        </is>
      </c>
      <c r="CD71" t="inlineStr" s="8">
        <is>
          <t>MOUSE MICKEY CEL: 3166172454</t>
        </is>
      </c>
      <c r="CE71" t="inlineStr" s="8">
        <is>
          <t>NC3754 JUL.27/23 CESION DE SPONGEBOB GRANGER A MIKE TANO/SANDY KENT *ANTIC $12.000.000 *ARRAS $4'640</t>
        </is>
      </c>
    </row>
    <row r="72" ht="13.7" customHeight="1">
      <c r="A72" t="inlineStr" s="8">
        <is>
          <t>60007919080684</t>
        </is>
      </c>
      <c r="B72" s="8"/>
      <c r="C72" t="inlineStr" s="8">
        <is>
          <t>302</t>
        </is>
      </c>
      <c r="D72" s="9">
        <v>55.20</v>
      </c>
      <c r="E72" t="inlineStr" s="8">
        <is>
          <t>73604607</t>
        </is>
      </c>
      <c r="F72" t="inlineStr" s="8">
        <is>
          <t>ORGANA DIANA</t>
        </is>
      </c>
      <c r="G72" t="inlineStr" s="8">
        <is>
          <t>*INCLUSION</t>
        </is>
      </c>
      <c r="H72" t="inlineStr" s="8">
        <is>
          <t>BANCO CAJA SOCIAL</t>
        </is>
      </c>
      <c r="I72" s="9">
        <v>192172500.00</v>
      </c>
      <c r="J72" t="inlineStr" s="8">
        <is>
          <t>NCR3791 - NCR3789 - NCR3793 - NCR3794CR</t>
        </is>
      </c>
      <c r="K72" t="inlineStr" s="8">
        <is>
          <t>NCR3790 - NCR3787 - NCR3784 - NCR3785 - NCR3786 - NCR3792 - NCR3788</t>
        </is>
      </c>
      <c r="L72" t="inlineStr" s="8">
        <is>
          <t>2023-10-23</t>
        </is>
      </c>
      <c r="M72" s="9">
        <f>9590000+3081000+4302000</f>
      </c>
      <c r="N72" s="9"/>
      <c r="O72" t="inlineStr" s="8">
        <is>
          <t>OCT.7/23</t>
        </is>
      </c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>
        <v>7672000</v>
      </c>
      <c r="AK72" s="10"/>
      <c r="AL72" s="10"/>
      <c r="AM72" s="10"/>
      <c r="AN72" s="10">
        <v>232000</v>
      </c>
      <c r="AO72" s="10"/>
      <c r="AP72" s="10"/>
      <c r="AQ72" s="10"/>
      <c r="AR72" s="10">
        <f>407000+3313000+10985000+9939000</f>
      </c>
      <c r="AS72" s="10">
        <v>8602000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>
        <v>80000000</v>
      </c>
      <c r="BF72" s="9"/>
      <c r="BG72" s="9"/>
      <c r="BH72" s="9"/>
      <c r="BI72" s="9">
        <f>SUM(M72,N72,Q72,R72,S72,T72,U72,V72,W72,X72,Y72,Z72,AA72,AB72,AC72,AD72,AE72,AF72,AG72,AH72,AI72,AJ72,AK72,AL72,AM72,AN72,AO72,AP72,AQ72,AR72,AS72,AT72,AU72,AV72,AW72,AX72,AY72,AZ72,BA72,BB72,BC72,BD72,BE72,BF72,BG72,BH72)</f>
      </c>
      <c r="BJ72" s="9">
        <f>I72-BI72</f>
      </c>
      <c r="BK72" s="9">
        <f>BJ72-BL72-BM72-BN72-BO72</f>
      </c>
      <c r="BL72" s="9"/>
      <c r="BM72" s="9"/>
      <c r="BN72" s="9"/>
      <c r="BO72" s="9"/>
      <c r="BP72" s="8"/>
      <c r="BQ72" t="inlineStr" s="8">
        <is>
          <t>2023-08-20</t>
        </is>
      </c>
      <c r="BR72" t="inlineStr" s="8">
        <is>
          <t>2023-09-16</t>
        </is>
      </c>
      <c r="BS72" s="8"/>
      <c r="BT72" s="8"/>
      <c r="BU72" s="8"/>
      <c r="BV72" s="8"/>
      <c r="BW72" s="8"/>
      <c r="BX72" s="8"/>
      <c r="BY72" s="8"/>
      <c r="BZ72" s="9"/>
      <c r="CA72" s="9"/>
      <c r="CB72" t="inlineStr" s="8">
        <is>
          <t>3166175521</t>
        </is>
      </c>
      <c r="CC72" t="inlineStr" s="8">
        <is>
          <t>organa.diana.73604607@example.com</t>
        </is>
      </c>
      <c r="CD72" t="inlineStr" s="8">
        <is>
          <t>BUNNY BUGS CEL: 3166176692</t>
        </is>
      </c>
      <c r="CE72" t="inlineStr" s="8">
        <is>
          <t>NC3783 OCT.23/23 INCLUSION SAMWISE TARGARYEN</t>
        </is>
      </c>
    </row>
    <row r="73" ht="13.7" customHeight="1">
      <c r="A73" t="inlineStr" s="8">
        <is>
          <t>60007919079767</t>
        </is>
      </c>
      <c r="B73" t="inlineStr" s="8">
        <is>
          <t>60007919079790</t>
        </is>
      </c>
      <c r="C73" t="inlineStr" s="8">
        <is>
          <t>107</t>
        </is>
      </c>
      <c r="D73" s="9">
        <v>55.20</v>
      </c>
      <c r="E73" t="inlineStr" s="8">
        <is>
          <t>73536205</t>
        </is>
      </c>
      <c r="F73" t="inlineStr" s="8">
        <is>
          <t>BENDER MAGGIE</t>
        </is>
      </c>
      <c r="G73" t="inlineStr" s="8">
        <is>
          <t>*CESION/ARRAS</t>
        </is>
      </c>
      <c r="H73" t="inlineStr" s="8">
        <is>
          <t>BANCO DE OCCIDENTE</t>
        </is>
      </c>
      <c r="I73" s="9">
        <v>192172500.00</v>
      </c>
      <c r="J73" s="8"/>
      <c r="K73" s="8"/>
      <c r="L73" t="inlineStr" s="8">
        <is>
          <t>2023-12-30</t>
        </is>
      </c>
      <c r="M73" s="9"/>
      <c r="N73" s="9"/>
      <c r="O73" s="8"/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9"/>
      <c r="BF73" s="9"/>
      <c r="BG73" s="9"/>
      <c r="BH73" s="9"/>
      <c r="BI73" s="9">
        <f>SUM(M73,N73,Q73,R73,S73,T73,U73,V73,W73,X73,Y73,Z73,AA73,AB73,AC73,AD73,AE73,AF73,AG73,AH73,AI73,AJ73,AK73,AL73,AM73,AN73,AO73,AP73,AQ73,AR73,AS73,AT73,AU73,AV73,AW73,AX73,AY73,AZ73,BA73,BB73,BC73,BD73,BE73,BF73,BG73,BH73)</f>
      </c>
      <c r="BJ73" s="9">
        <f>I73-BI73</f>
      </c>
      <c r="BK73" s="9">
        <f>BJ73-BL73-BM73-BN73-BO73</f>
      </c>
      <c r="BL73" s="9"/>
      <c r="BM73" s="9"/>
      <c r="BN73" s="9"/>
      <c r="BO73" s="9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9"/>
      <c r="CA73" s="9"/>
      <c r="CB73" t="inlineStr" s="8">
        <is>
          <t>3166163980</t>
        </is>
      </c>
      <c r="CC73" t="inlineStr" s="8">
        <is>
          <t>bender.maggie.73536205@example.com</t>
        </is>
      </c>
      <c r="CD73" t="inlineStr" s="8">
        <is>
          <t>PANTHER PINK CEL: 3166164981</t>
        </is>
      </c>
      <c r="CE73" t="inlineStr" s="8">
        <is>
          <t>NC3698 DIC.30/23 CESION DE MAGGIE BENDER A CLARK EHRMANTRAUT *ANTIC $15.000.000 *ARRAS $4'640</t>
        </is>
      </c>
    </row>
    <row r="74" ht="13.7" customHeight="1">
      <c r="A74" t="inlineStr" s="8">
        <is>
          <t>60007919079790</t>
        </is>
      </c>
      <c r="B74" s="8"/>
      <c r="C74" t="inlineStr" s="8">
        <is>
          <t>107</t>
        </is>
      </c>
      <c r="D74" s="9">
        <v>55.20</v>
      </c>
      <c r="E74" t="inlineStr" s="8">
        <is>
          <t>73542017</t>
        </is>
      </c>
      <c r="F74" t="inlineStr" s="8">
        <is>
          <t>EHRMANTRAUT CLARK</t>
        </is>
      </c>
      <c r="G74" t="inlineStr" s="8">
        <is>
          <t>*CESION/ARRAS</t>
        </is>
      </c>
      <c r="H74" t="inlineStr" s="8">
        <is>
          <t>BANCO DE OCCIDENTE</t>
        </is>
      </c>
      <c r="I74" s="9">
        <v>192172500.00</v>
      </c>
      <c r="J74" t="inlineStr" s="8">
        <is>
          <t>NC3698CESION - NCR3704CR</t>
        </is>
      </c>
      <c r="K74" t="inlineStr" s="8">
        <is>
          <t>NCR3702 - NCR3701 - NCR3699 - NCR3703 - NCR3700</t>
        </is>
      </c>
      <c r="L74" t="inlineStr" s="8">
        <is>
          <t>2023-12-30</t>
        </is>
      </c>
      <c r="M74" s="9"/>
      <c r="N74" s="9">
        <v>15000000</v>
      </c>
      <c r="O74" t="inlineStr" s="8">
        <is>
          <t>MAR.17/24</t>
        </is>
      </c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>
        <f>11915000+51193000+5259000+5999500+7806000</f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>
        <v>65000000</v>
      </c>
      <c r="BF74" s="9"/>
      <c r="BG74" s="9"/>
      <c r="BH74" s="9"/>
      <c r="BI74" s="9">
        <f>SUM(M74,N74,Q74,R74,S74,T74,U74,V74,W74,X74,Y74,Z74,AA74,AB74,AC74,AD74,AE74,AF74,AG74,AH74,AI74,AJ74,AK74,AL74,AM74,AN74,AO74,AP74,AQ74,AR74,AS74,AT74,AU74,AV74,AW74,AX74,AY74,AZ74,BA74,BB74,BC74,BD74,BE74,BF74,BG74,BH74)</f>
      </c>
      <c r="BJ74" s="9">
        <f>I74-BI74</f>
      </c>
      <c r="BK74" s="9">
        <f>BJ74-BL74-BM74-BN74-BO74</f>
      </c>
      <c r="BL74" s="9"/>
      <c r="BM74" s="9"/>
      <c r="BN74" s="9"/>
      <c r="BO74" s="9"/>
      <c r="BP74" s="8"/>
      <c r="BQ74" t="inlineStr" s="8">
        <is>
          <t>2023-04-16</t>
        </is>
      </c>
      <c r="BR74" t="inlineStr" s="8">
        <is>
          <t>2023-05-15</t>
        </is>
      </c>
      <c r="BS74" t="inlineStr" s="8">
        <is>
          <t>2024-06-10</t>
        </is>
      </c>
      <c r="BT74" s="8"/>
      <c r="BU74" s="8"/>
      <c r="BV74" s="8"/>
      <c r="BW74" s="8"/>
      <c r="BX74" s="8"/>
      <c r="BY74" s="8"/>
      <c r="BZ74" s="9"/>
      <c r="CA74" s="9"/>
      <c r="CB74" t="inlineStr" s="8">
        <is>
          <t>3166164754</t>
        </is>
      </c>
      <c r="CC74" t="inlineStr" s="8">
        <is>
          <t>ehrmantraut.clark.73542017@example.com</t>
        </is>
      </c>
      <c r="CD74" t="inlineStr" s="8">
        <is>
          <t>PANTHER PINK CEL: 3166164981</t>
        </is>
      </c>
      <c r="CE74" t="inlineStr" s="8">
        <is>
          <t>NC3698 DIC.30/23 CESION DE MAGGIE BENDER A CLARK EHRMANTRAUT *ANTIC $15.000.000 *ARRAS $4'640</t>
        </is>
      </c>
    </row>
    <row r="75" ht="13.7" customHeight="1">
      <c r="A75" t="inlineStr" s="8">
        <is>
          <t>60007919084442</t>
        </is>
      </c>
      <c r="B75" s="8"/>
      <c r="C75" t="inlineStr" s="8">
        <is>
          <t>707</t>
        </is>
      </c>
      <c r="D75" s="9">
        <v>55.20</v>
      </c>
      <c r="E75" t="inlineStr" s="8">
        <is>
          <t>73895690</t>
        </is>
      </c>
      <c r="F75" t="inlineStr" s="8">
        <is>
          <t>GELLER NATASHA</t>
        </is>
      </c>
      <c r="G75" t="inlineStr" s="8">
        <is>
          <t>*INCLUSION</t>
        </is>
      </c>
      <c r="H75" s="8"/>
      <c r="I75" s="9">
        <v>192172500.00</v>
      </c>
      <c r="J75" t="inlineStr" s="8">
        <is>
          <t>NCR4141</t>
        </is>
      </c>
      <c r="K75" t="inlineStr" s="8">
        <is>
          <t>NCR4140 - NCR4139 - NCR4137 - NCR4138</t>
        </is>
      </c>
      <c r="L75" t="inlineStr" s="8">
        <is>
          <t>2024-01-28</t>
        </is>
      </c>
      <c r="M75" s="9">
        <v>51651500</v>
      </c>
      <c r="N75" s="9"/>
      <c r="O75" s="8"/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f>98999000+15496000</f>
      </c>
      <c r="AC75" s="10">
        <v>4132000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>
        <v>1894000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/>
      <c r="BF75" s="9"/>
      <c r="BG75" s="9"/>
      <c r="BH75" s="9"/>
      <c r="BI75" s="9">
        <f>SUM(M75,N75,Q75,R75,S75,T75,U75,V75,W75,X75,Y75,Z75,AA75,AB75,AC75,AD75,AE75,AF75,AG75,AH75,AI75,AJ75,AK75,AL75,AM75,AN75,AO75,AP75,AQ75,AR75,AS75,AT75,AU75,AV75,AW75,AX75,AY75,AZ75,BA75,BB75,BC75,BD75,BE75,BF75,BG75,BH75)</f>
      </c>
      <c r="BJ75" s="9">
        <f>I75-BI75</f>
      </c>
      <c r="BK75" s="9">
        <f>BJ75-BL75-BM75-BN75-BO75</f>
      </c>
      <c r="BL75" s="9"/>
      <c r="BM75" s="9"/>
      <c r="BN75" s="9"/>
      <c r="BO75" s="9"/>
      <c r="BP75" s="8"/>
      <c r="BQ75" t="inlineStr" s="8">
        <is>
          <t>2023-03-25</t>
        </is>
      </c>
      <c r="BR75" t="inlineStr" s="8">
        <is>
          <t>2023-06-15</t>
        </is>
      </c>
      <c r="BS75" s="8"/>
      <c r="BT75" s="8"/>
      <c r="BU75" s="8"/>
      <c r="BV75" s="8"/>
      <c r="BW75" s="8"/>
      <c r="BX75" s="8"/>
      <c r="BY75" s="8"/>
      <c r="BZ75" s="9"/>
      <c r="CA75" s="9"/>
      <c r="CB75" t="inlineStr" s="8">
        <is>
          <t>3166218997</t>
        </is>
      </c>
      <c r="CC75" t="inlineStr" s="8">
        <is>
          <t>geller.natasha.73895690@example.com</t>
        </is>
      </c>
      <c r="CD75" t="inlineStr" s="8">
        <is>
          <t>MOUSE MINNIE CEL: 3166219601</t>
        </is>
      </c>
      <c r="CE75" t="inlineStr" s="8">
        <is>
          <t>NC4136 ENE.28/24 INCLUSION PAM HOFSTADTER</t>
        </is>
      </c>
    </row>
    <row r="76" ht="13.7" customHeight="1">
      <c r="A76" t="inlineStr" s="8">
        <is>
          <t>60007919082815</t>
        </is>
      </c>
      <c r="B76" t="inlineStr" s="8">
        <is>
          <t>60007919082887</t>
        </is>
      </c>
      <c r="C76" t="inlineStr" s="8">
        <is>
          <t>507</t>
        </is>
      </c>
      <c r="D76" s="9">
        <v>55.20</v>
      </c>
      <c r="E76" t="inlineStr" s="8">
        <is>
          <t>73754975</t>
        </is>
      </c>
      <c r="F76" t="inlineStr" s="8">
        <is>
          <t>POTTER JIM</t>
        </is>
      </c>
      <c r="G76" t="inlineStr" s="8">
        <is>
          <t>*CESION/ARRAS</t>
        </is>
      </c>
      <c r="H76" t="inlineStr" s="8">
        <is>
          <t>BANCO DE OCCIDENTE</t>
        </is>
      </c>
      <c r="I76" s="9">
        <v>192172500.00</v>
      </c>
      <c r="J76" s="8"/>
      <c r="K76" s="8"/>
      <c r="L76" t="inlineStr" s="8">
        <is>
          <t>2024-03-06</t>
        </is>
      </c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/>
      <c r="BF76" s="9"/>
      <c r="BG76" s="9"/>
      <c r="BH76" s="9"/>
      <c r="BI76" s="9">
        <f>SUM(M76,N76,Q76,R76,S76,T76,U76,V76,W76,X76,Y76,Z76,AA76,AB76,AC76,AD76,AE76,AF76,AG76,AH76,AI76,AJ76,AK76,AL76,AM76,AN76,AO76,AP76,AQ76,AR76,AS76,AT76,AU76,AV76,AW76,AX76,AY76,AZ76,BA76,BB76,BC76,BD76,BE76,BF76,BG76,BH76)</f>
      </c>
      <c r="BJ76" s="9">
        <f>I76-BI76</f>
      </c>
      <c r="BK76" s="9">
        <f>BJ76-BL76-BM76-BN76-BO76</f>
      </c>
      <c r="BL76" s="9"/>
      <c r="BM76" s="9"/>
      <c r="BN76" s="9"/>
      <c r="BO76" s="9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t="inlineStr" s="8">
        <is>
          <t>3166202639</t>
        </is>
      </c>
      <c r="CC76" t="inlineStr" s="8">
        <is>
          <t>potter.jim.73754975@example.com</t>
        </is>
      </c>
      <c r="CD76" t="inlineStr" s="8">
        <is>
          <t>JETSON GEORGE CEL: 3166203387</t>
        </is>
      </c>
      <c r="CE76" t="inlineStr" s="8">
        <is>
          <t>NC3974 MAR.6/24 CESION DE JIM POTTER A HOWARD GREEN *ANTIC $18.000.000 *ARRAS $4'640</t>
        </is>
      </c>
    </row>
    <row r="77" ht="13.7" customHeight="1">
      <c r="A77" t="inlineStr" s="8">
        <is>
          <t>60007919082887</t>
        </is>
      </c>
      <c r="B77" s="8"/>
      <c r="C77" t="inlineStr" s="8">
        <is>
          <t>507</t>
        </is>
      </c>
      <c r="D77" s="9">
        <v>55.20</v>
      </c>
      <c r="E77" t="inlineStr" s="8">
        <is>
          <t>73760616</t>
        </is>
      </c>
      <c r="F77" t="inlineStr" s="8">
        <is>
          <t>GREEN HOWARD</t>
        </is>
      </c>
      <c r="G77" t="inlineStr" s="8">
        <is>
          <t>*CESION/ARRAS</t>
        </is>
      </c>
      <c r="H77" t="inlineStr" s="8">
        <is>
          <t>BANCO DE OCCIDENTE</t>
        </is>
      </c>
      <c r="I77" s="9">
        <v>192172500.00</v>
      </c>
      <c r="J77" t="inlineStr" s="8">
        <is>
          <t>NCR3983 - NC3974CESION - NCR3986CR</t>
        </is>
      </c>
      <c r="K77" t="inlineStr" s="8">
        <is>
          <t>NCR3976 - NCR3980 - NCR3977 - NCR3978 - NCR3975 - NCR3981 - NCR3985 - NCR3982 - NCR3979 - NCR3984</t>
        </is>
      </c>
      <c r="L77" t="inlineStr" s="8">
        <is>
          <t>2024-03-06</t>
        </is>
      </c>
      <c r="M77" s="9">
        <v>257000</v>
      </c>
      <c r="N77" s="9">
        <v>18000000</v>
      </c>
      <c r="O77" t="inlineStr" s="8">
        <is>
          <t>ABR.9/25</t>
        </is>
      </c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>
        <v>449000</v>
      </c>
      <c r="AM77" s="10">
        <v>3273000</v>
      </c>
      <c r="AN77" s="10">
        <v>7251000</v>
      </c>
      <c r="AO77" s="10"/>
      <c r="AP77" s="10"/>
      <c r="AQ77" s="10"/>
      <c r="AR77" s="10"/>
      <c r="AS77" s="10">
        <v>10203500</v>
      </c>
      <c r="AT77" s="10"/>
      <c r="AU77" s="10">
        <v>11423000</v>
      </c>
      <c r="AV77" s="10"/>
      <c r="AW77" s="10"/>
      <c r="AX77" s="10"/>
      <c r="AY77" s="10"/>
      <c r="AZ77" s="10"/>
      <c r="BA77" s="10"/>
      <c r="BB77" s="10"/>
      <c r="BC77" s="10">
        <f>11615000+11359000+1283000+770000+6289000</f>
      </c>
      <c r="BD77" s="10"/>
      <c r="BE77" s="9">
        <v>95000000</v>
      </c>
      <c r="BF77" s="9"/>
      <c r="BG77" s="9"/>
      <c r="BH77" s="9"/>
      <c r="BI77" s="9">
        <f>SUM(M77,N77,Q77,R77,S77,T77,U77,V77,W77,X77,Y77,Z77,AA77,AB77,AC77,AD77,AE77,AF77,AG77,AH77,AI77,AJ77,AK77,AL77,AM77,AN77,AO77,AP77,AQ77,AR77,AS77,AT77,AU77,AV77,AW77,AX77,AY77,AZ77,BA77,BB77,BC77,BD77,BE77,BF77,BG77,BH77)</f>
      </c>
      <c r="BJ77" s="9">
        <f>I77-BI77</f>
      </c>
      <c r="BK77" s="9">
        <f>BJ77-BL77-BM77-BN77-BO77</f>
      </c>
      <c r="BL77" s="9"/>
      <c r="BM77" s="9"/>
      <c r="BN77" s="9"/>
      <c r="BO77" s="9"/>
      <c r="BP77" s="8"/>
      <c r="BQ77" t="inlineStr" s="8">
        <is>
          <t>2023-11-28</t>
        </is>
      </c>
      <c r="BR77" t="inlineStr" s="8">
        <is>
          <t>2024-02-15</t>
        </is>
      </c>
      <c r="BS77" s="8"/>
      <c r="BT77" s="8"/>
      <c r="BU77" s="8"/>
      <c r="BV77" s="8"/>
      <c r="BW77" s="8"/>
      <c r="BX77" s="8"/>
      <c r="BY77" s="8"/>
      <c r="BZ77" s="9"/>
      <c r="CA77" s="9"/>
      <c r="CB77" t="inlineStr" s="8">
        <is>
          <t>3166202944</t>
        </is>
      </c>
      <c r="CC77" t="inlineStr" s="8">
        <is>
          <t>green.howard.73760616@example.com</t>
        </is>
      </c>
      <c r="CD77" t="inlineStr" s="8">
        <is>
          <t>JETSON GEORGE CEL: 3166203387</t>
        </is>
      </c>
      <c r="CE77" t="inlineStr" s="8">
        <is>
          <t>NC3974 MAR.6/24 CESION DE JIM POTTER A HOWARD GREEN *ANTIC $18.000.000 *ARRAS $4'640</t>
        </is>
      </c>
    </row>
    <row r="78" ht="13.7" customHeight="1">
      <c r="A78" t="inlineStr" s="8">
        <is>
          <t>60007919080835</t>
        </is>
      </c>
      <c r="B78" t="inlineStr" s="8">
        <is>
          <t>60007919080843</t>
        </is>
      </c>
      <c r="C78" t="inlineStr" s="8">
        <is>
          <t>303</t>
        </is>
      </c>
      <c r="D78" s="9">
        <v>55.20</v>
      </c>
      <c r="E78" t="inlineStr" s="8">
        <is>
          <t>73618216</t>
        </is>
      </c>
      <c r="F78" t="inlineStr" s="8">
        <is>
          <t>KRABS SPONGEBOB</t>
        </is>
      </c>
      <c r="G78" t="inlineStr" s="8">
        <is>
          <t>*TRASLADO</t>
        </is>
      </c>
      <c r="H78" t="inlineStr" s="8">
        <is>
          <t>BANCOLOMBIA</t>
        </is>
      </c>
      <c r="I78" s="9">
        <v>192172500.00</v>
      </c>
      <c r="J78" s="8"/>
      <c r="K78" s="8"/>
      <c r="L78" t="inlineStr" s="8">
        <is>
          <t>2024-04-13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/>
      <c r="BF78" s="9"/>
      <c r="BG78" s="9"/>
      <c r="BH78" s="9"/>
      <c r="BI78" s="9">
        <f>SUM(M78,N78,Q78,R78,S78,T78,U78,V78,W78,X78,Y78,Z78,AA78,AB78,AC78,AD78,AE78,AF78,AG78,AH78,AI78,AJ78,AK78,AL78,AM78,AN78,AO78,AP78,AQ78,AR78,AS78,AT78,AU78,AV78,AW78,AX78,AY78,AZ78,BA78,BB78,BC78,BD78,BE78,BF78,BG78,BH78)</f>
      </c>
      <c r="BJ78" s="9">
        <f>I78-BI78</f>
      </c>
      <c r="BK78" s="9">
        <f>BJ78-BL78-BM78-BN78-BO78</f>
      </c>
      <c r="BL78" s="9"/>
      <c r="BM78" s="9"/>
      <c r="BN78" s="9"/>
      <c r="BO78" s="9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t="inlineStr" s="8">
        <is>
          <t>3166177182</t>
        </is>
      </c>
      <c r="CC78" t="inlineStr" s="8">
        <is>
          <t>krabs.spongebob.73618216@example.com</t>
        </is>
      </c>
      <c r="CD78" t="inlineStr" s="8">
        <is>
          <t>FLINTSTONE FRED CEL: 3166178768</t>
        </is>
      </c>
      <c r="CE78" t="inlineStr" s="8">
        <is>
          <t>NC3796 ABR.13/24 TRASLADO DE SPONGEBOB KRABS A LISA SINCLAIR *ANTIC $25.000.000 *ARRAS $4'640</t>
        </is>
      </c>
    </row>
    <row r="79" ht="13.7" customHeight="1">
      <c r="A79" t="inlineStr" s="8">
        <is>
          <t>60007919080843</t>
        </is>
      </c>
      <c r="B79" s="8"/>
      <c r="C79" t="inlineStr" s="8">
        <is>
          <t>303</t>
        </is>
      </c>
      <c r="D79" s="9">
        <v>55.20</v>
      </c>
      <c r="E79" t="inlineStr" s="8">
        <is>
          <t>73626459</t>
        </is>
      </c>
      <c r="F79" t="inlineStr" s="8">
        <is>
          <t>SINCLAIR LISA</t>
        </is>
      </c>
      <c r="G79" t="inlineStr" s="8">
        <is>
          <t>*TRASLADO</t>
        </is>
      </c>
      <c r="H79" t="inlineStr" s="8">
        <is>
          <t>BANCOLOMBIA</t>
        </is>
      </c>
      <c r="I79" s="9">
        <v>192172500.00</v>
      </c>
      <c r="J79" t="inlineStr" s="8">
        <is>
          <t>NC3796TRASLADO - NCR3803CR</t>
        </is>
      </c>
      <c r="K79" t="inlineStr" s="8">
        <is>
          <t>NCR3800 - NCR3801 - NCR3798 - NCR3799 - NCR3802 - NCR3797</t>
        </is>
      </c>
      <c r="L79" t="inlineStr" s="8">
        <is>
          <t>2024-04-13</t>
        </is>
      </c>
      <c r="M79" s="9"/>
      <c r="N79" s="9">
        <v>25000000</v>
      </c>
      <c r="O79" t="inlineStr" s="8">
        <is>
          <t>ABR.19/24</t>
        </is>
      </c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>
        <f>1199500+6104000</f>
      </c>
      <c r="AQ79" s="10"/>
      <c r="AR79" s="10"/>
      <c r="AS79" s="10">
        <v>3652000</v>
      </c>
      <c r="AT79" s="10"/>
      <c r="AU79" s="10">
        <v>21652000</v>
      </c>
      <c r="AV79" s="10"/>
      <c r="AW79" s="10"/>
      <c r="AX79" s="10">
        <f>6887000+12678000</f>
      </c>
      <c r="AY79" s="10"/>
      <c r="AZ79" s="10"/>
      <c r="BA79" s="10"/>
      <c r="BB79" s="10"/>
      <c r="BC79" s="10"/>
      <c r="BD79" s="10"/>
      <c r="BE79" s="9">
        <v>95000000</v>
      </c>
      <c r="BF79" s="9"/>
      <c r="BG79" s="9"/>
      <c r="BH79" s="9"/>
      <c r="BI79" s="9">
        <f>SUM(M79,N79,Q79,R79,S79,T79,U79,V79,W79,X79,Y79,Z79,AA79,AB79,AC79,AD79,AE79,AF79,AG79,AH79,AI79,AJ79,AK79,AL79,AM79,AN79,AO79,AP79,AQ79,AR79,AS79,AT79,AU79,AV79,AW79,AX79,AY79,AZ79,BA79,BB79,BC79,BD79,BE79,BF79,BG79,BH79)</f>
      </c>
      <c r="BJ79" s="9">
        <f>I79-BI79</f>
      </c>
      <c r="BK79" s="9">
        <f>BJ79-BL79-BM79-BN79-BO79</f>
      </c>
      <c r="BL79" s="9"/>
      <c r="BM79" s="9"/>
      <c r="BN79" s="9"/>
      <c r="BO79" s="9"/>
      <c r="BP79" s="8"/>
      <c r="BQ79" t="inlineStr" s="8">
        <is>
          <t>2024-01-21</t>
        </is>
      </c>
      <c r="BR79" t="inlineStr" s="8">
        <is>
          <t>2024-02-17</t>
        </is>
      </c>
      <c r="BS79" s="8"/>
      <c r="BT79" s="8"/>
      <c r="BU79" s="8"/>
      <c r="BV79" s="8"/>
      <c r="BW79" s="8"/>
      <c r="BX79" s="8"/>
      <c r="BY79" s="8"/>
      <c r="BZ79" s="9"/>
      <c r="CA79" s="9"/>
      <c r="CB79" t="inlineStr" s="8">
        <is>
          <t>3166178083</t>
        </is>
      </c>
      <c r="CC79" t="inlineStr" s="8">
        <is>
          <t>sinclair.lisa.73626459@example.com</t>
        </is>
      </c>
      <c r="CD79" t="inlineStr" s="8">
        <is>
          <t>FLINTSTONE FRED CEL: 3166178768</t>
        </is>
      </c>
      <c r="CE79" t="inlineStr" s="8">
        <is>
          <t>NC3796 ABR.13/24 TRASLADO DE SPONGEBOB KRABS A LISA SINCLAIR *ANTIC $25.000.000 *ARRAS $4'640</t>
        </is>
      </c>
    </row>
    <row r="80" ht="13.7" customHeight="1">
      <c r="A80" t="inlineStr" s="8">
        <is>
          <t>60007919081867</t>
        </is>
      </c>
      <c r="B80" s="8"/>
      <c r="C80" t="inlineStr" s="8">
        <is>
          <t>405</t>
        </is>
      </c>
      <c r="D80" s="9">
        <v>55.20</v>
      </c>
      <c r="E80" t="inlineStr" s="8">
        <is>
          <t>73677319</t>
        </is>
      </c>
      <c r="F80" t="inlineStr" s="8">
        <is>
          <t>KENT DAENERYS</t>
        </is>
      </c>
      <c r="G80" t="inlineStr" s="8">
        <is>
          <t>*CESION/ARRAS</t>
        </is>
      </c>
      <c r="H80" t="inlineStr" s="8">
        <is>
          <t>BANCO DE OCCIDENTE</t>
        </is>
      </c>
      <c r="I80" s="9">
        <v>192172500.00</v>
      </c>
      <c r="J80" t="inlineStr" s="8">
        <is>
          <t>NC3870CESION - NCR3883 - NCR3879 - NCR3874 - NCR3882 - NCR3884CR</t>
        </is>
      </c>
      <c r="K80" t="inlineStr" s="8">
        <is>
          <t>NCR3875 - NCR3881 - NCR3873 - NCR3880 - NCR3871 - NCR3877 - NCR3872 - NCR3876 - NCR3878</t>
        </is>
      </c>
      <c r="L80" t="inlineStr" s="8">
        <is>
          <t>2024-04-13</t>
        </is>
      </c>
      <c r="M80" s="9">
        <f>8531000+7858500+2284000+806000</f>
      </c>
      <c r="N80" s="9">
        <v>15000000</v>
      </c>
      <c r="O80" t="inlineStr" s="8">
        <is>
          <t>AGO.31/24</t>
        </is>
      </c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>
        <v>17331000</v>
      </c>
      <c r="AL80" s="10">
        <f>13031000+3560000</f>
      </c>
      <c r="AM80" s="10"/>
      <c r="AN80" s="10"/>
      <c r="AO80" s="10">
        <v>3896000</v>
      </c>
      <c r="AP80" s="10">
        <v>4702000</v>
      </c>
      <c r="AQ80" s="10"/>
      <c r="AR80" s="10">
        <v>2956000</v>
      </c>
      <c r="AS80" s="10">
        <v>672000</v>
      </c>
      <c r="AT80" s="10"/>
      <c r="AU80" s="10">
        <f>940164+605000</f>
      </c>
      <c r="AV80" s="10"/>
      <c r="AW80" s="10"/>
      <c r="AX80" s="10"/>
      <c r="AY80" s="10"/>
      <c r="AZ80" s="10"/>
      <c r="BA80" s="10"/>
      <c r="BB80" s="10"/>
      <c r="BC80" s="10"/>
      <c r="BD80" s="10"/>
      <c r="BE80" s="9">
        <v>110000000</v>
      </c>
      <c r="BF80" s="9"/>
      <c r="BG80" s="9"/>
      <c r="BH80" s="9"/>
      <c r="BI80" s="9">
        <f>SUM(M80,N80,Q80,R80,S80,T80,U80,V80,W80,X80,Y80,Z80,AA80,AB80,AC80,AD80,AE80,AF80,AG80,AH80,AI80,AJ80,AK80,AL80,AM80,AN80,AO80,AP80,AQ80,AR80,AS80,AT80,AU80,AV80,AW80,AX80,AY80,AZ80,BA80,BB80,BC80,BD80,BE80,BF80,BG80,BH80)</f>
      </c>
      <c r="BJ80" s="9">
        <f>I80-BI80</f>
      </c>
      <c r="BK80" s="9">
        <f>BJ80-BL80-BM80-BN80-BO80</f>
      </c>
      <c r="BL80" s="9"/>
      <c r="BM80" s="9"/>
      <c r="BN80" s="9"/>
      <c r="BO80" s="9"/>
      <c r="BP80" s="8"/>
      <c r="BQ80" t="inlineStr" s="8">
        <is>
          <t>2023-10-18</t>
        </is>
      </c>
      <c r="BR80" t="inlineStr" s="8">
        <is>
          <t>2024-01-27</t>
        </is>
      </c>
      <c r="BS80" s="8"/>
      <c r="BT80" s="8"/>
      <c r="BU80" s="8"/>
      <c r="BV80" s="8"/>
      <c r="BW80" s="8"/>
      <c r="BX80" s="8"/>
      <c r="BY80" s="8"/>
      <c r="BZ80" s="9"/>
      <c r="CA80" s="9"/>
      <c r="CB80" t="inlineStr" s="8">
        <is>
          <t>3166188194</t>
        </is>
      </c>
      <c r="CC80" t="inlineStr" s="8">
        <is>
          <t>kent.daenerys.73677319@example.com</t>
        </is>
      </c>
      <c r="CD80" t="inlineStr" s="8">
        <is>
          <t>DUCK DAFFY CEL: 3166188606</t>
        </is>
      </c>
      <c r="CE80" t="inlineStr" s="8">
        <is>
          <t>NC3870 ABR.13/24 CESION DE DAENERYS KENT A PETER BUELLER *ANTIC $15.000.000 *ARRAS $4'640</t>
        </is>
      </c>
    </row>
    <row r="81" ht="13.7" customHeight="1">
      <c r="A81" t="inlineStr" s="8">
        <is>
          <t>60007919081867</t>
        </is>
      </c>
      <c r="B81" s="8"/>
      <c r="C81" t="inlineStr" s="8">
        <is>
          <t>405</t>
        </is>
      </c>
      <c r="D81" s="9">
        <v>55.20</v>
      </c>
      <c r="E81" t="inlineStr" s="8">
        <is>
          <t>73680823</t>
        </is>
      </c>
      <c r="F81" t="inlineStr" s="8">
        <is>
          <t>BUELLER PETER</t>
        </is>
      </c>
      <c r="G81" t="inlineStr" s="8">
        <is>
          <t>*CESION/ARRAS</t>
        </is>
      </c>
      <c r="H81" t="inlineStr" s="8">
        <is>
          <t>BANCO DE OCCIDENTE</t>
        </is>
      </c>
      <c r="I81" s="9">
        <v>192172500.00</v>
      </c>
      <c r="J81" t="inlineStr" s="8">
        <is>
          <t>NC3870CESION - NCR3883 - NCR3879 - NCR3874 - NCR3882 - NCR3884CR</t>
        </is>
      </c>
      <c r="K81" t="inlineStr" s="8">
        <is>
          <t>NCR3875 - NCR3881 - NCR3873 - NCR3880 - NCR3871 - NCR3877 - NCR3872 - NCR3876 - NCR3878</t>
        </is>
      </c>
      <c r="L81" t="inlineStr" s="8">
        <is>
          <t>2024-04-13</t>
        </is>
      </c>
      <c r="M81" s="9">
        <f>8531000+7858500+2284000+806000</f>
      </c>
      <c r="N81" s="9">
        <v>15000000</v>
      </c>
      <c r="O81" t="inlineStr" s="8">
        <is>
          <t>AGO.31/24</t>
        </is>
      </c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>
        <v>17331000</v>
      </c>
      <c r="AL81" s="10">
        <f>13031000+3560000</f>
      </c>
      <c r="AM81" s="10"/>
      <c r="AN81" s="10"/>
      <c r="AO81" s="10">
        <v>3896000</v>
      </c>
      <c r="AP81" s="10">
        <v>4702000</v>
      </c>
      <c r="AQ81" s="10"/>
      <c r="AR81" s="10">
        <v>2956000</v>
      </c>
      <c r="AS81" s="10">
        <v>672000</v>
      </c>
      <c r="AT81" s="10"/>
      <c r="AU81" s="10">
        <f>940164+605000</f>
      </c>
      <c r="AV81" s="10"/>
      <c r="AW81" s="10"/>
      <c r="AX81" s="10"/>
      <c r="AY81" s="10"/>
      <c r="AZ81" s="10"/>
      <c r="BA81" s="10"/>
      <c r="BB81" s="10"/>
      <c r="BC81" s="10"/>
      <c r="BD81" s="10"/>
      <c r="BE81" s="9">
        <v>110000000</v>
      </c>
      <c r="BF81" s="9"/>
      <c r="BG81" s="9"/>
      <c r="BH81" s="9"/>
      <c r="BI81" s="9">
        <f>SUM(M81,N81,Q81,R81,S81,T81,U81,V81,W81,X81,Y81,Z81,AA81,AB81,AC81,AD81,AE81,AF81,AG81,AH81,AI81,AJ81,AK81,AL81,AM81,AN81,AO81,AP81,AQ81,AR81,AS81,AT81,AU81,AV81,AW81,AX81,AY81,AZ81,BA81,BB81,BC81,BD81,BE81,BF81,BG81,BH81)</f>
      </c>
      <c r="BJ81" s="9">
        <f>I81-BI81</f>
      </c>
      <c r="BK81" s="9">
        <f>BJ81-BL81-BM81-BN81-BO81</f>
      </c>
      <c r="BL81" s="9"/>
      <c r="BM81" s="9"/>
      <c r="BN81" s="9"/>
      <c r="BO81" s="9"/>
      <c r="BP81" s="8"/>
      <c r="BQ81" t="inlineStr" s="8">
        <is>
          <t>2023-10-18</t>
        </is>
      </c>
      <c r="BR81" t="inlineStr" s="8">
        <is>
          <t>2024-01-27</t>
        </is>
      </c>
      <c r="BS81" s="8"/>
      <c r="BT81" s="8"/>
      <c r="BU81" s="8"/>
      <c r="BV81" s="8"/>
      <c r="BW81" s="8"/>
      <c r="BX81" s="8"/>
      <c r="BY81" s="8"/>
      <c r="BZ81" s="9"/>
      <c r="CA81" s="9"/>
      <c r="CB81" t="inlineStr" s="8">
        <is>
          <t>3166188266</t>
        </is>
      </c>
      <c r="CC81" t="inlineStr" s="8">
        <is>
          <t>bueller.peter.73680823@example.com</t>
        </is>
      </c>
      <c r="CD81" t="inlineStr" s="8">
        <is>
          <t>DUCK DAFFY CEL: 3166188606</t>
        </is>
      </c>
      <c r="CE81" t="inlineStr" s="8">
        <is>
          <t>NC3870 ABR.13/24 CESION DE DAENERYS KENT A PETER BUELLER *ANTIC $15.000.000 *ARRAS $4'640</t>
        </is>
      </c>
    </row>
    <row r="82" ht="13.7" customHeight="1">
      <c r="A82" t="inlineStr" s="8">
        <is>
          <t>60007919084065</t>
        </is>
      </c>
      <c r="B82" s="8"/>
      <c r="C82" t="inlineStr" s="8">
        <is>
          <t>704</t>
        </is>
      </c>
      <c r="D82" s="9">
        <v>55.20</v>
      </c>
      <c r="E82" t="inlineStr" s="8">
        <is>
          <t>73875797</t>
        </is>
      </c>
      <c r="F82" t="inlineStr" s="8">
        <is>
          <t>JANE DUSTIN</t>
        </is>
      </c>
      <c r="G82" t="inlineStr" s="8">
        <is>
          <t>*INCLUSION</t>
        </is>
      </c>
      <c r="H82" t="inlineStr" s="8">
        <is>
          <t>BANCO DE BOGOTA</t>
        </is>
      </c>
      <c r="I82" s="9">
        <v>192172500.00</v>
      </c>
      <c r="J82" s="8"/>
      <c r="K82" s="8"/>
      <c r="L82" t="inlineStr" s="8">
        <is>
          <t>2024-04-22</t>
        </is>
      </c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9"/>
      <c r="BF82" s="9"/>
      <c r="BG82" s="9"/>
      <c r="BH82" s="9"/>
      <c r="BI82" s="9">
        <f>SUM(M82,N82,Q82,R82,S82,T82,U82,V82,W82,X82,Y82,Z82,AA82,AB82,AC82,AD82,AE82,AF82,AG82,AH82,AI82,AJ82,AK82,AL82,AM82,AN82,AO82,AP82,AQ82,AR82,AS82,AT82,AU82,AV82,AW82,AX82,AY82,AZ82,BA82,BB82,BC82,BD82,BE82,BF82,BG82,BH82)</f>
      </c>
      <c r="BJ82" s="9">
        <f>I82-BI82</f>
      </c>
      <c r="BK82" s="9">
        <f>BJ82-BL82-BM82-BN82-BO82</f>
      </c>
      <c r="BL82" s="9"/>
      <c r="BM82" s="9"/>
      <c r="BN82" s="9"/>
      <c r="BO82" s="9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9"/>
      <c r="CA82" s="9"/>
      <c r="CB82" t="inlineStr" s="8">
        <is>
          <t>3166216266</t>
        </is>
      </c>
      <c r="CC82" t="inlineStr" s="8">
        <is>
          <t>jane.dustin.73875797@example.com</t>
        </is>
      </c>
      <c r="CD82" t="inlineStr" s="8">
        <is>
          <t>BUNNY BUGS CEL: 3166216811</t>
        </is>
      </c>
      <c r="CE82" t="inlineStr" s="8">
        <is>
          <t>NC4104 ABR.22/24 INCLUSION ROSS TENTACLES</t>
        </is>
      </c>
    </row>
    <row r="83" ht="13.7" customHeight="1">
      <c r="A83" t="inlineStr" s="8">
        <is>
          <t>60007919082580</t>
        </is>
      </c>
      <c r="B83" s="8"/>
      <c r="C83" t="inlineStr" s="8">
        <is>
          <t>504</t>
        </is>
      </c>
      <c r="D83" s="9">
        <v>55.20</v>
      </c>
      <c r="E83" t="inlineStr" s="8">
        <is>
          <t>73733950</t>
        </is>
      </c>
      <c r="F83" t="inlineStr" s="8">
        <is>
          <t>DECKER SHERLOCK</t>
        </is>
      </c>
      <c r="G83" t="inlineStr" s="8">
        <is>
          <t>*INCLUSION</t>
        </is>
      </c>
      <c r="H83" t="inlineStr" s="8">
        <is>
          <t>BANCOLOMBIA</t>
        </is>
      </c>
      <c r="I83" s="9">
        <v>192172500.00</v>
      </c>
      <c r="J83" s="8"/>
      <c r="K83" s="8"/>
      <c r="L83" t="inlineStr" s="8">
        <is>
          <t>2024-05-30</t>
        </is>
      </c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9"/>
      <c r="BF83" s="9"/>
      <c r="BG83" s="9"/>
      <c r="BH83" s="9"/>
      <c r="BI83" s="9">
        <f>SUM(M83,N83,Q83,R83,S83,T83,U83,V83,W83,X83,Y83,Z83,AA83,AB83,AC83,AD83,AE83,AF83,AG83,AH83,AI83,AJ83,AK83,AL83,AM83,AN83,AO83,AP83,AQ83,AR83,AS83,AT83,AU83,AV83,AW83,AX83,AY83,AZ83,BA83,BB83,BC83,BD83,BE83,BF83,BG83,BH83)</f>
      </c>
      <c r="BJ83" s="9">
        <f>I83-BI83</f>
      </c>
      <c r="BK83" s="9">
        <f>BJ83-BL83-BM83-BN83-BO83</f>
      </c>
      <c r="BL83" s="9"/>
      <c r="BM83" s="9"/>
      <c r="BN83" s="9"/>
      <c r="BO83" s="9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9"/>
      <c r="CA83" s="9"/>
      <c r="CB83" t="inlineStr" s="8">
        <is>
          <t>3166197771</t>
        </is>
      </c>
      <c r="CC83" t="inlineStr" s="8">
        <is>
          <t>decker.sherlock.73733950@example.com</t>
        </is>
      </c>
      <c r="CD83" t="inlineStr" s="8">
        <is>
          <t>FINN CEL: 3166199119</t>
        </is>
      </c>
      <c r="CE83" t="inlineStr" s="8">
        <is>
          <t>NC3941 MAY.30/24 INCLUSION SAMWISE HOFSTADTER</t>
        </is>
      </c>
    </row>
    <row r="84" ht="13.7" customHeight="1">
      <c r="A84" t="inlineStr" s="8">
        <is>
          <t>60007919079551</t>
        </is>
      </c>
      <c r="B84" s="8"/>
      <c r="C84" t="inlineStr" s="8">
        <is>
          <t>106</t>
        </is>
      </c>
      <c r="D84" s="9">
        <v>55.20</v>
      </c>
      <c r="E84" t="inlineStr" s="8">
        <is>
          <t>73514283</t>
        </is>
      </c>
      <c r="F84" t="inlineStr" s="8">
        <is>
          <t>SMITH LISA</t>
        </is>
      </c>
      <c r="G84" t="inlineStr" s="8">
        <is>
          <t>*INCLUSION</t>
        </is>
      </c>
      <c r="H84" t="inlineStr" s="8">
        <is>
          <t>BANCO CAJA SOCIAL</t>
        </is>
      </c>
      <c r="I84" s="9">
        <v>192172500.00</v>
      </c>
      <c r="J84" s="8"/>
      <c r="K84" s="8"/>
      <c r="L84" t="inlineStr" s="8">
        <is>
          <t>2024-07-06</t>
        </is>
      </c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9"/>
      <c r="BF84" s="9"/>
      <c r="BG84" s="9"/>
      <c r="BH84" s="9"/>
      <c r="BI84" s="9">
        <f>SUM(M84,N84,Q84,R84,S84,T84,U84,V84,W84,X84,Y84,Z84,AA84,AB84,AC84,AD84,AE84,AF84,AG84,AH84,AI84,AJ84,AK84,AL84,AM84,AN84,AO84,AP84,AQ84,AR84,AS84,AT84,AU84,AV84,AW84,AX84,AY84,AZ84,BA84,BB84,BC84,BD84,BE84,BF84,BG84,BH84)</f>
      </c>
      <c r="BJ84" s="9">
        <f>I84-BI84</f>
      </c>
      <c r="BK84" s="9">
        <f>BJ84-BL84-BM84-BN84-BO84</f>
      </c>
      <c r="BL84" s="9"/>
      <c r="BM84" s="9"/>
      <c r="BN84" s="9"/>
      <c r="BO84" s="9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9"/>
      <c r="CA84" s="9"/>
      <c r="CB84" t="inlineStr" s="8">
        <is>
          <t>3166161956</t>
        </is>
      </c>
      <c r="CC84" t="inlineStr" s="8">
        <is>
          <t>smith.lisa.73514283@example.com</t>
        </is>
      </c>
      <c r="CD84" t="inlineStr" s="8">
        <is>
          <t>FINN CEL: 3166163407</t>
        </is>
      </c>
      <c r="CE84" t="inlineStr" s="8">
        <is>
          <t>NC3689 JUL.6/24 INCLUSION RON MARTIN</t>
        </is>
      </c>
    </row>
    <row r="85" ht="13.7" customHeight="1">
      <c r="A85" t="inlineStr" s="8">
        <is>
          <t>60007919083096</t>
        </is>
      </c>
      <c r="B85" s="8"/>
      <c r="C85" t="inlineStr" s="8">
        <is>
          <t>602</t>
        </is>
      </c>
      <c r="D85" s="9">
        <v>55.20</v>
      </c>
      <c r="E85" t="inlineStr" s="8">
        <is>
          <t>73775764</t>
        </is>
      </c>
      <c r="F85" t="inlineStr" s="8">
        <is>
          <t>DECKER HOWARD</t>
        </is>
      </c>
      <c r="G85" t="inlineStr" s="8">
        <is>
          <t>*CESION/ARRAS</t>
        </is>
      </c>
      <c r="H85" s="8"/>
      <c r="I85" s="9">
        <v>192172500.00</v>
      </c>
      <c r="J85" t="inlineStr" s="8">
        <is>
          <t>NC3997CESION - NCR4003 - NCR4008 - NCR4001 - NCR3999 - NCR4006 - NCR4004</t>
        </is>
      </c>
      <c r="K85" t="inlineStr" s="8">
        <is>
          <t>NCR4000 - NCR4002 - NCR4009 - NCR4005 - NCR3998 - NCR4007</t>
        </is>
      </c>
      <c r="L85" t="inlineStr" s="8">
        <is>
          <t>2024-08-09</t>
        </is>
      </c>
      <c r="M85" s="9">
        <f>180000+11171000+10270000+4684000+12792000+2162000</f>
      </c>
      <c r="N85" s="9">
        <v>12000000</v>
      </c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>
        <v>19819000</v>
      </c>
      <c r="AB85" s="10">
        <f>31350000+38377000</f>
      </c>
      <c r="AC85" s="10"/>
      <c r="AD85" s="10">
        <v>17477500</v>
      </c>
      <c r="AE85" s="10"/>
      <c r="AF85" s="10"/>
      <c r="AG85" s="10"/>
      <c r="AH85" s="10"/>
      <c r="AI85" s="10"/>
      <c r="AJ85" s="10"/>
      <c r="AK85" s="10"/>
      <c r="AL85" s="10">
        <v>17837000</v>
      </c>
      <c r="AM85" s="10"/>
      <c r="AN85" s="10">
        <v>14053000</v>
      </c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9"/>
      <c r="BF85" s="9"/>
      <c r="BG85" s="9"/>
      <c r="BH85" s="9"/>
      <c r="BI85" s="9">
        <f>SUM(M85,N85,Q85,R85,S85,T85,U85,V85,W85,X85,Y85,Z85,AA85,AB85,AC85,AD85,AE85,AF85,AG85,AH85,AI85,AJ85,AK85,AL85,AM85,AN85,AO85,AP85,AQ85,AR85,AS85,AT85,AU85,AV85,AW85,AX85,AY85,AZ85,BA85,BB85,BC85,BD85,BE85,BF85,BG85,BH85)</f>
      </c>
      <c r="BJ85" s="9">
        <f>I85-BI85</f>
      </c>
      <c r="BK85" s="9">
        <f>BJ85-BL85-BM85-BN85-BO85</f>
      </c>
      <c r="BL85" s="9"/>
      <c r="BM85" s="9"/>
      <c r="BN85" s="9"/>
      <c r="BO85" s="9"/>
      <c r="BP85" s="8"/>
      <c r="BQ85" t="inlineStr" s="8">
        <is>
          <t>2023-03-10</t>
        </is>
      </c>
      <c r="BR85" t="inlineStr" s="8">
        <is>
          <t>2023-06-01</t>
        </is>
      </c>
      <c r="BS85" t="inlineStr" s="8">
        <is>
          <t>2024-08-15</t>
        </is>
      </c>
      <c r="BT85" s="8"/>
      <c r="BU85" s="8"/>
      <c r="BV85" s="8"/>
      <c r="BW85" s="8"/>
      <c r="BX85" s="8"/>
      <c r="BY85" s="8"/>
      <c r="BZ85" s="9"/>
      <c r="CA85" s="9"/>
      <c r="CB85" t="inlineStr" s="8">
        <is>
          <t>3166205019</t>
        </is>
      </c>
      <c r="CC85" t="inlineStr" s="8">
        <is>
          <t>decker.howard.73775764@example.com</t>
        </is>
      </c>
      <c r="CD85" t="inlineStr" s="8">
        <is>
          <t>JAKE CEL: 3166205648</t>
        </is>
      </c>
      <c r="CE85" t="inlineStr" s="8">
        <is>
          <t>NC3997 AGO.9/24 CESION DE HOWARD DECKER A HOWARD KRABS/DIANA PRINCE *ANTIC $12.000.000 *ARRAS $4'640</t>
        </is>
      </c>
    </row>
    <row r="86" ht="13.7" customHeight="1">
      <c r="A86" t="inlineStr" s="8">
        <is>
          <t>60007919080497</t>
        </is>
      </c>
      <c r="B86" s="8"/>
      <c r="C86" t="inlineStr" s="8">
        <is>
          <t>301</t>
        </is>
      </c>
      <c r="D86" s="9">
        <v>55.20</v>
      </c>
      <c r="E86" t="inlineStr" s="8">
        <is>
          <t>73594135</t>
        </is>
      </c>
      <c r="F86" t="inlineStr" s="8">
        <is>
          <t>KENT JON</t>
        </is>
      </c>
      <c r="G86" t="inlineStr" s="8">
        <is>
          <t>*INCLUSION</t>
        </is>
      </c>
      <c r="H86" t="inlineStr" s="8">
        <is>
          <t>BANCO CAJA SOCIAL</t>
        </is>
      </c>
      <c r="I86" s="9">
        <v>192172500.00</v>
      </c>
      <c r="J86" s="8"/>
      <c r="K86" s="8"/>
      <c r="L86" t="inlineStr" s="8">
        <is>
          <t>2024-09-24</t>
        </is>
      </c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9"/>
      <c r="BF86" s="9"/>
      <c r="BG86" s="9"/>
      <c r="BH86" s="9"/>
      <c r="BI86" s="9">
        <f>SUM(M86,N86,Q86,R86,S86,T86,U86,V86,W86,X86,Y86,Z86,AA86,AB86,AC86,AD86,AE86,AF86,AG86,AH86,AI86,AJ86,AK86,AL86,AM86,AN86,AO86,AP86,AQ86,AR86,AS86,AT86,AU86,AV86,AW86,AX86,AY86,AZ86,BA86,BB86,BC86,BD86,BE86,BF86,BG86,BH86)</f>
      </c>
      <c r="BJ86" s="9">
        <f>I86-BI86</f>
      </c>
      <c r="BK86" s="9">
        <f>BJ86-BL86-BM86-BN86-BO86</f>
      </c>
      <c r="BL86" s="9"/>
      <c r="BM86" s="9"/>
      <c r="BN86" s="9"/>
      <c r="BO86" s="9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9"/>
      <c r="CA86" s="9"/>
      <c r="CB86" t="inlineStr" s="8">
        <is>
          <t>3166174679</t>
        </is>
      </c>
      <c r="CC86" t="inlineStr" s="8">
        <is>
          <t>kent.jon.73594135@example.com</t>
        </is>
      </c>
      <c r="CD86" t="inlineStr" s="8">
        <is>
          <t>JETSON GEORGE CEL: 3166175476</t>
        </is>
      </c>
      <c r="CE86" t="inlineStr" s="8">
        <is>
          <t>NC3774 SEP.24/24 INCLUSION MAGGIE SCHRUTE</t>
        </is>
      </c>
    </row>
    <row r="87" ht="13.7" customHeight="1">
      <c r="A87" t="inlineStr" s="8">
        <is>
          <t>60007919084290</t>
        </is>
      </c>
      <c r="B87" s="8"/>
      <c r="C87" t="inlineStr" s="8">
        <is>
          <t>706</t>
        </is>
      </c>
      <c r="D87" s="9">
        <v>55.20</v>
      </c>
      <c r="E87" t="inlineStr" s="8">
        <is>
          <t>73887905</t>
        </is>
      </c>
      <c r="F87" t="inlineStr" s="8">
        <is>
          <t>HALPERT PETER</t>
        </is>
      </c>
      <c r="G87" t="inlineStr" s="8">
        <is>
          <t>RETIROS DE FIDUCIA SEP/22</t>
        </is>
      </c>
      <c r="H87" t="inlineStr" s="8">
        <is>
          <t>BANCO CAJA SOCIAL</t>
        </is>
      </c>
      <c r="I87" s="9">
        <v>192172500.00</v>
      </c>
      <c r="J87" t="inlineStr" s="8">
        <is>
          <t>NCR4133CR</t>
        </is>
      </c>
      <c r="K87" t="inlineStr" s="8">
        <is>
          <t>NCR4122 - NCR4121 - NCR4130 - NCR4132 - NCR4128 - NCR4129 - NCR4126 - NCR4124 - NCR4131 - NCR4127 - NCR4123 - NCR4125</t>
        </is>
      </c>
      <c r="L87" s="8"/>
      <c r="M87" s="9"/>
      <c r="N87" s="9"/>
      <c r="O87" t="inlineStr" s="8">
        <is>
          <t>JUN.21/22</t>
        </is>
      </c>
      <c r="P87" s="8"/>
      <c r="Q87" s="10"/>
      <c r="R87" s="10"/>
      <c r="S87" s="10"/>
      <c r="T87" s="10">
        <f>7201000+2825000+2102000+689000+1792000</f>
      </c>
      <c r="U87" s="10">
        <v>2619000</v>
      </c>
      <c r="V87" s="10">
        <f>5306334+2446000+1654000</f>
      </c>
      <c r="W87" s="10">
        <f>2756000+379000+4686000</f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9">
        <v>30227666</v>
      </c>
      <c r="BF87" s="9"/>
      <c r="BG87" s="9"/>
      <c r="BH87" s="9"/>
      <c r="BI87" s="9">
        <f>SUM(M87,N87,Q87,R87,S87,T87,U87,V87,W87,X87,Y87,Z87,AA87,AB87,AC87,AD87,AE87,AF87,AG87,AH87,AI87,AJ87,AK87,AL87,AM87,AN87,AO87,AP87,AQ87,AR87,AS87,AT87,AU87,AV87,AW87,AX87,AY87,AZ87,BA87,BB87,BC87,BD87,BE87,BF87,BG87,BH87)</f>
      </c>
      <c r="BJ87" s="9">
        <f>I87-BI87</f>
      </c>
      <c r="BK87" s="9">
        <f>BJ87-BL87-BM87-BN87-BO87</f>
      </c>
      <c r="BL87" s="9"/>
      <c r="BM87" s="9"/>
      <c r="BN87" s="9"/>
      <c r="BO87" s="9"/>
      <c r="BP87" s="8"/>
      <c r="BQ87" t="inlineStr" s="8">
        <is>
          <t>2022-06-18</t>
        </is>
      </c>
      <c r="BR87" t="inlineStr" s="8">
        <is>
          <t>2022-10-08</t>
        </is>
      </c>
      <c r="BS87" s="8"/>
      <c r="BT87" s="8"/>
      <c r="BU87" s="8"/>
      <c r="BV87" s="8"/>
      <c r="BW87" s="8"/>
      <c r="BX87" s="8"/>
      <c r="BY87" s="8"/>
      <c r="BZ87" s="9"/>
      <c r="CA87" s="9"/>
      <c r="CB87" t="inlineStr" s="8">
        <is>
          <t>3166218263</t>
        </is>
      </c>
      <c r="CC87" t="inlineStr" s="8">
        <is>
          <t>halpert.peter.73887905@example.com</t>
        </is>
      </c>
      <c r="CD87" t="inlineStr" s="8">
        <is>
          <t>MOUSE MICKEY CEL: 3166218285</t>
        </is>
      </c>
      <c r="CE87" t="inlineStr" s="8">
        <is>
          <t>NC4120 SEP.6/22 TERMINACION UNILATERAL PETER HALPERT</t>
        </is>
      </c>
    </row>
    <row r="88" ht="13.7" customHeight="1">
      <c r="A88" t="inlineStr" s="8">
        <is>
          <t>60007919081028</t>
        </is>
      </c>
      <c r="B88" s="8"/>
      <c r="C88" t="inlineStr" s="8">
        <is>
          <t>305</t>
        </is>
      </c>
      <c r="D88" s="9">
        <v>55.20</v>
      </c>
      <c r="E88" t="inlineStr" s="8">
        <is>
          <t>73634300</t>
        </is>
      </c>
      <c r="F88" t="inlineStr" s="8">
        <is>
          <t>GOODMAN CLINT</t>
        </is>
      </c>
      <c r="G88" t="inlineStr" s="8">
        <is>
          <t>RETIROS DE FIDUCIA NOV/22</t>
        </is>
      </c>
      <c r="H88" t="inlineStr" s="8">
        <is>
          <t>BBVA</t>
        </is>
      </c>
      <c r="I88" s="9">
        <v>192172500.00</v>
      </c>
      <c r="J88" s="8"/>
      <c r="K88" s="8"/>
      <c r="L88" s="8"/>
      <c r="M88" s="9"/>
      <c r="N88" s="9"/>
      <c r="O88" s="8"/>
      <c r="P88" s="8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9"/>
      <c r="BF88" s="9"/>
      <c r="BG88" s="9"/>
      <c r="BH88" s="9"/>
      <c r="BI88" s="9">
        <f>SUM(M88,N88,Q88,R88,S88,T88,U88,V88,W88,X88,Y88,Z88,AA88,AB88,AC88,AD88,AE88,AF88,AG88,AH88,AI88,AJ88,AK88,AL88,AM88,AN88,AO88,AP88,AQ88,AR88,AS88,AT88,AU88,AV88,AW88,AX88,AY88,AZ88,BA88,BB88,BC88,BD88,BE88,BF88,BG88,BH88)</f>
      </c>
      <c r="BJ88" s="9">
        <f>I88-BI88</f>
      </c>
      <c r="BK88" s="9">
        <f>BJ88-BL88-BM88-BN88-BO88</f>
      </c>
      <c r="BL88" s="9"/>
      <c r="BM88" s="9"/>
      <c r="BN88" s="9"/>
      <c r="BO88" s="9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9"/>
      <c r="CA88" s="9"/>
      <c r="CB88" t="inlineStr" s="8">
        <is>
          <t>3166180300</t>
        </is>
      </c>
      <c r="CC88" t="inlineStr" s="8">
        <is>
          <t>goodman.clint.73634300@example.com</t>
        </is>
      </c>
      <c r="CD88" t="inlineStr" s="8">
        <is>
          <t>PANTHER PINK CEL: 3166181134</t>
        </is>
      </c>
      <c r="CE88" t="inlineStr" s="8">
        <is>
          <t>NC3814 NOV.15/22 TERMINACION UNILATERAL CLINT GOODMAN</t>
        </is>
      </c>
    </row>
    <row r="89" ht="13.7" customHeight="1">
      <c r="A89" t="inlineStr" s="8">
        <is>
          <t>60007919082698</t>
        </is>
      </c>
      <c r="B89" s="8"/>
      <c r="C89" t="inlineStr" s="8">
        <is>
          <t>506</t>
        </is>
      </c>
      <c r="D89" s="9">
        <v>55.20</v>
      </c>
      <c r="E89" t="inlineStr" s="8">
        <is>
          <t>73748632</t>
        </is>
      </c>
      <c r="F89" t="inlineStr" s="8">
        <is>
          <t>BARTON FERRIS</t>
        </is>
      </c>
      <c r="G89" t="inlineStr" s="8">
        <is>
          <t>*DESISTIM/ARRAS</t>
        </is>
      </c>
      <c r="H89" t="inlineStr" s="8">
        <is>
          <t>BANCO CAJA SOCIAL</t>
        </is>
      </c>
      <c r="I89" s="9">
        <v>192172500.00</v>
      </c>
      <c r="J89" s="8"/>
      <c r="K89" s="8"/>
      <c r="L89" s="8"/>
      <c r="M89" s="9"/>
      <c r="N89" s="9"/>
      <c r="O89" s="8"/>
      <c r="P89" s="8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9"/>
      <c r="BF89" s="9"/>
      <c r="BG89" s="9"/>
      <c r="BH89" s="9"/>
      <c r="BI89" s="9">
        <f>SUM(M89,N89,Q89,R89,S89,T89,U89,V89,W89,X89,Y89,Z89,AA89,AB89,AC89,AD89,AE89,AF89,AG89,AH89,AI89,AJ89,AK89,AL89,AM89,AN89,AO89,AP89,AQ89,AR89,AS89,AT89,AU89,AV89,AW89,AX89,AY89,AZ89,BA89,BB89,BC89,BD89,BE89,BF89,BG89,BH89)</f>
      </c>
      <c r="BJ89" s="9">
        <f>I89-BI89</f>
      </c>
      <c r="BK89" s="9">
        <f>BJ89-BL89-BM89-BN89-BO89</f>
      </c>
      <c r="BL89" s="9"/>
      <c r="BM89" s="9"/>
      <c r="BN89" s="9"/>
      <c r="BO89" s="9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9"/>
      <c r="CA89" s="9"/>
      <c r="CB89" t="inlineStr" s="8">
        <is>
          <t>3166201572</t>
        </is>
      </c>
      <c r="CC89" t="inlineStr" s="8">
        <is>
          <t>barton.ferris.73748632@example.com</t>
        </is>
      </c>
      <c r="CD89" t="inlineStr" s="8">
        <is>
          <t>PANTHER PINK CEL: 3166201930</t>
        </is>
      </c>
      <c r="CE89" t="inlineStr" s="8">
        <is>
          <t>NC3960 DIC.24/22 DESISTIMIENTO POR ARRAS FERRIS BARTON</t>
        </is>
      </c>
    </row>
    <row r="90" ht="13.7" customHeight="1">
      <c r="A90" t="inlineStr" s="8">
        <is>
          <t>60007919081136</t>
        </is>
      </c>
      <c r="B90" s="8"/>
      <c r="C90" t="inlineStr" s="8">
        <is>
          <t>307</t>
        </is>
      </c>
      <c r="D90" s="9">
        <v>55.20</v>
      </c>
      <c r="E90" t="inlineStr" s="8">
        <is>
          <t>73645962</t>
        </is>
      </c>
      <c r="F90" t="inlineStr" s="8">
        <is>
          <t>MALFOY SANDY</t>
        </is>
      </c>
      <c r="G90" t="inlineStr" s="8">
        <is>
          <t>*DESISTIM/ARRAS</t>
        </is>
      </c>
      <c r="H90" s="8"/>
      <c r="I90" s="9">
        <v>192172500.00</v>
      </c>
      <c r="J90" s="8"/>
      <c r="K90" s="8"/>
      <c r="L90" s="8"/>
      <c r="M90" s="9"/>
      <c r="N90" s="9"/>
      <c r="O90" s="8"/>
      <c r="P90" s="8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9"/>
      <c r="BF90" s="9"/>
      <c r="BG90" s="9"/>
      <c r="BH90" s="9"/>
      <c r="BI90" s="9">
        <f>SUM(M90,N90,Q90,R90,S90,T90,U90,V90,W90,X90,Y90,Z90,AA90,AB90,AC90,AD90,AE90,AF90,AG90,AH90,AI90,AJ90,AK90,AL90,AM90,AN90,AO90,AP90,AQ90,AR90,AS90,AT90,AU90,AV90,AW90,AX90,AY90,AZ90,BA90,BB90,BC90,BD90,BE90,BF90,BG90,BH90)</f>
      </c>
      <c r="BJ90" s="9">
        <f>I90-BI90</f>
      </c>
      <c r="BK90" s="9">
        <f>BJ90-BL90-BM90-BN90-BO90</f>
      </c>
      <c r="BL90" s="9"/>
      <c r="BM90" s="9"/>
      <c r="BN90" s="9"/>
      <c r="BO90" s="9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9"/>
      <c r="CA90" s="9"/>
      <c r="CB90" t="inlineStr" s="8">
        <is>
          <t>3166182603</t>
        </is>
      </c>
      <c r="CC90" t="inlineStr" s="8">
        <is>
          <t>malfoy.sandy.73645962@example.com</t>
        </is>
      </c>
      <c r="CD90" t="inlineStr" s="8">
        <is>
          <t>JETSON GEORGE CEL: 3166182654</t>
        </is>
      </c>
      <c r="CE90" t="inlineStr" s="8">
        <is>
          <t>NC3826 FEB.27/24 DESISTIMIENTO POR ARRAS SANDY MALFOY</t>
        </is>
      </c>
    </row>
    <row r="91" ht="13.7" customHeight="1">
      <c r="A91" t="inlineStr" s="8">
        <is>
          <t>60007919081498</t>
        </is>
      </c>
      <c r="B91" s="8"/>
      <c r="C91" t="inlineStr" s="8">
        <is>
          <t>402</t>
        </is>
      </c>
      <c r="D91" s="9">
        <v>55.20</v>
      </c>
      <c r="E91" t="inlineStr" s="8">
        <is>
          <t>73655698</t>
        </is>
      </c>
      <c r="F91" t="inlineStr" s="8">
        <is>
          <t>KENOBI GUSTAVO</t>
        </is>
      </c>
      <c r="G91" t="inlineStr" s="8">
        <is>
          <t>*DESISTIM/ARRAS</t>
        </is>
      </c>
      <c r="H91" s="8"/>
      <c r="I91" s="9">
        <v>192172500.00</v>
      </c>
      <c r="J91" s="8"/>
      <c r="K91" s="8"/>
      <c r="L91" s="8"/>
      <c r="M91" s="9"/>
      <c r="N91" s="9"/>
      <c r="O91" s="8"/>
      <c r="P91" s="8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9"/>
      <c r="BF91" s="9"/>
      <c r="BG91" s="9"/>
      <c r="BH91" s="9"/>
      <c r="BI91" s="9">
        <f>SUM(M91,N91,Q91,R91,S91,T91,U91,V91,W91,X91,Y91,Z91,AA91,AB91,AC91,AD91,AE91,AF91,AG91,AH91,AI91,AJ91,AK91,AL91,AM91,AN91,AO91,AP91,AQ91,AR91,AS91,AT91,AU91,AV91,AW91,AX91,AY91,AZ91,BA91,BB91,BC91,BD91,BE91,BF91,BG91,BH91)</f>
      </c>
      <c r="BJ91" s="9">
        <f>I91-BI91</f>
      </c>
      <c r="BK91" s="9">
        <f>BJ91-BL91-BM91-BN91-BO91</f>
      </c>
      <c r="BL91" s="9"/>
      <c r="BM91" s="9"/>
      <c r="BN91" s="9"/>
      <c r="BO91" s="9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9"/>
      <c r="CA91" s="9"/>
      <c r="CB91" t="inlineStr" s="8">
        <is>
          <t>3166184304</t>
        </is>
      </c>
      <c r="CC91" t="inlineStr" s="8">
        <is>
          <t>kenobi.gustavo.73655698@example.com</t>
        </is>
      </c>
      <c r="CD91" t="inlineStr" s="8">
        <is>
          <t>JAKE CEL: 3166185215</t>
        </is>
      </c>
      <c r="CE91" t="inlineStr" s="8">
        <is>
          <t>NC3846 MAR.28/24 DESISTIMIENTO POR ARRAS GUSTAVO KENOBI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2.42578125" customWidth="1"/>
    <col min="58" max="58" width="15.5703125" customWidth="1"/>
    <col min="59" max="59" width="15.28515625" customWidth="1"/>
    <col min="60" max="60" width="14.140625" customWidth="1"/>
    <col min="61" max="61" width="15.28515625" customWidth="1"/>
    <col min="62" max="62" width="11.5703125" customWidth="1"/>
    <col min="63" max="63" width="13.0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8.140625" customWidth="1"/>
    <col min="73" max="73" width="11.425781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3.0" customWidth="1"/>
    <col min="81" max="81" width="20.0" customWidth="1"/>
    <col min="82" max="82" width="24.0" customWidth="1"/>
    <col min="83" max="83" width="105.140625" customWidth="1"/>
  </cols>
  <sheetData>
    <row r="1">
      <c r="A1" t="inlineStr" s="1">
        <is>
          <t>CONJUNTO CERRADO KSMP T3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FEB/2022</t>
        </is>
      </c>
      <c r="S4" t="inlineStr" s="5">
        <is>
          <t>RECIBO FIDUCIA MAR/2022</t>
        </is>
      </c>
      <c r="T4" t="inlineStr" s="5">
        <is>
          <t>RECIBO FIDUCIA ABR/2022</t>
        </is>
      </c>
      <c r="U4" t="inlineStr" s="5">
        <is>
          <t>RECIBO FIDUCIA MAY/2022</t>
        </is>
      </c>
      <c r="V4" t="inlineStr" s="5">
        <is>
          <t>RECIBO FIDUCIA JUN/2022</t>
        </is>
      </c>
      <c r="W4" t="inlineStr" s="5">
        <is>
          <t>RECIBO FIDUCIA JUL/2022</t>
        </is>
      </c>
      <c r="X4" t="inlineStr" s="5">
        <is>
          <t>RECIBO FIDUCIA AGO/2022</t>
        </is>
      </c>
      <c r="Y4" t="inlineStr" s="5">
        <is>
          <t>RECIBO FIDUCIA SEP/2022</t>
        </is>
      </c>
      <c r="Z4" t="inlineStr" s="5">
        <is>
          <t>RECIBO FIDUCIA OCT/2022</t>
        </is>
      </c>
      <c r="AA4" t="inlineStr" s="5">
        <is>
          <t>RECIBO FIDUCIA NOV/2022</t>
        </is>
      </c>
      <c r="AB4" t="inlineStr" s="5">
        <is>
          <t>RECIBO FIDUCIA DIC/2022</t>
        </is>
      </c>
      <c r="AC4" t="inlineStr" s="5">
        <is>
          <t>RECIBO FIDUCIA ENE/2023</t>
        </is>
      </c>
      <c r="AD4" t="inlineStr" s="5">
        <is>
          <t>RECIBO FIDUCIA FEB/2023</t>
        </is>
      </c>
      <c r="AE4" t="inlineStr" s="5">
        <is>
          <t>RECIBO FIDUCIA MAR/2023</t>
        </is>
      </c>
      <c r="AF4" t="inlineStr" s="5">
        <is>
          <t>RECIBO FIDUCIA ABR/2023</t>
        </is>
      </c>
      <c r="AG4" t="inlineStr" s="5">
        <is>
          <t>RECIBO FIDUCIA MAY/2023</t>
        </is>
      </c>
      <c r="AH4" t="inlineStr" s="5">
        <is>
          <t>RECIBO FIDUCIA JUN/2023</t>
        </is>
      </c>
      <c r="AI4" t="inlineStr" s="5">
        <is>
          <t>RECIBO FIDUCIA JUL/2023</t>
        </is>
      </c>
      <c r="AJ4" t="inlineStr" s="5">
        <is>
          <t>RECIBO FIDUCIA AGO/2023</t>
        </is>
      </c>
      <c r="AK4" t="inlineStr" s="5">
        <is>
          <t>RECIBO FIDUCIA SEP/2023</t>
        </is>
      </c>
      <c r="AL4" t="inlineStr" s="5">
        <is>
          <t>RECIBO FIDUCIA OCT/2023</t>
        </is>
      </c>
      <c r="AM4" t="inlineStr" s="5">
        <is>
          <t>RECIBO FIDUCIA NOV/2023</t>
        </is>
      </c>
      <c r="AN4" t="inlineStr" s="5">
        <is>
          <t>RECIBO FIDUCIA DIC/2023</t>
        </is>
      </c>
      <c r="AO4" t="inlineStr" s="5">
        <is>
          <t>RECIBO FIDUCIA ENE/2024</t>
        </is>
      </c>
      <c r="AP4" t="inlineStr" s="5">
        <is>
          <t>RECIBO FIDUCIA FEB/2024</t>
        </is>
      </c>
      <c r="AQ4" t="inlineStr" s="5">
        <is>
          <t>RECIBO FIDUCIA MAR/2024</t>
        </is>
      </c>
      <c r="AR4" t="inlineStr" s="5">
        <is>
          <t>RECIBO FIDUCIA ABR/2024</t>
        </is>
      </c>
      <c r="AS4" t="inlineStr" s="5">
        <is>
          <t>RECIBO FIDUCIA MAY/2024</t>
        </is>
      </c>
      <c r="AT4" t="inlineStr" s="5">
        <is>
          <t>RECIBO FIDUCIA JUN/2024</t>
        </is>
      </c>
      <c r="AU4" t="inlineStr" s="5">
        <is>
          <t>RECIBO FIDUCIA JUL/2024</t>
        </is>
      </c>
      <c r="AV4" t="inlineStr" s="5">
        <is>
          <t>RECIBO FIDUCIA AGO/2024</t>
        </is>
      </c>
      <c r="AW4" t="inlineStr" s="5">
        <is>
          <t>RECIBO FIDUCIA SEP/2024</t>
        </is>
      </c>
      <c r="AX4" t="inlineStr" s="5">
        <is>
          <t>RECIBO FIDUCIA OCT/2024</t>
        </is>
      </c>
      <c r="AY4" t="inlineStr" s="5">
        <is>
          <t>RECIBO FIDUCIA NOV/2024</t>
        </is>
      </c>
      <c r="AZ4" t="inlineStr" s="5">
        <is>
          <t>RECIBO FIDUCIA DIC/2024</t>
        </is>
      </c>
      <c r="BA4" t="inlineStr" s="5">
        <is>
          <t>RECIBO FIDUCIA ENE/2025</t>
        </is>
      </c>
      <c r="BB4" t="inlineStr" s="5">
        <is>
          <t>RECIBO FIDUCIA FEB/2025</t>
        </is>
      </c>
      <c r="BC4" t="inlineStr" s="5">
        <is>
          <t>RECIBO FIDUCIA ABR/2025</t>
        </is>
      </c>
      <c r="BD4" t="inlineStr" s="5">
        <is>
          <t>RECIBO FIDUCIA AGO/2025</t>
        </is>
      </c>
      <c r="BE4" t="inlineStr" s="4">
        <is>
          <t>ABONOS CR CONSTRUCTOR</t>
        </is>
      </c>
      <c r="BF4" t="inlineStr" s="4">
        <is>
          <t>DESEMBOLSO SUBSIDIO CAJAS DE COMPENSACION</t>
        </is>
      </c>
      <c r="BG4" t="inlineStr" s="4">
        <is>
          <t>DESEMBOLSO SUBSIDIOS GOBIERNO</t>
        </is>
      </c>
      <c r="BH4" t="inlineStr" s="2">
        <is>
          <t>AJUSTE</t>
        </is>
      </c>
      <c r="BI4" t="inlineStr" s="2">
        <is>
          <t>TOTAL RECIBIDO</t>
        </is>
      </c>
      <c r="BJ4" t="inlineStr" s="2">
        <is>
          <t>SALDO POR COBRAR</t>
        </is>
      </c>
      <c r="BK4" t="inlineStr" s="2">
        <is>
          <t>RECURSOS PROPIOS</t>
        </is>
      </c>
      <c r="BL4" t="inlineStr" s="2">
        <is>
          <t>CREDITO BANCARIO</t>
        </is>
      </c>
      <c r="BM4" t="inlineStr" s="2">
        <is>
          <t>CAJA HONOR</t>
        </is>
      </c>
      <c r="BN4" t="inlineStr" s="6">
        <is>
          <t>SUBSIDIOS MCY</t>
        </is>
      </c>
      <c r="BO4" t="inlineStr" s="6">
        <is>
          <t>SUBSIDIOS CAJA COMP</t>
        </is>
      </c>
      <c r="BP4" t="inlineStr" s="6">
        <is>
          <t>ENTIDAD</t>
        </is>
      </c>
      <c r="BQ4" t="inlineStr" s="2">
        <is>
          <t>FECHA CONTRATO DE ADHESION</t>
        </is>
      </c>
      <c r="BR4" t="inlineStr" s="2">
        <is>
          <t>FECHA DE PROMESA</t>
        </is>
      </c>
      <c r="BS4" t="inlineStr" s="7">
        <is>
          <t>ENTREGA REAL</t>
        </is>
      </c>
      <c r="BT4" t="inlineStr" s="6">
        <is>
          <t>MATRIC</t>
        </is>
      </c>
      <c r="BU4" t="inlineStr" s="6">
        <is>
          <t>FECHA ESC</t>
        </is>
      </c>
      <c r="BV4" t="inlineStr" s="6">
        <is>
          <t>ESC</t>
        </is>
      </c>
      <c r="BW4" t="inlineStr" s="6">
        <is>
          <t>NOT</t>
        </is>
      </c>
      <c r="BX4" t="inlineStr" s="6">
        <is>
          <t>FECHA C/TRADIC</t>
        </is>
      </c>
      <c r="BY4" t="inlineStr" s="6">
        <is>
          <t>FE</t>
        </is>
      </c>
      <c r="BZ4" t="inlineStr" s="2">
        <is>
          <t>INTERESES</t>
        </is>
      </c>
      <c r="CA4" t="inlineStr" s="2">
        <is>
          <t>VALOR</t>
        </is>
      </c>
      <c r="CB4" t="inlineStr" s="2">
        <is>
          <t>TELEFONO</t>
        </is>
      </c>
      <c r="CC4" t="inlineStr" s="2">
        <is>
          <t>E-MAIL</t>
        </is>
      </c>
      <c r="CD4" t="inlineStr" s="2">
        <is>
          <t>CONTACTO</t>
        </is>
      </c>
      <c r="CE4" t="inlineStr" s="2">
        <is>
          <t>OBSERVACIONES</t>
        </is>
      </c>
    </row>
    <row r="5" ht="12.75" customHeight="1">
      <c r="A5" t="inlineStr" s="8">
        <is>
          <t>60007919084617</t>
        </is>
      </c>
      <c r="B5" s="8"/>
      <c r="C5" t="inlineStr" s="8">
        <is>
          <t>101</t>
        </is>
      </c>
      <c r="D5" s="9">
        <v>55.20</v>
      </c>
      <c r="E5" t="inlineStr" s="8">
        <is>
          <t>73910228</t>
        </is>
      </c>
      <c r="F5" t="inlineStr" s="8">
        <is>
          <t>BUFFAY HARRY</t>
        </is>
      </c>
      <c r="G5" s="8"/>
      <c r="H5" t="inlineStr" s="8">
        <is>
          <t>BBVA</t>
        </is>
      </c>
      <c r="I5" s="9">
        <v>192172500.00</v>
      </c>
      <c r="J5" t="inlineStr" s="8">
        <is>
          <t>NCR4150 - NCR4154 - NCR4157CR</t>
        </is>
      </c>
      <c r="K5" t="inlineStr" s="8">
        <is>
          <t>NCR4144 - NCR4149 - NCR4156 - NCR4148 - NCR4151 - NCR4147 - NCR4145 - NCR4153 - NCR4155 - NCR4152 - NCR4146</t>
        </is>
      </c>
      <c r="L5" t="inlineStr" s="8">
        <is>
          <t>JUL.17/22F - JUL.21/22F - SEP.15/22F - SEP.25/22F - NOV.10/22F - NOV.25/22F - MAR.21/23F - MAY.22/23F - AGO.8/23F - SEP.17/23 - SEP.18/23F - NOV.16/23 - NOV.25/23F</t>
        </is>
      </c>
      <c r="M5" s="9">
        <f>9642000+659000</f>
      </c>
      <c r="N5" s="9"/>
      <c r="O5" t="inlineStr" s="8">
        <is>
          <t>OCT.17/23</t>
        </is>
      </c>
      <c r="P5" s="8"/>
      <c r="Q5" s="10"/>
      <c r="R5" s="10"/>
      <c r="S5" s="10"/>
      <c r="T5" s="10"/>
      <c r="U5" s="10"/>
      <c r="V5" s="10"/>
      <c r="W5" s="10">
        <f>1236000+23404000</f>
      </c>
      <c r="X5" s="10"/>
      <c r="Y5" s="10">
        <f>1979000+5439000</f>
      </c>
      <c r="Z5" s="10"/>
      <c r="AA5" s="10">
        <f>1731000+12444000</f>
      </c>
      <c r="AB5" s="10"/>
      <c r="AC5" s="10"/>
      <c r="AD5" s="10"/>
      <c r="AE5" s="10">
        <v>3461000</v>
      </c>
      <c r="AF5" s="10"/>
      <c r="AG5" s="10">
        <v>412000</v>
      </c>
      <c r="AH5" s="10"/>
      <c r="AI5" s="10"/>
      <c r="AJ5" s="10">
        <v>6510000</v>
      </c>
      <c r="AK5" s="10">
        <v>3626000</v>
      </c>
      <c r="AL5" s="10"/>
      <c r="AM5" s="10">
        <v>11867000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>
        <v>65000000</v>
      </c>
      <c r="BF5" s="9"/>
      <c r="BG5" s="9"/>
      <c r="BH5" s="9"/>
      <c r="BI5" s="9">
        <f>SUM(M5,N5,Q5,R5,S5,T5,U5,V5,W5,X5,Y5,Z5,AA5,AB5,AC5,AD5,AE5,AF5,AG5,AH5,AI5,AJ5,AK5,AL5,AM5,AN5,AO5,AP5,AQ5,AR5,AS5,AT5,AU5,AV5,AW5,AX5,AY5,AZ5,BA5,BB5,BC5,BD5,BE5,BF5,BG5,BH5)</f>
      </c>
      <c r="BJ5" s="9">
        <f>I5-BI5</f>
      </c>
      <c r="BK5" s="9">
        <f>BJ5-BL5-BM5-BN5-BO5</f>
      </c>
      <c r="BL5" s="9"/>
      <c r="BM5" s="9"/>
      <c r="BN5" s="9"/>
      <c r="BO5" s="9"/>
      <c r="BP5" s="8"/>
      <c r="BQ5" t="inlineStr" s="8">
        <is>
          <t>2022-09-28</t>
        </is>
      </c>
      <c r="BR5" t="inlineStr" s="8">
        <is>
          <t>2022-12-11</t>
        </is>
      </c>
      <c r="BS5" s="8"/>
      <c r="BT5" s="8"/>
      <c r="BU5" s="8"/>
      <c r="BV5" s="8"/>
      <c r="BW5" s="8"/>
      <c r="BX5" s="8"/>
      <c r="BY5" s="8"/>
      <c r="BZ5" s="9"/>
      <c r="CA5" s="9"/>
      <c r="CB5" t="inlineStr" s="8">
        <is>
          <t>3166221107</t>
        </is>
      </c>
      <c r="CC5" t="inlineStr" s="8">
        <is>
          <t>buffay.harry.73910228@example.com</t>
        </is>
      </c>
      <c r="CD5" t="inlineStr" s="8">
        <is>
          <t>FINN CEL: 3166221975</t>
        </is>
      </c>
      <c r="CE5" s="8"/>
    </row>
    <row r="6" ht="12.75" customHeight="1">
      <c r="A6" t="inlineStr" s="8">
        <is>
          <t>60007919084658</t>
        </is>
      </c>
      <c r="B6" s="8"/>
      <c r="C6" t="inlineStr" s="8">
        <is>
          <t>102</t>
        </is>
      </c>
      <c r="D6" s="9">
        <v>55.20</v>
      </c>
      <c r="E6" t="inlineStr" s="8">
        <is>
          <t>73916180</t>
        </is>
      </c>
      <c r="F6" t="inlineStr" s="8">
        <is>
          <t>BYERS RAJ</t>
        </is>
      </c>
      <c r="G6" s="8"/>
      <c r="H6" t="inlineStr" s="8">
        <is>
          <t>BBVA</t>
        </is>
      </c>
      <c r="I6" s="9">
        <v>192172500.00</v>
      </c>
      <c r="J6" t="inlineStr" s="8">
        <is>
          <t>NCR4170CR</t>
        </is>
      </c>
      <c r="K6" t="inlineStr" s="8">
        <is>
          <t>NCR4168 - NCR4167 - NCR4166 - NCR4165 - NCR4160 - NCR4161 - NCR4163 - NCR4159 - NCR4169 - NCR4164 - NCR4162</t>
        </is>
      </c>
      <c r="L6" t="inlineStr" s="8">
        <is>
          <t>NOV.10/23F - NOV.22/23F - DIC.22/23F - FEB.18/24F - MAR.2/24F - ABR.23/24F - ABR.26/24F - MAY.9/24F - MAY.17/24F - JUN.28/24F - JUL.25/24F</t>
        </is>
      </c>
      <c r="M6" s="9"/>
      <c r="N6" s="9"/>
      <c r="O6" t="inlineStr" s="8">
        <is>
          <t>FEB.1/24</t>
        </is>
      </c>
      <c r="P6" s="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>
        <f>19725000+184000</f>
      </c>
      <c r="AN6" s="10">
        <v>100000</v>
      </c>
      <c r="AO6" s="10"/>
      <c r="AP6" s="10">
        <v>14655000</v>
      </c>
      <c r="AQ6" s="10">
        <v>3318000</v>
      </c>
      <c r="AR6" s="10">
        <f>24887000+100000</f>
      </c>
      <c r="AS6" s="10">
        <f>13365000+3302500</f>
      </c>
      <c r="AT6" s="10">
        <v>3503000</v>
      </c>
      <c r="AU6" s="10">
        <v>9033000</v>
      </c>
      <c r="AV6" s="10"/>
      <c r="AW6" s="10"/>
      <c r="AX6" s="10"/>
      <c r="AY6" s="10"/>
      <c r="AZ6" s="10"/>
      <c r="BA6" s="10"/>
      <c r="BB6" s="10"/>
      <c r="BC6" s="10"/>
      <c r="BD6" s="10"/>
      <c r="BE6" s="9">
        <v>80000000</v>
      </c>
      <c r="BF6" s="9"/>
      <c r="BG6" s="9"/>
      <c r="BH6" s="9"/>
      <c r="BI6" s="9">
        <f>SUM(M6,N6,Q6,R6,S6,T6,U6,V6,W6,X6,Y6,Z6,AA6,AB6,AC6,AD6,AE6,AF6,AG6,AH6,AI6,AJ6,AK6,AL6,AM6,AN6,AO6,AP6,AQ6,AR6,AS6,AT6,AU6,AV6,AW6,AX6,AY6,AZ6,BA6,BB6,BC6,BD6,BE6,BF6,BG6,BH6)</f>
      </c>
      <c r="BJ6" s="9">
        <f>I6-BI6</f>
      </c>
      <c r="BK6" s="9">
        <f>BJ6-BL6-BM6-BN6-BO6</f>
      </c>
      <c r="BL6" s="9"/>
      <c r="BM6" s="9"/>
      <c r="BN6" s="9"/>
      <c r="BO6" s="9"/>
      <c r="BP6" s="8"/>
      <c r="BQ6" t="inlineStr" s="8">
        <is>
          <t>2023-11-23</t>
        </is>
      </c>
      <c r="BR6" t="inlineStr" s="8">
        <is>
          <t>2023-12-23</t>
        </is>
      </c>
      <c r="BS6" s="8"/>
      <c r="BT6" s="8"/>
      <c r="BU6" s="8"/>
      <c r="BV6" s="8"/>
      <c r="BW6" s="8"/>
      <c r="BX6" s="8"/>
      <c r="BY6" s="8"/>
      <c r="BZ6" s="9"/>
      <c r="CA6" s="9"/>
      <c r="CB6" t="inlineStr" s="8">
        <is>
          <t>3166222311</t>
        </is>
      </c>
      <c r="CC6" t="inlineStr" s="8">
        <is>
          <t>byers.raj.73916180@example.com</t>
        </is>
      </c>
      <c r="CD6" t="inlineStr" s="8">
        <is>
          <t>BUNNY BUGS CEL: 3166222503</t>
        </is>
      </c>
      <c r="CE6" s="8"/>
    </row>
    <row r="7" ht="12.75" customHeight="1">
      <c r="A7" t="inlineStr" s="8">
        <is>
          <t>60007919084730</t>
        </is>
      </c>
      <c r="B7" s="8"/>
      <c r="C7" t="inlineStr" s="8">
        <is>
          <t>103</t>
        </is>
      </c>
      <c r="D7" s="9">
        <v>55.20</v>
      </c>
      <c r="E7" t="inlineStr" s="8">
        <is>
          <t>73921770</t>
        </is>
      </c>
      <c r="F7" t="inlineStr" s="8">
        <is>
          <t>WOLOWITZ LUNA</t>
        </is>
      </c>
      <c r="G7" s="8"/>
      <c r="H7" t="inlineStr" s="8">
        <is>
          <t>BANCO DAVIVIENDA</t>
        </is>
      </c>
      <c r="I7" s="9">
        <v>192172500.00</v>
      </c>
      <c r="J7" t="inlineStr" s="8">
        <is>
          <t>NCR4177 - NCR4183 - NCR4176 - NCR4174 - NCR4173 - NCR4175 - NCR4187CR</t>
        </is>
      </c>
      <c r="K7" t="inlineStr" s="8">
        <is>
          <t>NCR4179 - NCR4180 - NCR4186 - NCR4182 - NCR4184 - NCR4181 - NCR4185 - NCR4178</t>
        </is>
      </c>
      <c r="L7" t="inlineStr" s="8">
        <is>
          <t>FEB.10/23F - MAR.19/23F - MAR.20/23F - JUL.11/23 - JUL.28/23 - SEP.8/23F - OCT.2/23 - OCT.6/23 - OCT.13/23 - OCT.16/23 - NOV.15/23F - ENE.5/24F - ENE.14/24F - ABR.18/24F</t>
        </is>
      </c>
      <c r="M7" s="9">
        <f>5239000+4635000+134000+1276000+9001000+2284000</f>
      </c>
      <c r="N7" s="9"/>
      <c r="O7" t="inlineStr" s="8">
        <is>
          <t>OCT.29/23</t>
        </is>
      </c>
      <c r="P7" s="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>
        <v>10680000</v>
      </c>
      <c r="AE7" s="10">
        <f>5978000+6449500</f>
      </c>
      <c r="AF7" s="10"/>
      <c r="AG7" s="10"/>
      <c r="AH7" s="10"/>
      <c r="AI7" s="10"/>
      <c r="AJ7" s="10"/>
      <c r="AK7" s="10">
        <v>6717000</v>
      </c>
      <c r="AL7" s="10"/>
      <c r="AM7" s="10">
        <v>202000</v>
      </c>
      <c r="AN7" s="10"/>
      <c r="AO7" s="10">
        <f>3963000+6449000</f>
      </c>
      <c r="AP7" s="10"/>
      <c r="AQ7" s="10"/>
      <c r="AR7" s="10">
        <v>4165000</v>
      </c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>
        <v>95000000</v>
      </c>
      <c r="BF7" s="9"/>
      <c r="BG7" s="9"/>
      <c r="BH7" s="9"/>
      <c r="BI7" s="9">
        <f>SUM(M7,N7,Q7,R7,S7,T7,U7,V7,W7,X7,Y7,Z7,AA7,AB7,AC7,AD7,AE7,AF7,AG7,AH7,AI7,AJ7,AK7,AL7,AM7,AN7,AO7,AP7,AQ7,AR7,AS7,AT7,AU7,AV7,AW7,AX7,AY7,AZ7,BA7,BB7,BC7,BD7,BE7,BF7,BG7,BH7)</f>
      </c>
      <c r="BJ7" s="9">
        <f>I7-BI7</f>
      </c>
      <c r="BK7" s="9">
        <f>BJ7-BL7-BM7-BN7-BO7</f>
      </c>
      <c r="BL7" s="9"/>
      <c r="BM7" s="9"/>
      <c r="BN7" s="9"/>
      <c r="BO7" s="9"/>
      <c r="BP7" s="8"/>
      <c r="BQ7" t="inlineStr" s="8">
        <is>
          <t>2023-05-03</t>
        </is>
      </c>
      <c r="BR7" t="inlineStr" s="8">
        <is>
          <t>2023-07-11</t>
        </is>
      </c>
      <c r="BS7" t="inlineStr" s="8">
        <is>
          <t>2024-05-05</t>
        </is>
      </c>
      <c r="BT7" s="8"/>
      <c r="BU7" s="8"/>
      <c r="BV7" s="8"/>
      <c r="BW7" s="8"/>
      <c r="BX7" s="8"/>
      <c r="BY7" s="8"/>
      <c r="BZ7" s="9"/>
      <c r="CA7" s="9"/>
      <c r="CB7" t="inlineStr" s="8">
        <is>
          <t>3166223273</t>
        </is>
      </c>
      <c r="CC7" t="inlineStr" s="8">
        <is>
          <t>wolowitz.luna.73921770@example.com</t>
        </is>
      </c>
      <c r="CD7" t="inlineStr" s="8">
        <is>
          <t>FINN CEL: 3166223748</t>
        </is>
      </c>
      <c r="CE7" s="8"/>
    </row>
    <row r="8" ht="12.75" customHeight="1">
      <c r="A8" t="inlineStr" s="8">
        <is>
          <t>60007919084788</t>
        </is>
      </c>
      <c r="B8" s="8"/>
      <c r="C8" t="inlineStr" s="8">
        <is>
          <t>104</t>
        </is>
      </c>
      <c r="D8" s="9">
        <v>55.20</v>
      </c>
      <c r="E8" t="inlineStr" s="8">
        <is>
          <t>73931407</t>
        </is>
      </c>
      <c r="F8" t="inlineStr" s="8">
        <is>
          <t>DECKER MARGE</t>
        </is>
      </c>
      <c r="G8" s="8"/>
      <c r="H8" t="inlineStr" s="8">
        <is>
          <t>BANCO DE BOGOTA</t>
        </is>
      </c>
      <c r="I8" s="9">
        <v>192172500.00</v>
      </c>
      <c r="J8" t="inlineStr" s="8">
        <is>
          <t>NCR4198CR</t>
        </is>
      </c>
      <c r="K8" t="inlineStr" s="8">
        <is>
          <t>NCR4190 - NCR4197 - NCR4191 - NCR4192 - NCR4196 - NCR4194 - NCR4195 - NCR4193 - NCR4189</t>
        </is>
      </c>
      <c r="L8" t="inlineStr" s="8">
        <is>
          <t>MAR.9/22F - MAR.11/22F - MAR.28/22F - ABR.1/22F - JUL.6/22F - AGO.3/22F - AGO.25/22F - OCT.15/22F - FEB.8/23F</t>
        </is>
      </c>
      <c r="M8" s="9"/>
      <c r="N8" s="9"/>
      <c r="O8" t="inlineStr" s="8">
        <is>
          <t>MAR.2/23</t>
        </is>
      </c>
      <c r="P8" s="8"/>
      <c r="Q8" s="10"/>
      <c r="R8" s="10"/>
      <c r="S8" s="10">
        <f>16551000+288500+412000</f>
      </c>
      <c r="T8" s="10">
        <v>535000</v>
      </c>
      <c r="U8" s="10"/>
      <c r="V8" s="10"/>
      <c r="W8" s="10">
        <v>947000</v>
      </c>
      <c r="X8" s="10">
        <f>8934000+3500000</f>
      </c>
      <c r="Y8" s="10"/>
      <c r="Z8" s="10">
        <v>8976000</v>
      </c>
      <c r="AA8" s="10"/>
      <c r="AB8" s="10"/>
      <c r="AC8" s="10"/>
      <c r="AD8" s="10">
        <v>1029000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>
        <v>125000000</v>
      </c>
      <c r="BF8" s="9"/>
      <c r="BG8" s="9"/>
      <c r="BH8" s="9"/>
      <c r="BI8" s="9">
        <f>SUM(M8,N8,Q8,R8,S8,T8,U8,V8,W8,X8,Y8,Z8,AA8,AB8,AC8,AD8,AE8,AF8,AG8,AH8,AI8,AJ8,AK8,AL8,AM8,AN8,AO8,AP8,AQ8,AR8,AS8,AT8,AU8,AV8,AW8,AX8,AY8,AZ8,BA8,BB8,BC8,BD8,BE8,BF8,BG8,BH8)</f>
      </c>
      <c r="BJ8" s="9">
        <f>I8-BI8</f>
      </c>
      <c r="BK8" s="9">
        <f>BJ8-BL8-BM8-BN8-BO8</f>
      </c>
      <c r="BL8" s="9"/>
      <c r="BM8" s="9"/>
      <c r="BN8" s="9"/>
      <c r="BO8" s="9"/>
      <c r="BP8" s="8"/>
      <c r="BQ8" t="inlineStr" s="8">
        <is>
          <t>2022-05-01</t>
        </is>
      </c>
      <c r="BR8" t="inlineStr" s="8">
        <is>
          <t>2022-06-07</t>
        </is>
      </c>
      <c r="BS8" t="inlineStr" s="8">
        <is>
          <t>2023-06-17</t>
        </is>
      </c>
      <c r="BT8" s="8"/>
      <c r="BU8" s="8"/>
      <c r="BV8" s="8"/>
      <c r="BW8" s="8"/>
      <c r="BX8" s="8"/>
      <c r="BY8" s="8"/>
      <c r="BZ8" s="9"/>
      <c r="CA8" s="9"/>
      <c r="CB8" t="inlineStr" s="8">
        <is>
          <t>3166223966</t>
        </is>
      </c>
      <c r="CC8" t="inlineStr" s="8">
        <is>
          <t>decker.marge.73931407@example.com</t>
        </is>
      </c>
      <c r="CD8" t="inlineStr" s="8">
        <is>
          <t>MOUSE MICKEY CEL: 3166224788</t>
        </is>
      </c>
      <c r="CE8" s="8"/>
    </row>
    <row r="9" ht="12.75" customHeight="1">
      <c r="A9" t="inlineStr" s="8">
        <is>
          <t>60007919084791</t>
        </is>
      </c>
      <c r="B9" s="8"/>
      <c r="C9" t="inlineStr" s="8">
        <is>
          <t>105</t>
        </is>
      </c>
      <c r="D9" s="9">
        <v>55.20</v>
      </c>
      <c r="E9" t="inlineStr" s="8">
        <is>
          <t>73938112</t>
        </is>
      </c>
      <c r="F9" t="inlineStr" s="8">
        <is>
          <t>LOVEGOOD CLARK</t>
        </is>
      </c>
      <c r="G9" t="inlineStr" s="8">
        <is>
          <t>GREEN ANGELA</t>
        </is>
      </c>
      <c r="H9" t="inlineStr" s="8">
        <is>
          <t>BANCO DE BOGOTA</t>
        </is>
      </c>
      <c r="I9" s="9">
        <v>192172500.00</v>
      </c>
      <c r="J9" t="inlineStr" s="8">
        <is>
          <t>NCR4200 - NCR4201 - NCR4208CR</t>
        </is>
      </c>
      <c r="K9" t="inlineStr" s="8">
        <is>
          <t>NCR4203 - NCR4204 - NCR4202 - NCR4205 - NCR4206 - NCR4207</t>
        </is>
      </c>
      <c r="L9" t="inlineStr" s="8">
        <is>
          <t>AGO.10/22F - OCT.22/22F - DIC.18/22F - FEB.4/23F - JUN.10/23F - JUL.3/23F - SEP.5/23 - SEP.12/23</t>
        </is>
      </c>
      <c r="M9" s="9">
        <f>2915000+4178000</f>
      </c>
      <c r="N9" s="9"/>
      <c r="O9" t="inlineStr" s="8">
        <is>
          <t>JUL.20/23</t>
        </is>
      </c>
      <c r="P9" s="8"/>
      <c r="Q9" s="10"/>
      <c r="R9" s="10"/>
      <c r="S9" s="10"/>
      <c r="T9" s="10"/>
      <c r="U9" s="10"/>
      <c r="V9" s="10"/>
      <c r="W9" s="10"/>
      <c r="X9" s="10">
        <v>30901000</v>
      </c>
      <c r="Y9" s="10"/>
      <c r="Z9" s="10">
        <v>5636000</v>
      </c>
      <c r="AA9" s="10"/>
      <c r="AB9" s="10">
        <v>1749000</v>
      </c>
      <c r="AC9" s="10"/>
      <c r="AD9" s="10">
        <v>14187000</v>
      </c>
      <c r="AE9" s="10"/>
      <c r="AF9" s="10"/>
      <c r="AG9" s="10"/>
      <c r="AH9" s="10">
        <v>4276000</v>
      </c>
      <c r="AI9" s="10">
        <v>33330500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9">
        <v>65000000</v>
      </c>
      <c r="BF9" s="9"/>
      <c r="BG9" s="9"/>
      <c r="BH9" s="9"/>
      <c r="BI9" s="9">
        <f>SUM(M9,N9,Q9,R9,S9,T9,U9,V9,W9,X9,Y9,Z9,AA9,AB9,AC9,AD9,AE9,AF9,AG9,AH9,AI9,AJ9,AK9,AL9,AM9,AN9,AO9,AP9,AQ9,AR9,AS9,AT9,AU9,AV9,AW9,AX9,AY9,AZ9,BA9,BB9,BC9,BD9,BE9,BF9,BG9,BH9)</f>
      </c>
      <c r="BJ9" s="9">
        <f>I9-BI9</f>
      </c>
      <c r="BK9" s="9">
        <f>BJ9-BL9-BM9-BN9-BO9</f>
      </c>
      <c r="BL9" s="9"/>
      <c r="BM9" s="9"/>
      <c r="BN9" s="9"/>
      <c r="BO9" s="9"/>
      <c r="BP9" s="8"/>
      <c r="BQ9" t="inlineStr" s="8">
        <is>
          <t>2022-04-03</t>
        </is>
      </c>
      <c r="BR9" t="inlineStr" s="8">
        <is>
          <t>2022-07-13</t>
        </is>
      </c>
      <c r="BS9" s="8"/>
      <c r="BT9" s="8"/>
      <c r="BU9" s="8"/>
      <c r="BV9" s="8"/>
      <c r="BW9" s="8"/>
      <c r="BX9" s="8"/>
      <c r="BY9" s="8"/>
      <c r="BZ9" s="9"/>
      <c r="CA9" s="9"/>
      <c r="CB9" t="inlineStr" s="8">
        <is>
          <t>3166225044</t>
        </is>
      </c>
      <c r="CC9" t="inlineStr" s="8">
        <is>
          <t>lovegood.clark.73938112@example.com</t>
        </is>
      </c>
      <c r="CD9" t="inlineStr" s="8">
        <is>
          <t>FINN CEL: 3166225908</t>
        </is>
      </c>
      <c r="CE9" s="8"/>
    </row>
    <row r="10" ht="12.75" customHeight="1">
      <c r="A10" t="inlineStr" s="8">
        <is>
          <t>60007919084842</t>
        </is>
      </c>
      <c r="B10" s="8"/>
      <c r="C10" t="inlineStr" s="8">
        <is>
          <t>106</t>
        </is>
      </c>
      <c r="D10" s="9">
        <v>55.20</v>
      </c>
      <c r="E10" t="inlineStr" s="8">
        <is>
          <t>73955728</t>
        </is>
      </c>
      <c r="F10" t="inlineStr" s="8">
        <is>
          <t>BUELLER STEWIE</t>
        </is>
      </c>
      <c r="G10" t="inlineStr" s="8">
        <is>
          <t>SCHRUTE SANDY</t>
        </is>
      </c>
      <c r="H10" s="8"/>
      <c r="I10" s="9">
        <v>192172500.00</v>
      </c>
      <c r="J10" s="8"/>
      <c r="K10" t="inlineStr" s="8">
        <is>
          <t>NCR4212 - NCR4216 - NCR4211 - NCR4220 - NCR4218 - NCR4219 - NCR4221 - NCR4217 - NCR4215 - NCR4213 - NCR4210 - NCR4214</t>
        </is>
      </c>
      <c r="L10" t="inlineStr" s="8">
        <is>
          <t>ENE.7/22F - ENE.25/22F - FEB.7/22F - ABR.21/22F - MAY.8/22F - JUN.5/22F - JUN.27/22F - AGO.18/22F - NOV.3/22F - DIC.14/22F - MAR.3/23F - MAR.24/23F</t>
        </is>
      </c>
      <c r="M10" s="9"/>
      <c r="N10" s="9"/>
      <c r="O10" s="8"/>
      <c r="P10" s="8"/>
      <c r="Q10" s="10">
        <f>12491000+11530000</f>
      </c>
      <c r="R10" s="10">
        <v>21715000</v>
      </c>
      <c r="S10" s="10"/>
      <c r="T10" s="10">
        <v>12299000</v>
      </c>
      <c r="U10" s="10">
        <v>32861000</v>
      </c>
      <c r="V10" s="10">
        <f>31516000+14414500</f>
      </c>
      <c r="W10" s="10"/>
      <c r="X10" s="10">
        <v>4228000</v>
      </c>
      <c r="Y10" s="10"/>
      <c r="Z10" s="10"/>
      <c r="AA10" s="10">
        <v>192000</v>
      </c>
      <c r="AB10" s="10">
        <v>11723000</v>
      </c>
      <c r="AC10" s="10"/>
      <c r="AD10" s="10"/>
      <c r="AE10" s="10">
        <f>30363000+8840000</f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9"/>
      <c r="BF10" s="9"/>
      <c r="BG10" s="9"/>
      <c r="BH10" s="9"/>
      <c r="BI10" s="9">
        <f>SUM(M10,N10,Q10,R10,S10,T10,U10,V10,W10,X10,Y10,Z10,AA10,AB10,AC10,AD10,AE10,AF10,AG10,AH10,AI10,AJ10,AK10,AL10,AM10,AN10,AO10,AP10,AQ10,AR10,AS10,AT10,AU10,AV10,AW10,AX10,AY10,AZ10,BA10,BB10,BC10,BD10,BE10,BF10,BG10,BH10)</f>
      </c>
      <c r="BJ10" s="9">
        <f>I10-BI10</f>
      </c>
      <c r="BK10" s="9">
        <f>BJ10-BL10-BM10-BN10-BO10</f>
      </c>
      <c r="BL10" s="9"/>
      <c r="BM10" s="9"/>
      <c r="BN10" s="9"/>
      <c r="BO10" s="9"/>
      <c r="BP10" s="8"/>
      <c r="BQ10" t="inlineStr" s="8">
        <is>
          <t>2022-04-12</t>
        </is>
      </c>
      <c r="BR10" t="inlineStr" s="8">
        <is>
          <t>2022-07-12</t>
        </is>
      </c>
      <c r="BS10" t="inlineStr" s="8">
        <is>
          <t>2023-06-09</t>
        </is>
      </c>
      <c r="BT10" s="8"/>
      <c r="BU10" s="8"/>
      <c r="BV10" s="8"/>
      <c r="BW10" s="8"/>
      <c r="BX10" s="8"/>
      <c r="BY10" s="8"/>
      <c r="BZ10" s="9"/>
      <c r="CA10" s="9"/>
      <c r="CB10" t="inlineStr" s="8">
        <is>
          <t>3166226588</t>
        </is>
      </c>
      <c r="CC10" t="inlineStr" s="8">
        <is>
          <t>bueller.stewie.73955728@example.com</t>
        </is>
      </c>
      <c r="CD10" t="inlineStr" s="8">
        <is>
          <t>MOUSE MINNIE CEL: 3166226916</t>
        </is>
      </c>
      <c r="CE10" s="8"/>
    </row>
    <row r="11" ht="12.75" customHeight="1">
      <c r="A11" t="inlineStr" s="8">
        <is>
          <t>60007919084950</t>
        </is>
      </c>
      <c r="B11" s="8"/>
      <c r="C11" t="inlineStr" s="8">
        <is>
          <t>107</t>
        </is>
      </c>
      <c r="D11" s="9">
        <v>55.20</v>
      </c>
      <c r="E11" t="inlineStr" s="8">
        <is>
          <t>73969728</t>
        </is>
      </c>
      <c r="F11" t="inlineStr" s="8">
        <is>
          <t>DREW CLEVELAND</t>
        </is>
      </c>
      <c r="G11" s="8"/>
      <c r="H11" s="8"/>
      <c r="I11" s="9">
        <v>192172500.00</v>
      </c>
      <c r="J11" s="8"/>
      <c r="K11" t="inlineStr" s="8">
        <is>
          <t>NCR4228 - NCR4232 - NCR4224 - NCR4234 - NCR4229 - NCR4226 - NCR4223 - NCR4231 - NCR4233 - NCR4227 - NCR4225 - NCR4230</t>
        </is>
      </c>
      <c r="L11" t="inlineStr" s="8">
        <is>
          <t>JUL.15/22F - JUL.23/22F - OCT.4/22F - OCT.6/22F - OCT.18/22F - NOV.2/22F - NOV.5/22F - NOV.16/22F - DIC.26/22F - ENE.21/23F - ABR.9/23F - ABR.22/23F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/>
      <c r="W11" s="10">
        <f>4487000+26255000</f>
      </c>
      <c r="X11" s="10"/>
      <c r="Y11" s="10"/>
      <c r="Z11" s="10">
        <f>27751000+26754500+2160000</f>
      </c>
      <c r="AA11" s="10">
        <f>3157000+1163000+8807000</f>
      </c>
      <c r="AB11" s="10">
        <v>6813000</v>
      </c>
      <c r="AC11" s="10">
        <v>19608000</v>
      </c>
      <c r="AD11" s="10"/>
      <c r="AE11" s="10"/>
      <c r="AF11" s="10">
        <f>31573000+7644000</f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9"/>
      <c r="BF11" s="9"/>
      <c r="BG11" s="9"/>
      <c r="BH11" s="9"/>
      <c r="BI11" s="9">
        <f>SUM(M11,N11,Q11,R11,S11,T11,U11,V11,W11,X11,Y11,Z11,AA11,AB11,AC11,AD11,AE11,AF11,AG11,AH11,AI11,AJ11,AK11,AL11,AM11,AN11,AO11,AP11,AQ11,AR11,AS11,AT11,AU11,AV11,AW11,AX11,AY11,AZ11,BA11,BB11,BC11,BD11,BE11,BF11,BG11,BH11)</f>
      </c>
      <c r="BJ11" s="9">
        <f>I11-BI11</f>
      </c>
      <c r="BK11" s="9">
        <f>BJ11-BL11-BM11-BN11-BO11</f>
      </c>
      <c r="BL11" s="9"/>
      <c r="BM11" s="9"/>
      <c r="BN11" s="9"/>
      <c r="BO11" s="9"/>
      <c r="BP11" s="8"/>
      <c r="BQ11" t="inlineStr" s="8">
        <is>
          <t>2022-09-16</t>
        </is>
      </c>
      <c r="BR11" t="inlineStr" s="8">
        <is>
          <t>2022-12-18</t>
        </is>
      </c>
      <c r="BS11" t="inlineStr" s="8">
        <is>
          <t>2023-05-18</t>
        </is>
      </c>
      <c r="BT11" s="8"/>
      <c r="BU11" s="8"/>
      <c r="BV11" s="8"/>
      <c r="BW11" s="8"/>
      <c r="BX11" s="8"/>
      <c r="BY11" s="8"/>
      <c r="BZ11" s="9"/>
      <c r="CA11" s="9"/>
      <c r="CB11" t="inlineStr" s="8">
        <is>
          <t>3166227374</t>
        </is>
      </c>
      <c r="CC11" t="inlineStr" s="8">
        <is>
          <t>drew.cleveland.73969728@example.com</t>
        </is>
      </c>
      <c r="CD11" t="inlineStr" s="8">
        <is>
          <t>JETSON GEORGE CEL: 3166229044</t>
        </is>
      </c>
      <c r="CE11" s="8"/>
    </row>
    <row r="12" ht="12.75" customHeight="1">
      <c r="A12" s="8"/>
      <c r="B12" s="8"/>
      <c r="C12" t="inlineStr" s="8">
        <is>
          <t>201</t>
        </is>
      </c>
      <c r="D12" s="9">
        <v>55.20</v>
      </c>
      <c r="E12" s="8"/>
      <c r="F12" s="8"/>
      <c r="G12" s="8"/>
      <c r="H12" t="inlineStr" s="8">
        <is>
          <t>BANCOLOMBIA</t>
        </is>
      </c>
      <c r="I12" s="9">
        <v>192172500.00</v>
      </c>
      <c r="J12" s="8"/>
      <c r="K12" s="8"/>
      <c r="L12" s="8"/>
      <c r="M12" s="9"/>
      <c r="N12" s="9"/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9"/>
      <c r="CA12" s="9"/>
      <c r="CB12" s="8"/>
      <c r="CC12" s="8"/>
      <c r="CD12" s="8"/>
      <c r="CE12" s="8"/>
    </row>
    <row r="13" ht="12.75" customHeight="1">
      <c r="A13" t="inlineStr" s="8">
        <is>
          <t>60007919085198</t>
        </is>
      </c>
      <c r="B13" s="8"/>
      <c r="C13" t="inlineStr" s="8">
        <is>
          <t>202</t>
        </is>
      </c>
      <c r="D13" s="9">
        <v>55.20</v>
      </c>
      <c r="E13" t="inlineStr" s="8">
        <is>
          <t>73986219</t>
        </is>
      </c>
      <c r="F13" t="inlineStr" s="8">
        <is>
          <t>COOPER LISA</t>
        </is>
      </c>
      <c r="G13" s="8"/>
      <c r="H13" t="inlineStr" s="8">
        <is>
          <t>BANCO DE OCCIDENTE</t>
        </is>
      </c>
      <c r="I13" s="9">
        <v>192172500.00</v>
      </c>
      <c r="J13" t="inlineStr" s="8">
        <is>
          <t>NC4250TRASLADO - NCR4257 - NCR4258CR</t>
        </is>
      </c>
      <c r="K13" t="inlineStr" s="8">
        <is>
          <t>NCR4251 - NCR4253 - NCR4254 - NCR4252 - NCR4256 - NCR4255</t>
        </is>
      </c>
      <c r="L13" t="inlineStr" s="8">
        <is>
          <t>(OCT.27/22TRASLADO) - NOV.12/22F - DIC.22/22F - MAR.12/23F - JUN.17/23 - AGO.9/23F - NOV.17/23F - FEB.24/24F</t>
        </is>
      </c>
      <c r="M13" s="9">
        <v>24494000</v>
      </c>
      <c r="N13" s="9">
        <v>12000000</v>
      </c>
      <c r="O13" t="inlineStr" s="8">
        <is>
          <t>MAR.26/23</t>
        </is>
      </c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12124000</v>
      </c>
      <c r="AB13" s="10">
        <v>4948000</v>
      </c>
      <c r="AC13" s="10"/>
      <c r="AD13" s="10"/>
      <c r="AE13" s="10">
        <v>4256000</v>
      </c>
      <c r="AF13" s="10"/>
      <c r="AG13" s="10"/>
      <c r="AH13" s="10"/>
      <c r="AI13" s="10"/>
      <c r="AJ13" s="10">
        <v>2128000</v>
      </c>
      <c r="AK13" s="10"/>
      <c r="AL13" s="10"/>
      <c r="AM13" s="10">
        <v>594000</v>
      </c>
      <c r="AN13" s="10"/>
      <c r="AO13" s="10"/>
      <c r="AP13" s="10">
        <v>940000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9">
        <v>80000000</v>
      </c>
      <c r="BF13" s="9"/>
      <c r="BG13" s="9"/>
      <c r="BH13" s="9"/>
      <c r="BI13" s="9">
        <f>SUM(M13,N13,Q13,R13,S13,T13,U13,V13,W13,X13,Y13,Z13,AA13,AB13,AC13,AD13,AE13,AF13,AG13,AH13,AI13,AJ13,AK13,AL13,AM13,AN13,AO13,AP13,AQ13,AR13,AS13,AT13,AU13,AV13,AW13,AX13,AY13,AZ13,BA13,BB13,BC13,BD13,BE13,BF13,BG13,BH13)</f>
      </c>
      <c r="BJ13" s="9">
        <f>I13-BI13</f>
      </c>
      <c r="BK13" s="9">
        <f>BJ13-BL13-BM13-BN13-BO13</f>
      </c>
      <c r="BL13" s="9"/>
      <c r="BM13" s="9"/>
      <c r="BN13" s="9"/>
      <c r="BO13" s="9"/>
      <c r="BP13" s="8"/>
      <c r="BQ13" t="inlineStr" s="8">
        <is>
          <t>2022-09-22</t>
        </is>
      </c>
      <c r="BR13" t="inlineStr" s="8">
        <is>
          <t>2022-10-17</t>
        </is>
      </c>
      <c r="BS13" s="8"/>
      <c r="BT13" s="8"/>
      <c r="BU13" s="8"/>
      <c r="BV13" s="8"/>
      <c r="BW13" s="8"/>
      <c r="BX13" s="8"/>
      <c r="BY13" s="8"/>
      <c r="BZ13" s="9"/>
      <c r="CA13" s="9"/>
      <c r="CB13" t="inlineStr" s="8">
        <is>
          <t>3166230778</t>
        </is>
      </c>
      <c r="CC13" t="inlineStr" s="8">
        <is>
          <t>cooper.lisa.73986219@example.com</t>
        </is>
      </c>
      <c r="CD13" t="inlineStr" s="8">
        <is>
          <t>JETSON GEORGE CEL: 3166231275</t>
        </is>
      </c>
      <c r="CE13" t="inlineStr" s="8">
        <is>
          <t>NC4250 OCT.27/22 TRASLADO DE SAUL BUFFAY A LISA COOPER *ANTIC $12.000.000 *ARRAS $4'640</t>
        </is>
      </c>
    </row>
    <row r="14" ht="12.75" customHeight="1">
      <c r="A14" t="inlineStr" s="8">
        <is>
          <t>60007919085344</t>
        </is>
      </c>
      <c r="B14" s="8"/>
      <c r="C14" t="inlineStr" s="8">
        <is>
          <t>203</t>
        </is>
      </c>
      <c r="D14" s="9">
        <v>55.20</v>
      </c>
      <c r="E14" t="inlineStr" s="8">
        <is>
          <t>73997540</t>
        </is>
      </c>
      <c r="F14" t="inlineStr" s="8">
        <is>
          <t>SNOW RACHEL</t>
        </is>
      </c>
      <c r="G14" s="8"/>
      <c r="H14" t="inlineStr" s="8">
        <is>
          <t>BANCO DE BOGOTA</t>
        </is>
      </c>
      <c r="I14" s="9">
        <v>192172500.00</v>
      </c>
      <c r="J14" t="inlineStr" s="8">
        <is>
          <t>NC4261TRASLADO - NCR4273CR</t>
        </is>
      </c>
      <c r="K14" t="inlineStr" s="8">
        <is>
          <t>NCR4266 - NCR4264 - NCR4265 - NCR4267 - NCR4262 - NCR4263 - NCR4269 - NCR4268 - NCR4272 - NCR4271 - NCR4270</t>
        </is>
      </c>
      <c r="L14" t="inlineStr" s="8">
        <is>
          <t>ABR.8/22F - MAY.12/22F - (JUN.19/22TRASLADO) - AGO.13/22F - AGO.20/22F - SEP.2/22F - SEP.5/22F - SEP.14/22F - NOV.7/22F - DIC.4/22F - FEB.10/23F - FEB.23/23F</t>
        </is>
      </c>
      <c r="M14" s="9"/>
      <c r="N14" s="9">
        <v>15000000</v>
      </c>
      <c r="O14" t="inlineStr" s="8">
        <is>
          <t>SEP.13/22</t>
        </is>
      </c>
      <c r="P14" s="8"/>
      <c r="Q14" s="10"/>
      <c r="R14" s="10"/>
      <c r="S14" s="10"/>
      <c r="T14" s="10">
        <v>806000</v>
      </c>
      <c r="U14" s="10">
        <v>7658000</v>
      </c>
      <c r="V14" s="10"/>
      <c r="W14" s="10"/>
      <c r="X14" s="10">
        <f>11957000+3090000</f>
      </c>
      <c r="Y14" s="10">
        <f>403000+5710000+3291000</f>
      </c>
      <c r="Z14" s="10"/>
      <c r="AA14" s="10">
        <v>15987000</v>
      </c>
      <c r="AB14" s="10">
        <v>13097500</v>
      </c>
      <c r="AC14" s="10"/>
      <c r="AD14" s="10">
        <f>269000+4904000</f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>
        <v>95000000</v>
      </c>
      <c r="BF14" s="9"/>
      <c r="BG14" s="9"/>
      <c r="BH14" s="9"/>
      <c r="BI14" s="9">
        <f>SUM(M14,N14,Q14,R14,S14,T14,U14,V14,W14,X14,Y14,Z14,AA14,AB14,AC14,AD14,AE14,AF14,AG14,AH14,AI14,AJ14,AK14,AL14,AM14,AN14,AO14,AP14,AQ14,AR14,AS14,AT14,AU14,AV14,AW14,AX14,AY14,AZ14,BA14,BB14,BC14,BD14,BE14,BF14,BG14,BH14)</f>
      </c>
      <c r="BJ14" s="9">
        <f>I14-BI14</f>
      </c>
      <c r="BK14" s="9">
        <f>BJ14-BL14-BM14-BN14-BO14</f>
      </c>
      <c r="BL14" s="9"/>
      <c r="BM14" s="9"/>
      <c r="BN14" s="9"/>
      <c r="BO14" s="9"/>
      <c r="BP14" s="8"/>
      <c r="BQ14" t="inlineStr" s="8">
        <is>
          <t>2022-06-04</t>
        </is>
      </c>
      <c r="BR14" t="inlineStr" s="8">
        <is>
          <t>2022-06-29</t>
        </is>
      </c>
      <c r="BS14" s="8"/>
      <c r="BT14" s="8"/>
      <c r="BU14" s="8"/>
      <c r="BV14" s="8"/>
      <c r="BW14" s="8"/>
      <c r="BX14" s="8"/>
      <c r="BY14" s="8"/>
      <c r="BZ14" s="9"/>
      <c r="CA14" s="9"/>
      <c r="CB14" t="inlineStr" s="8">
        <is>
          <t>3166232139</t>
        </is>
      </c>
      <c r="CC14" t="inlineStr" s="8">
        <is>
          <t>snow.rachel.73997540@example.com</t>
        </is>
      </c>
      <c r="CD14" t="inlineStr" s="8">
        <is>
          <t>JAKE CEL: 3166232514</t>
        </is>
      </c>
      <c r="CE14" t="inlineStr" s="8">
        <is>
          <t>NC4261 JUN.19/22 TRASLADO DE FERRIS MAYFIELD A RACHEL SNOW *ANTIC $15.000.000 *ARRAS $4'640</t>
        </is>
      </c>
    </row>
    <row r="15" ht="12.75" customHeight="1">
      <c r="A15" t="inlineStr" s="8">
        <is>
          <t>60007919085414</t>
        </is>
      </c>
      <c r="B15" s="8"/>
      <c r="C15" t="inlineStr" s="8">
        <is>
          <t>204</t>
        </is>
      </c>
      <c r="D15" s="9">
        <v>55.20</v>
      </c>
      <c r="E15" t="inlineStr" s="8">
        <is>
          <t>73999617</t>
        </is>
      </c>
      <c r="F15" t="inlineStr" s="8">
        <is>
          <t>JANE HOMER</t>
        </is>
      </c>
      <c r="G15" s="8"/>
      <c r="H15" s="8"/>
      <c r="I15" s="9">
        <v>192172500.00</v>
      </c>
      <c r="J15" t="inlineStr" s="8">
        <is>
          <t>NCR4282 - NCR4279</t>
        </is>
      </c>
      <c r="K15" t="inlineStr" s="8">
        <is>
          <t>NCR4278 - NCR4280 - NCR4276 - NCR4275 - NCR4277 - NCR4286 - NCR4283 - NCR4284 - NCR4285 - NCR4281</t>
        </is>
      </c>
      <c r="L15" t="inlineStr" s="8">
        <is>
          <t>SEP.22/22F - SEP.25/22F - OCT.25/22F - OCT.27/22F - OCT.28/22F - DIC.12/22F - MAR.6/23F - MAR.7/23F - ABR.7/23F - MAY.5/23F - JUN.12/23 - JUN.13/23</t>
        </is>
      </c>
      <c r="M15" s="9">
        <f>12629000+11300000</f>
      </c>
      <c r="N15" s="9"/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>
        <f>32071000+17116000</f>
      </c>
      <c r="Z15" s="10">
        <f>14291000+166000+22766000</f>
      </c>
      <c r="AA15" s="10"/>
      <c r="AB15" s="10">
        <v>1494500</v>
      </c>
      <c r="AC15" s="10"/>
      <c r="AD15" s="10"/>
      <c r="AE15" s="10">
        <f>7644000+20605000</f>
      </c>
      <c r="AF15" s="10">
        <v>11134000</v>
      </c>
      <c r="AG15" s="10">
        <v>14956000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/>
      <c r="BF15" s="9"/>
      <c r="BG15" s="9"/>
      <c r="BH15" s="9"/>
      <c r="BI15" s="9">
        <f>SUM(M15,N15,Q15,R15,S15,T15,U15,V15,W15,X15,Y15,Z15,AA15,AB15,AC15,AD15,AE15,AF15,AG15,AH15,AI15,AJ15,AK15,AL15,AM15,AN15,AO15,AP15,AQ15,AR15,AS15,AT15,AU15,AV15,AW15,AX15,AY15,AZ15,BA15,BB15,BC15,BD15,BE15,BF15,BG15,BH15)</f>
      </c>
      <c r="BJ15" s="9">
        <f>I15-BI15</f>
      </c>
      <c r="BK15" s="9">
        <f>BJ15-BL15-BM15-BN15-BO15</f>
      </c>
      <c r="BL15" s="9"/>
      <c r="BM15" s="9"/>
      <c r="BN15" s="9"/>
      <c r="BO15" s="9"/>
      <c r="BP15" s="8"/>
      <c r="BQ15" t="inlineStr" s="8">
        <is>
          <t>2022-08-18</t>
        </is>
      </c>
      <c r="BR15" t="inlineStr" s="8">
        <is>
          <t>2022-11-18</t>
        </is>
      </c>
      <c r="BS15" s="8"/>
      <c r="BT15" s="8"/>
      <c r="BU15" s="8"/>
      <c r="BV15" s="8"/>
      <c r="BW15" s="8"/>
      <c r="BX15" s="8"/>
      <c r="BY15" s="8"/>
      <c r="BZ15" s="9"/>
      <c r="CA15" s="9"/>
      <c r="CB15" t="inlineStr" s="8">
        <is>
          <t>3166233234</t>
        </is>
      </c>
      <c r="CC15" t="inlineStr" s="8">
        <is>
          <t>jane.homer.73999617@example.com</t>
        </is>
      </c>
      <c r="CD15" t="inlineStr" s="8">
        <is>
          <t>MOUSE MICKEY CEL: 3166233397</t>
        </is>
      </c>
      <c r="CE15" s="8"/>
    </row>
    <row r="16" ht="12.75" customHeight="1">
      <c r="A16" t="inlineStr" s="8">
        <is>
          <t>60007919085510</t>
        </is>
      </c>
      <c r="B16" s="8"/>
      <c r="C16" t="inlineStr" s="8">
        <is>
          <t>205</t>
        </is>
      </c>
      <c r="D16" s="9">
        <v>55.20</v>
      </c>
      <c r="E16" t="inlineStr" s="8">
        <is>
          <t>74010741</t>
        </is>
      </c>
      <c r="F16" t="inlineStr" s="8">
        <is>
          <t>TARGARYEN HAN</t>
        </is>
      </c>
      <c r="G16" s="8"/>
      <c r="H16" t="inlineStr" s="8">
        <is>
          <t>BANCOLOMBIA</t>
        </is>
      </c>
      <c r="I16" s="9">
        <v>192172500.00</v>
      </c>
      <c r="J16" t="inlineStr" s="8">
        <is>
          <t>NC4288CESION - NCR4289CR</t>
        </is>
      </c>
      <c r="K16" s="8"/>
      <c r="L16" t="inlineStr" s="8">
        <is>
          <t>(ENE.5/24CESION)</t>
        </is>
      </c>
      <c r="M16" s="9"/>
      <c r="N16" s="9">
        <v>18000000</v>
      </c>
      <c r="O16" t="inlineStr" s="8">
        <is>
          <t>ENE.14/24</t>
        </is>
      </c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>
        <v>21970333</v>
      </c>
      <c r="BF16" s="9"/>
      <c r="BG16" s="9"/>
      <c r="BH16" s="9"/>
      <c r="BI16" s="9">
        <f>SUM(M16,N16,Q16,R16,S16,T16,U16,V16,W16,X16,Y16,Z16,AA16,AB16,AC16,AD16,AE16,AF16,AG16,AH16,AI16,AJ16,AK16,AL16,AM16,AN16,AO16,AP16,AQ16,AR16,AS16,AT16,AU16,AV16,AW16,AX16,AY16,AZ16,BA16,BB16,BC16,BD16,BE16,BF16,BG16,BH16)</f>
      </c>
      <c r="BJ16" s="9">
        <f>I16-BI16</f>
      </c>
      <c r="BK16" s="9">
        <f>BJ16-BL16-BM16-BN16-BO16</f>
      </c>
      <c r="BL16" s="9"/>
      <c r="BM16" s="9"/>
      <c r="BN16" s="9"/>
      <c r="BO16" s="9"/>
      <c r="BP16" s="8"/>
      <c r="BQ16" t="inlineStr" s="8">
        <is>
          <t>2023-08-08</t>
        </is>
      </c>
      <c r="BR16" t="inlineStr" s="8">
        <is>
          <t>2023-09-22</t>
        </is>
      </c>
      <c r="BS16" s="8"/>
      <c r="BT16" s="8"/>
      <c r="BU16" s="8"/>
      <c r="BV16" s="8"/>
      <c r="BW16" s="8"/>
      <c r="BX16" s="8"/>
      <c r="BY16" s="8"/>
      <c r="BZ16" s="9"/>
      <c r="CA16" s="9"/>
      <c r="CB16" t="inlineStr" s="8">
        <is>
          <t>3166234837</t>
        </is>
      </c>
      <c r="CC16" t="inlineStr" s="8">
        <is>
          <t>targaryen.han.74010741@example.com</t>
        </is>
      </c>
      <c r="CD16" t="inlineStr" s="8">
        <is>
          <t>JAKE CEL: 3166235440</t>
        </is>
      </c>
      <c r="CE16" t="inlineStr" s="8">
        <is>
          <t>NC4288 ENE.5/24 CESION DE LISA EHRMANTRAUT A HAN TARGARYEN *ANTIC $18.000.000 *ARRAS $4'640</t>
        </is>
      </c>
    </row>
    <row r="17" ht="12.75" customHeight="1">
      <c r="A17" t="inlineStr" s="8">
        <is>
          <t>60007919085522</t>
        </is>
      </c>
      <c r="B17" s="8"/>
      <c r="C17" t="inlineStr" s="8">
        <is>
          <t>206</t>
        </is>
      </c>
      <c r="D17" s="9">
        <v>55.20</v>
      </c>
      <c r="E17" t="inlineStr" s="8">
        <is>
          <t>74014319</t>
        </is>
      </c>
      <c r="F17" t="inlineStr" s="8">
        <is>
          <t>DREW SAMWISE</t>
        </is>
      </c>
      <c r="G17" s="8"/>
      <c r="H17" t="inlineStr" s="8">
        <is>
          <t>BANCO DE OCCIDENTE</t>
        </is>
      </c>
      <c r="I17" s="9">
        <v>192172500.00</v>
      </c>
      <c r="J17" t="inlineStr" s="8">
        <is>
          <t>NCR4291 - NCR4293 - NCR4292 - NCR4295CR</t>
        </is>
      </c>
      <c r="K17" t="inlineStr" s="8">
        <is>
          <t>NCR4294</t>
        </is>
      </c>
      <c r="L17" t="inlineStr" s="8">
        <is>
          <t>JUL.12/23 - JUL.23/23 - JUL.26/23 - NOV.20/23F</t>
        </is>
      </c>
      <c r="M17" s="9">
        <f>6104000+34972000+44129000</f>
      </c>
      <c r="N17" s="9"/>
      <c r="O17" t="inlineStr" s="8">
        <is>
          <t>NOV.14/23</t>
        </is>
      </c>
      <c r="P17" s="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>
        <v>41967966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>
        <v>65000000</v>
      </c>
      <c r="BF17" s="9"/>
      <c r="BG17" s="9"/>
      <c r="BH17" s="9"/>
      <c r="BI17" s="9">
        <f>SUM(M17,N17,Q17,R17,S17,T17,U17,V17,W17,X17,Y17,Z17,AA17,AB17,AC17,AD17,AE17,AF17,AG17,AH17,AI17,AJ17,AK17,AL17,AM17,AN17,AO17,AP17,AQ17,AR17,AS17,AT17,AU17,AV17,AW17,AX17,AY17,AZ17,BA17,BB17,BC17,BD17,BE17,BF17,BG17,BH17)</f>
      </c>
      <c r="BJ17" s="9">
        <f>I17-BI17</f>
      </c>
      <c r="BK17" s="9">
        <f>BJ17-BL17-BM17-BN17-BO17</f>
      </c>
      <c r="BL17" s="9"/>
      <c r="BM17" s="9"/>
      <c r="BN17" s="9"/>
      <c r="BO17" s="9"/>
      <c r="BP17" s="8"/>
      <c r="BQ17" t="inlineStr" s="8">
        <is>
          <t>2023-08-04</t>
        </is>
      </c>
      <c r="BR17" t="inlineStr" s="8">
        <is>
          <t>2023-09-07</t>
        </is>
      </c>
      <c r="BS17" s="8"/>
      <c r="BT17" s="8"/>
      <c r="BU17" s="8"/>
      <c r="BV17" s="8"/>
      <c r="BW17" s="8"/>
      <c r="BX17" s="8"/>
      <c r="BY17" s="8"/>
      <c r="BZ17" s="9"/>
      <c r="CA17" s="9"/>
      <c r="CB17" t="inlineStr" s="8">
        <is>
          <t>3166236367</t>
        </is>
      </c>
      <c r="CC17" t="inlineStr" s="8">
        <is>
          <t>drew.samwise.74014319@example.com</t>
        </is>
      </c>
      <c r="CD17" t="inlineStr" s="8">
        <is>
          <t>FINN CEL: 3166236555</t>
        </is>
      </c>
      <c r="CE17" s="8"/>
    </row>
    <row r="18" ht="12.75" customHeight="1">
      <c r="A18" t="inlineStr" s="8">
        <is>
          <t>60007919085599</t>
        </is>
      </c>
      <c r="B18" s="8"/>
      <c r="C18" t="inlineStr" s="8">
        <is>
          <t>207</t>
        </is>
      </c>
      <c r="D18" s="9">
        <v>55.20</v>
      </c>
      <c r="E18" t="inlineStr" s="8">
        <is>
          <t>74015478</t>
        </is>
      </c>
      <c r="F18" t="inlineStr" s="8">
        <is>
          <t>STARK MICHAEL</t>
        </is>
      </c>
      <c r="G18" s="8"/>
      <c r="H18" t="inlineStr" s="8">
        <is>
          <t>BANCO DE OCCIDENTE</t>
        </is>
      </c>
      <c r="I18" s="9">
        <v>192172500.00</v>
      </c>
      <c r="J18" t="inlineStr" s="8">
        <is>
          <t>NCR4304CR</t>
        </is>
      </c>
      <c r="K18" t="inlineStr" s="8">
        <is>
          <t>NCR4296 - NCR4300 - NCR4303 - NCR4302 - NCR4299 - NCR4298 - NCR4301 - NCR4297</t>
        </is>
      </c>
      <c r="L18" t="inlineStr" s="8">
        <is>
          <t>AGO.21/22F - NOV.13/22F - NOV.18/22F - NOV.26/22F - DIC.18/22F - FEB.18/23F - JUL.21/23F - AGO.5/23F</t>
        </is>
      </c>
      <c r="M18" s="9"/>
      <c r="N18" s="9"/>
      <c r="O18" t="inlineStr" s="8">
        <is>
          <t>MAR.8/23</t>
        </is>
      </c>
      <c r="P18" s="8"/>
      <c r="Q18" s="10"/>
      <c r="R18" s="10"/>
      <c r="S18" s="10"/>
      <c r="T18" s="10"/>
      <c r="U18" s="10"/>
      <c r="V18" s="10"/>
      <c r="W18" s="10"/>
      <c r="X18" s="10">
        <v>457000</v>
      </c>
      <c r="Y18" s="10"/>
      <c r="Z18" s="10"/>
      <c r="AA18" s="10">
        <f>10052000+6321000+152000</f>
      </c>
      <c r="AB18" s="10">
        <v>10661000</v>
      </c>
      <c r="AC18" s="10"/>
      <c r="AD18" s="10">
        <v>9519000</v>
      </c>
      <c r="AE18" s="10"/>
      <c r="AF18" s="10"/>
      <c r="AG18" s="10"/>
      <c r="AH18" s="10"/>
      <c r="AI18" s="10">
        <v>32897000</v>
      </c>
      <c r="AJ18" s="10">
        <v>6092000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9">
        <v>80000000</v>
      </c>
      <c r="BF18" s="9"/>
      <c r="BG18" s="9"/>
      <c r="BH18" s="9"/>
      <c r="BI18" s="9">
        <f>SUM(M18,N18,Q18,R18,S18,T18,U18,V18,W18,X18,Y18,Z18,AA18,AB18,AC18,AD18,AE18,AF18,AG18,AH18,AI18,AJ18,AK18,AL18,AM18,AN18,AO18,AP18,AQ18,AR18,AS18,AT18,AU18,AV18,AW18,AX18,AY18,AZ18,BA18,BB18,BC18,BD18,BE18,BF18,BG18,BH18)</f>
      </c>
      <c r="BJ18" s="9">
        <f>I18-BI18</f>
      </c>
      <c r="BK18" s="9">
        <f>BJ18-BL18-BM18-BN18-BO18</f>
      </c>
      <c r="BL18" s="9"/>
      <c r="BM18" s="9"/>
      <c r="BN18" s="9"/>
      <c r="BO18" s="9"/>
      <c r="BP18" s="8"/>
      <c r="BQ18" t="inlineStr" s="8">
        <is>
          <t>2022-07-16</t>
        </is>
      </c>
      <c r="BR18" t="inlineStr" s="8">
        <is>
          <t>2022-09-24</t>
        </is>
      </c>
      <c r="BS18" s="8"/>
      <c r="BT18" s="8"/>
      <c r="BU18" s="8"/>
      <c r="BV18" s="8"/>
      <c r="BW18" s="8"/>
      <c r="BX18" s="8"/>
      <c r="BY18" s="8"/>
      <c r="BZ18" s="9"/>
      <c r="CA18" s="9"/>
      <c r="CB18" t="inlineStr" s="8">
        <is>
          <t>3166236890</t>
        </is>
      </c>
      <c r="CC18" t="inlineStr" s="8">
        <is>
          <t>stark.michael.74015478@example.com</t>
        </is>
      </c>
      <c r="CD18" t="inlineStr" s="8">
        <is>
          <t>JETSON GEORGE CEL: 3166237739</t>
        </is>
      </c>
      <c r="CE18" s="8"/>
    </row>
    <row r="19" ht="12.75" customHeight="1">
      <c r="A19" t="inlineStr" s="8">
        <is>
          <t>60007919085788</t>
        </is>
      </c>
      <c r="B19" s="8"/>
      <c r="C19" t="inlineStr" s="8">
        <is>
          <t>301</t>
        </is>
      </c>
      <c r="D19" s="9">
        <v>55.20</v>
      </c>
      <c r="E19" t="inlineStr" s="8">
        <is>
          <t>74022732</t>
        </is>
      </c>
      <c r="F19" t="inlineStr" s="8">
        <is>
          <t>SKYWALKER ARYA</t>
        </is>
      </c>
      <c r="G19" s="8"/>
      <c r="H19" t="inlineStr" s="8">
        <is>
          <t>BANCO CAJA SOCIAL</t>
        </is>
      </c>
      <c r="I19" s="9">
        <v>192172500.00</v>
      </c>
      <c r="J19" t="inlineStr" s="8">
        <is>
          <t>NCR4305 - NCR4308 - NCR4310 - NCR4311 - NCR4314CR</t>
        </is>
      </c>
      <c r="K19" t="inlineStr" s="8">
        <is>
          <t>NCR4309 - NCR4312 - NCR4307 - NCR4313 - NCR4306</t>
        </is>
      </c>
      <c r="L19" t="inlineStr" s="8">
        <is>
          <t>NOV.17/23 - DIC.24/23 - ENE.1/24F - ENE.4/24F - ENE.11/24F - JUN.10/24 - JUN.13/24F - JUN.20/24F - JUN.24/24</t>
        </is>
      </c>
      <c r="M19" s="9">
        <f>20437000+101000+13152000+23776000</f>
      </c>
      <c r="N19" s="9"/>
      <c r="O19" t="inlineStr" s="8">
        <is>
          <t>ABR.3/24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>
        <f>2023000+9510000+1113000</f>
      </c>
      <c r="AP19" s="10"/>
      <c r="AQ19" s="10"/>
      <c r="AR19" s="10"/>
      <c r="AS19" s="10"/>
      <c r="AT19" s="10">
        <f>21550000+9510500</f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9">
        <v>65000000</v>
      </c>
      <c r="BF19" s="9"/>
      <c r="BG19" s="9"/>
      <c r="BH19" s="9"/>
      <c r="BI19" s="9">
        <f>SUM(M19,N19,Q19,R19,S19,T19,U19,V19,W19,X19,Y19,Z19,AA19,AB19,AC19,AD19,AE19,AF19,AG19,AH19,AI19,AJ19,AK19,AL19,AM19,AN19,AO19,AP19,AQ19,AR19,AS19,AT19,AU19,AV19,AW19,AX19,AY19,AZ19,BA19,BB19,BC19,BD19,BE19,BF19,BG19,BH19)</f>
      </c>
      <c r="BJ19" s="9">
        <f>I19-BI19</f>
      </c>
      <c r="BK19" s="9">
        <f>BJ19-BL19-BM19-BN19-BO19</f>
      </c>
      <c r="BL19" s="9"/>
      <c r="BM19" s="9"/>
      <c r="BN19" s="9"/>
      <c r="BO19" s="9"/>
      <c r="BP19" s="8"/>
      <c r="BQ19" t="inlineStr" s="8">
        <is>
          <t>2023-11-20</t>
        </is>
      </c>
      <c r="BR19" t="inlineStr" s="8">
        <is>
          <t>2024-01-04</t>
        </is>
      </c>
      <c r="BS19" t="inlineStr" s="8">
        <is>
          <t>2024-08-16</t>
        </is>
      </c>
      <c r="BT19" s="8"/>
      <c r="BU19" s="8"/>
      <c r="BV19" s="8"/>
      <c r="BW19" s="8"/>
      <c r="BX19" s="8"/>
      <c r="BY19" s="8"/>
      <c r="BZ19" s="9"/>
      <c r="CA19" s="9"/>
      <c r="CB19" t="inlineStr" s="8">
        <is>
          <t>3166237991</t>
        </is>
      </c>
      <c r="CC19" t="inlineStr" s="8">
        <is>
          <t>skywalker.arya.74022732@example.com</t>
        </is>
      </c>
      <c r="CD19" t="inlineStr" s="8">
        <is>
          <t>JAKE CEL: 3166238675</t>
        </is>
      </c>
      <c r="CE19" s="8"/>
    </row>
    <row r="20" ht="12.75" customHeight="1">
      <c r="A20" t="inlineStr" s="8">
        <is>
          <t>60007919085849</t>
        </is>
      </c>
      <c r="B20" s="8"/>
      <c r="C20" t="inlineStr" s="8">
        <is>
          <t>302</t>
        </is>
      </c>
      <c r="D20" s="9">
        <v>55.20</v>
      </c>
      <c r="E20" t="inlineStr" s="8">
        <is>
          <t>74029552</t>
        </is>
      </c>
      <c r="F20" t="inlineStr" s="8">
        <is>
          <t>JANE HERCULE</t>
        </is>
      </c>
      <c r="G20" t="inlineStr" s="8">
        <is>
          <t>ROMANOFF SUMMER</t>
        </is>
      </c>
      <c r="H20" t="inlineStr" s="8">
        <is>
          <t>BANCO DE OCCIDENTE</t>
        </is>
      </c>
      <c r="I20" s="9">
        <v>192172500.00</v>
      </c>
      <c r="J20" t="inlineStr" s="8">
        <is>
          <t>NCR4318 - NCR4327 - NC4316CESION - NCR4325 - NCR4326 - NCR4324 - NCR4329CR</t>
        </is>
      </c>
      <c r="K20" t="inlineStr" s="8">
        <is>
          <t>NCR4320 - NCR4321 - NCR4328 - NCR4317 - NCR4319 - NCR4323 - NCR4322</t>
        </is>
      </c>
      <c r="L20" t="inlineStr" s="8">
        <is>
          <t>ABR.2/23F - ABR.18/23F - MAY.16/23F - JUN.6/23 - JUN.21/23 - JUN.24/23F - JUN.28/23F - (AGO.28/23CESION) - SEP.18/23 - NOV.11/23 - NOV.20/23 - DIC.12/23F - MAR.17/24F</t>
        </is>
      </c>
      <c r="M20" s="9">
        <f>763000+1204000+346000+330000+858000</f>
      </c>
      <c r="N20" s="9">
        <v>15000000</v>
      </c>
      <c r="O20" t="inlineStr" s="8">
        <is>
          <t>DIC.8/24</t>
        </is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f>732000+1062000</f>
      </c>
      <c r="AG20" s="10">
        <v>94334</v>
      </c>
      <c r="AH20" s="10">
        <f>488000+252000</f>
      </c>
      <c r="AI20" s="10"/>
      <c r="AJ20" s="10"/>
      <c r="AK20" s="10"/>
      <c r="AL20" s="10"/>
      <c r="AM20" s="10"/>
      <c r="AN20" s="10">
        <v>511000</v>
      </c>
      <c r="AO20" s="10"/>
      <c r="AP20" s="10"/>
      <c r="AQ20" s="10">
        <v>1227000</v>
      </c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9">
        <v>18933666</v>
      </c>
      <c r="BF20" s="9"/>
      <c r="BG20" s="9"/>
      <c r="BH20" s="9"/>
      <c r="BI20" s="9">
        <f>SUM(M20,N20,Q20,R20,S20,T20,U20,V20,W20,X20,Y20,Z20,AA20,AB20,AC20,AD20,AE20,AF20,AG20,AH20,AI20,AJ20,AK20,AL20,AM20,AN20,AO20,AP20,AQ20,AR20,AS20,AT20,AU20,AV20,AW20,AX20,AY20,AZ20,BA20,BB20,BC20,BD20,BE20,BF20,BG20,BH20)</f>
      </c>
      <c r="BJ20" s="9">
        <f>I20-BI20</f>
      </c>
      <c r="BK20" s="9">
        <f>BJ20-BL20-BM20-BN20-BO20</f>
      </c>
      <c r="BL20" s="9"/>
      <c r="BM20" s="9"/>
      <c r="BN20" s="9"/>
      <c r="BO20" s="9"/>
      <c r="BP20" s="8"/>
      <c r="BQ20" t="inlineStr" s="8">
        <is>
          <t>2023-03-31</t>
        </is>
      </c>
      <c r="BR20" t="inlineStr" s="8">
        <is>
          <t>2023-07-11</t>
        </is>
      </c>
      <c r="BS20" s="8"/>
      <c r="BT20" s="8"/>
      <c r="BU20" s="8"/>
      <c r="BV20" s="8"/>
      <c r="BW20" s="8"/>
      <c r="BX20" s="8"/>
      <c r="BY20" s="8"/>
      <c r="BZ20" s="9"/>
      <c r="CA20" s="9"/>
      <c r="CB20" t="inlineStr" s="8">
        <is>
          <t>3166239386</t>
        </is>
      </c>
      <c r="CC20" t="inlineStr" s="8">
        <is>
          <t>jane.hercule.74029552@example.com</t>
        </is>
      </c>
      <c r="CD20" t="inlineStr" s="8">
        <is>
          <t>MOUSE MICKEY CEL: 3166240440</t>
        </is>
      </c>
      <c r="CE20" s="8"/>
    </row>
    <row r="21" ht="12.75" customHeight="1">
      <c r="A21" t="inlineStr" s="8">
        <is>
          <t>60007919086012</t>
        </is>
      </c>
      <c r="B21" s="8"/>
      <c r="C21" t="inlineStr" s="8">
        <is>
          <t>303</t>
        </is>
      </c>
      <c r="D21" s="9">
        <v>55.20</v>
      </c>
      <c r="E21" t="inlineStr" s="8">
        <is>
          <t>74047121</t>
        </is>
      </c>
      <c r="F21" t="inlineStr" s="8">
        <is>
          <t>GRIFFIN GUSTAVO</t>
        </is>
      </c>
      <c r="G21" s="8"/>
      <c r="H21" t="inlineStr" s="8">
        <is>
          <t>BBVA</t>
        </is>
      </c>
      <c r="I21" s="9">
        <v>192172500.00</v>
      </c>
      <c r="J21" t="inlineStr" s="8">
        <is>
          <t>NC4331TRASLADO - NCR4332CR</t>
        </is>
      </c>
      <c r="K21" s="8"/>
      <c r="L21" t="inlineStr" s="8">
        <is>
          <t>(OCT.31/24TRASLADO)</t>
        </is>
      </c>
      <c r="M21" s="9"/>
      <c r="N21" s="9">
        <v>25000000</v>
      </c>
      <c r="O21" t="inlineStr" s="8">
        <is>
          <t>FEB.8/24</t>
        </is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9">
        <v>95000000</v>
      </c>
      <c r="BF21" s="9"/>
      <c r="BG21" s="9"/>
      <c r="BH21" s="9"/>
      <c r="BI21" s="9">
        <f>SUM(M21,N21,Q21,R21,S21,T21,U21,V21,W21,X21,Y21,Z21,AA21,AB21,AC21,AD21,AE21,AF21,AG21,AH21,AI21,AJ21,AK21,AL21,AM21,AN21,AO21,AP21,AQ21,AR21,AS21,AT21,AU21,AV21,AW21,AX21,AY21,AZ21,BA21,BB21,BC21,BD21,BE21,BF21,BG21,BH21)</f>
      </c>
      <c r="BJ21" s="9">
        <f>I21-BI21</f>
      </c>
      <c r="BK21" s="9">
        <f>BJ21-BL21-BM21-BN21-BO21</f>
      </c>
      <c r="BL21" s="9"/>
      <c r="BM21" s="9"/>
      <c r="BN21" s="9"/>
      <c r="BO21" s="9"/>
      <c r="BP21" s="8"/>
      <c r="BQ21" t="inlineStr" s="8">
        <is>
          <t>2023-07-28</t>
        </is>
      </c>
      <c r="BR21" t="inlineStr" s="8">
        <is>
          <t>2023-10-26</t>
        </is>
      </c>
      <c r="BS21" s="8"/>
      <c r="BT21" s="8"/>
      <c r="BU21" s="8"/>
      <c r="BV21" s="8"/>
      <c r="BW21" s="8"/>
      <c r="BX21" s="8"/>
      <c r="BY21" s="8"/>
      <c r="BZ21" s="9"/>
      <c r="CA21" s="9"/>
      <c r="CB21" t="inlineStr" s="8">
        <is>
          <t>3166242044</t>
        </is>
      </c>
      <c r="CC21" t="inlineStr" s="8">
        <is>
          <t>griffin.gustavo.74047121@example.com</t>
        </is>
      </c>
      <c r="CD21" t="inlineStr" s="8">
        <is>
          <t>FINN CEL: 3166242642</t>
        </is>
      </c>
      <c r="CE21" t="inlineStr" s="8">
        <is>
          <t>NC4331 OCT.31/24 TRASLADO DE HOMER GREENLEAF/NANCY HALPERT A GUSTAVO GRIFFIN *ANTIC $25.000.000 *ARRAS $4'640</t>
        </is>
      </c>
    </row>
    <row r="22" ht="12.75" customHeight="1">
      <c r="A22" t="inlineStr" s="8">
        <is>
          <t>60007919086097</t>
        </is>
      </c>
      <c r="B22" s="8"/>
      <c r="C22" t="inlineStr" s="8">
        <is>
          <t>304</t>
        </is>
      </c>
      <c r="D22" s="9">
        <v>55.20</v>
      </c>
      <c r="E22" t="inlineStr" s="8">
        <is>
          <t>74058001</t>
        </is>
      </c>
      <c r="F22" t="inlineStr" s="8">
        <is>
          <t>KRABS HERMIONE</t>
        </is>
      </c>
      <c r="G22" s="8"/>
      <c r="H22" s="8"/>
      <c r="I22" s="9">
        <v>192172500.00</v>
      </c>
      <c r="J22" t="inlineStr" s="8">
        <is>
          <t>NC4333CESION - NCR4335</t>
        </is>
      </c>
      <c r="K22" t="inlineStr" s="8">
        <is>
          <t>NCR4339 - NCR4334 - NCR4338 - NCR4336 - NCR4337</t>
        </is>
      </c>
      <c r="L22" t="inlineStr" s="8">
        <is>
          <t>NOV.16/22F - (ENE.7/23CESION) - JUN.22/23 - SEP.10/23F - DIC.2/23F - JUL.4/24F - AGO.3/24F</t>
        </is>
      </c>
      <c r="M22" s="9">
        <v>37116000</v>
      </c>
      <c r="N22" s="9">
        <v>12000000</v>
      </c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3062500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48466000</v>
      </c>
      <c r="AL22" s="10"/>
      <c r="AM22" s="10"/>
      <c r="AN22" s="10">
        <v>27026000</v>
      </c>
      <c r="AO22" s="10"/>
      <c r="AP22" s="10"/>
      <c r="AQ22" s="10"/>
      <c r="AR22" s="10"/>
      <c r="AS22" s="10"/>
      <c r="AT22" s="10"/>
      <c r="AU22" s="10">
        <v>36395000</v>
      </c>
      <c r="AV22" s="10">
        <v>28107214</v>
      </c>
      <c r="AW22" s="10"/>
      <c r="AX22" s="10"/>
      <c r="AY22" s="10"/>
      <c r="AZ22" s="10"/>
      <c r="BA22" s="10"/>
      <c r="BB22" s="10"/>
      <c r="BC22" s="10"/>
      <c r="BD22" s="10"/>
      <c r="BE22" s="9"/>
      <c r="BF22" s="9"/>
      <c r="BG22" s="9"/>
      <c r="BH22" s="9"/>
      <c r="BI22" s="9">
        <f>SUM(M22,N22,Q22,R22,S22,T22,U22,V22,W22,X22,Y22,Z22,AA22,AB22,AC22,AD22,AE22,AF22,AG22,AH22,AI22,AJ22,AK22,AL22,AM22,AN22,AO22,AP22,AQ22,AR22,AS22,AT22,AU22,AV22,AW22,AX22,AY22,AZ22,BA22,BB22,BC22,BD22,BE22,BF22,BG22,BH22)</f>
      </c>
      <c r="BJ22" s="9">
        <f>I22-BI22</f>
      </c>
      <c r="BK22" s="9">
        <f>BJ22-BL22-BM22-BN22-BO22</f>
      </c>
      <c r="BL22" s="9"/>
      <c r="BM22" s="9"/>
      <c r="BN22" s="9"/>
      <c r="BO22" s="9"/>
      <c r="BP22" s="8"/>
      <c r="BQ22" t="inlineStr" s="8">
        <is>
          <t>2022-12-15</t>
        </is>
      </c>
      <c r="BR22" t="inlineStr" s="8">
        <is>
          <t>2023-03-31</t>
        </is>
      </c>
      <c r="BS22" s="8"/>
      <c r="BT22" s="8"/>
      <c r="BU22" s="8"/>
      <c r="BV22" s="8"/>
      <c r="BW22" s="8"/>
      <c r="BX22" s="8"/>
      <c r="BY22" s="8"/>
      <c r="BZ22" s="9"/>
      <c r="CA22" s="9"/>
      <c r="CB22" t="inlineStr" s="8">
        <is>
          <t>3166244457</t>
        </is>
      </c>
      <c r="CC22" t="inlineStr" s="8">
        <is>
          <t>krabs.hermione.74058001@example.com</t>
        </is>
      </c>
      <c r="CD22" t="inlineStr" s="8">
        <is>
          <t>DUCK DAFFY CEL: 3166244485</t>
        </is>
      </c>
      <c r="CE22" t="inlineStr" s="8">
        <is>
          <t>NC4333 ENE.7/23 CESION DE SAUL MALFOY/WALTER GAMGEE A HERMIONE KRABS *ANTIC $12.000.000 *ARRAS $4'640</t>
        </is>
      </c>
    </row>
    <row r="23" ht="12.75" customHeight="1">
      <c r="A23" t="inlineStr" s="8">
        <is>
          <t>60007919086198</t>
        </is>
      </c>
      <c r="B23" s="8"/>
      <c r="C23" t="inlineStr" s="8">
        <is>
          <t>305</t>
        </is>
      </c>
      <c r="D23" s="9">
        <v>55.20</v>
      </c>
      <c r="E23" t="inlineStr" s="8">
        <is>
          <t>74065030</t>
        </is>
      </c>
      <c r="F23" t="inlineStr" s="8">
        <is>
          <t>LANNISTER DAENERYS</t>
        </is>
      </c>
      <c r="G23" t="inlineStr" s="8">
        <is>
          <t>COOPER FERRIS</t>
        </is>
      </c>
      <c r="H23" t="inlineStr" s="8">
        <is>
          <t>BANCOLOMBIA</t>
        </is>
      </c>
      <c r="I23" s="9">
        <v>192172500.00</v>
      </c>
      <c r="J23" t="inlineStr" s="8">
        <is>
          <t>NCR4343 - NCR4346 - NCR4341 - NCR4349 - NCR4350CR</t>
        </is>
      </c>
      <c r="K23" t="inlineStr" s="8">
        <is>
          <t>NCR4344 - NCR4347 - NCR4342 - NCR4345 - NCR4348</t>
        </is>
      </c>
      <c r="L23" t="inlineStr" s="8">
        <is>
          <t>OCT.15/23 - NOV.11/23 - DIC.1/23 - DIC.11/23 - DIC.22/23F - MAR.9/24F - MAR.19/24F - OCT.10/24F - ABR.2/25F</t>
        </is>
      </c>
      <c r="M23" s="9">
        <f>2387000+12413000+4509000+3447000</f>
      </c>
      <c r="N23" s="9"/>
      <c r="O23" t="inlineStr" s="8">
        <is>
          <t>NOV.3/24</t>
        </is>
      </c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>
        <v>902000</v>
      </c>
      <c r="AO23" s="10"/>
      <c r="AP23" s="10"/>
      <c r="AQ23" s="10">
        <f>796000+557000</f>
      </c>
      <c r="AR23" s="10"/>
      <c r="AS23" s="10"/>
      <c r="AT23" s="10"/>
      <c r="AU23" s="10"/>
      <c r="AV23" s="10"/>
      <c r="AW23" s="10"/>
      <c r="AX23" s="10">
        <v>1300000</v>
      </c>
      <c r="AY23" s="10"/>
      <c r="AZ23" s="10"/>
      <c r="BA23" s="10"/>
      <c r="BB23" s="10"/>
      <c r="BC23" s="10">
        <v>212000</v>
      </c>
      <c r="BD23" s="10"/>
      <c r="BE23" s="9">
        <v>65000000</v>
      </c>
      <c r="BF23" s="9"/>
      <c r="BG23" s="9"/>
      <c r="BH23" s="9"/>
      <c r="BI23" s="9">
        <f>SUM(M23,N23,Q23,R23,S23,T23,U23,V23,W23,X23,Y23,Z23,AA23,AB23,AC23,AD23,AE23,AF23,AG23,AH23,AI23,AJ23,AK23,AL23,AM23,AN23,AO23,AP23,AQ23,AR23,AS23,AT23,AU23,AV23,AW23,AX23,AY23,AZ23,BA23,BB23,BC23,BD23,BE23,BF23,BG23,BH23)</f>
      </c>
      <c r="BJ23" s="9">
        <f>I23-BI23</f>
      </c>
      <c r="BK23" s="9">
        <f>BJ23-BL23-BM23-BN23-BO23</f>
      </c>
      <c r="BL23" s="9"/>
      <c r="BM23" s="9"/>
      <c r="BN23" s="9"/>
      <c r="BO23" s="9"/>
      <c r="BP23" s="8"/>
      <c r="BQ23" t="inlineStr" s="8">
        <is>
          <t>2023-12-01</t>
        </is>
      </c>
      <c r="BR23" t="inlineStr" s="8">
        <is>
          <t>2024-01-13</t>
        </is>
      </c>
      <c r="BS23" s="8"/>
      <c r="BT23" s="8"/>
      <c r="BU23" s="8"/>
      <c r="BV23" s="8"/>
      <c r="BW23" s="8"/>
      <c r="BX23" s="8"/>
      <c r="BY23" s="8"/>
      <c r="BZ23" s="9"/>
      <c r="CA23" s="9"/>
      <c r="CB23" t="inlineStr" s="8">
        <is>
          <t>3166245418</t>
        </is>
      </c>
      <c r="CC23" t="inlineStr" s="8">
        <is>
          <t>lannister.daenerys.74065030@example.com</t>
        </is>
      </c>
      <c r="CD23" t="inlineStr" s="8">
        <is>
          <t>PANTHER PINK CEL: 3166246299</t>
        </is>
      </c>
      <c r="CE23" s="8"/>
    </row>
    <row r="24" ht="12.75" customHeight="1">
      <c r="A24" t="inlineStr" s="8">
        <is>
          <t>60007919086248</t>
        </is>
      </c>
      <c r="B24" s="8"/>
      <c r="C24" t="inlineStr" s="8">
        <is>
          <t>306</t>
        </is>
      </c>
      <c r="D24" s="9">
        <v>55.20</v>
      </c>
      <c r="E24" t="inlineStr" s="8">
        <is>
          <t>74080103</t>
        </is>
      </c>
      <c r="F24" t="inlineStr" s="8">
        <is>
          <t>KOOTHRAPPALI MARGE</t>
        </is>
      </c>
      <c r="G24" s="8"/>
      <c r="H24" t="inlineStr" s="8">
        <is>
          <t>BANCO CAJA SOCIAL</t>
        </is>
      </c>
      <c r="I24" s="9">
        <v>192172500.00</v>
      </c>
      <c r="J24" t="inlineStr" s="8">
        <is>
          <t>NCR4354 - NCR4359 - NCR4366 - NCR4357 - NCR4362 - NCR4363 - NCR4364 - NCR4360 - NCR4361 - NCR4367CR</t>
        </is>
      </c>
      <c r="K24" t="inlineStr" s="8">
        <is>
          <t>NCR4356 - NCR4353 - NCR4358 - NCR4365 - NCR4355</t>
        </is>
      </c>
      <c r="L24" t="inlineStr" s="8">
        <is>
          <t>OCT.3/23 - OCT.4/23 - OCT.17/23 - NOV.16/23 - NOV.18/23 - NOV.19/23 - NOV.19/23 - ENE.11/24F - MAR.1/24F - ABR.20/24F - ABR.21/24F - MAY.1/24F - JUN.2/24 - JUN.18/24</t>
        </is>
      </c>
      <c r="M24" s="9">
        <f>3591000+4998000+1232000+282000+3872000+2147000+528000+1408000+1725000</f>
      </c>
      <c r="N24" s="9"/>
      <c r="O24" t="inlineStr" s="8">
        <is>
          <t>MAY.19/24</t>
        </is>
      </c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>
        <v>2605000</v>
      </c>
      <c r="AP24" s="10"/>
      <c r="AQ24" s="10">
        <v>563000</v>
      </c>
      <c r="AR24" s="10">
        <f>3661000+1760000</f>
      </c>
      <c r="AS24" s="10">
        <v>6829000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>
        <v>110000000</v>
      </c>
      <c r="BF24" s="9"/>
      <c r="BG24" s="9"/>
      <c r="BH24" s="9"/>
      <c r="BI24" s="9">
        <f>SUM(M24,N24,Q24,R24,S24,T24,U24,V24,W24,X24,Y24,Z24,AA24,AB24,AC24,AD24,AE24,AF24,AG24,AH24,AI24,AJ24,AK24,AL24,AM24,AN24,AO24,AP24,AQ24,AR24,AS24,AT24,AU24,AV24,AW24,AX24,AY24,AZ24,BA24,BB24,BC24,BD24,BE24,BF24,BG24,BH24)</f>
      </c>
      <c r="BJ24" s="9">
        <f>I24-BI24</f>
      </c>
      <c r="BK24" s="9">
        <f>BJ24-BL24-BM24-BN24-BO24</f>
      </c>
      <c r="BL24" s="9"/>
      <c r="BM24" s="9"/>
      <c r="BN24" s="9"/>
      <c r="BO24" s="9"/>
      <c r="BP24" s="8"/>
      <c r="BQ24" t="inlineStr" s="8">
        <is>
          <t>2023-10-01</t>
        </is>
      </c>
      <c r="BR24" t="inlineStr" s="8">
        <is>
          <t>2023-10-13</t>
        </is>
      </c>
      <c r="BS24" s="8"/>
      <c r="BT24" s="8"/>
      <c r="BU24" s="8"/>
      <c r="BV24" s="8"/>
      <c r="BW24" s="8"/>
      <c r="BX24" s="8"/>
      <c r="BY24" s="8"/>
      <c r="BZ24" s="9"/>
      <c r="CA24" s="9"/>
      <c r="CB24" t="inlineStr" s="8">
        <is>
          <t>3166246366</t>
        </is>
      </c>
      <c r="CC24" t="inlineStr" s="8">
        <is>
          <t>koothrappali.marge.74080103@example.com</t>
        </is>
      </c>
      <c r="CD24" t="inlineStr" s="8">
        <is>
          <t>DUCK DAFFY CEL: 3166247286</t>
        </is>
      </c>
      <c r="CE24" s="8"/>
    </row>
    <row r="25" ht="12.75" customHeight="1">
      <c r="A25" t="inlineStr" s="8">
        <is>
          <t>60007919086257</t>
        </is>
      </c>
      <c r="B25" s="8"/>
      <c r="C25" t="inlineStr" s="8">
        <is>
          <t>307</t>
        </is>
      </c>
      <c r="D25" s="9">
        <v>55.20</v>
      </c>
      <c r="E25" t="inlineStr" s="8">
        <is>
          <t>74084543</t>
        </is>
      </c>
      <c r="F25" t="inlineStr" s="8">
        <is>
          <t>GAMGEE CHANDLER</t>
        </is>
      </c>
      <c r="G25" s="8"/>
      <c r="H25" t="inlineStr" s="8">
        <is>
          <t>BANCO DE BOGOTA</t>
        </is>
      </c>
      <c r="I25" s="9">
        <v>192172500.00</v>
      </c>
      <c r="J25" t="inlineStr" s="8">
        <is>
          <t>NCR4370 - NCR4379CR</t>
        </is>
      </c>
      <c r="K25" t="inlineStr" s="8">
        <is>
          <t>NCR4371 - NCR4369 - NCR4377 - NCR4378 - NCR4373 - NCR4374 - NCR4372 - NCR4375 - NCR4376</t>
        </is>
      </c>
      <c r="L25" t="inlineStr" s="8">
        <is>
          <t>AGO.25/22F - NOV.3/22F - ENE.8/23F - ENE.20/23F - ENE.26/23F - FEB.11/23F - ABR.27/23F - JUN.17/23F - JUL.11/23 - JUL.23/23F</t>
        </is>
      </c>
      <c r="M25" s="9">
        <v>6867000</v>
      </c>
      <c r="N25" s="9"/>
      <c r="O25" t="inlineStr" s="8">
        <is>
          <t>AGO.15/23</t>
        </is>
      </c>
      <c r="P25" s="8"/>
      <c r="Q25" s="10"/>
      <c r="R25" s="10"/>
      <c r="S25" s="10"/>
      <c r="T25" s="10"/>
      <c r="U25" s="10"/>
      <c r="V25" s="10"/>
      <c r="W25" s="10"/>
      <c r="X25" s="10">
        <v>763000</v>
      </c>
      <c r="Y25" s="10"/>
      <c r="Z25" s="10"/>
      <c r="AA25" s="10">
        <v>20475000</v>
      </c>
      <c r="AB25" s="10"/>
      <c r="AC25" s="10">
        <f>7630000+33700500+9284000</f>
      </c>
      <c r="AD25" s="10">
        <v>9665000</v>
      </c>
      <c r="AE25" s="10"/>
      <c r="AF25" s="10">
        <v>7885000</v>
      </c>
      <c r="AG25" s="10"/>
      <c r="AH25" s="10">
        <v>28868000</v>
      </c>
      <c r="AI25" s="10">
        <v>2035982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>
        <v>65000000</v>
      </c>
      <c r="BF25" s="9"/>
      <c r="BG25" s="9"/>
      <c r="BH25" s="9"/>
      <c r="BI25" s="9">
        <f>SUM(M25,N25,Q25,R25,S25,T25,U25,V25,W25,X25,Y25,Z25,AA25,AB25,AC25,AD25,AE25,AF25,AG25,AH25,AI25,AJ25,AK25,AL25,AM25,AN25,AO25,AP25,AQ25,AR25,AS25,AT25,AU25,AV25,AW25,AX25,AY25,AZ25,BA25,BB25,BC25,BD25,BE25,BF25,BG25,BH25)</f>
      </c>
      <c r="BJ25" s="9">
        <f>I25-BI25</f>
      </c>
      <c r="BK25" s="9">
        <f>BJ25-BL25-BM25-BN25-BO25</f>
      </c>
      <c r="BL25" s="9"/>
      <c r="BM25" s="9"/>
      <c r="BN25" s="9"/>
      <c r="BO25" s="9"/>
      <c r="BP25" s="8"/>
      <c r="BQ25" t="inlineStr" s="8">
        <is>
          <t>2022-08-12</t>
        </is>
      </c>
      <c r="BR25" t="inlineStr" s="8">
        <is>
          <t>2022-09-17</t>
        </is>
      </c>
      <c r="BS25" s="8"/>
      <c r="BT25" s="8"/>
      <c r="BU25" s="8"/>
      <c r="BV25" s="8"/>
      <c r="BW25" s="8"/>
      <c r="BX25" s="8"/>
      <c r="BY25" s="8"/>
      <c r="BZ25" s="9"/>
      <c r="CA25" s="9"/>
      <c r="CB25" t="inlineStr" s="8">
        <is>
          <t>3166247633</t>
        </is>
      </c>
      <c r="CC25" t="inlineStr" s="8">
        <is>
          <t>gamgee.chandler.74084543@example.com</t>
        </is>
      </c>
      <c r="CD25" t="inlineStr" s="8">
        <is>
          <t>PANTHER PINK CEL: 3166248041</t>
        </is>
      </c>
      <c r="CE25" s="8"/>
    </row>
    <row r="26" ht="12.75" customHeight="1">
      <c r="A26" t="inlineStr" s="8">
        <is>
          <t>60007919086285</t>
        </is>
      </c>
      <c r="B26" s="8"/>
      <c r="C26" t="inlineStr" s="8">
        <is>
          <t>401</t>
        </is>
      </c>
      <c r="D26" s="9">
        <v>55.20</v>
      </c>
      <c r="E26" t="inlineStr" s="8">
        <is>
          <t>74099446</t>
        </is>
      </c>
      <c r="F26" t="inlineStr" s="8">
        <is>
          <t>SCHRUTE PAM</t>
        </is>
      </c>
      <c r="G26" s="8"/>
      <c r="H26" t="inlineStr" s="8">
        <is>
          <t>BANCO CAJA SOCIAL</t>
        </is>
      </c>
      <c r="I26" s="9">
        <v>192172500.00</v>
      </c>
      <c r="J26" t="inlineStr" s="8">
        <is>
          <t>NC4380TRASLADO - NCR4381 - NCR4384 - NCR4383 - NCR4382 - NCR4385CR</t>
        </is>
      </c>
      <c r="K26" s="8"/>
      <c r="L26" t="inlineStr" s="8">
        <is>
          <t>(MAY.30/23TRASLADO) - SEP.8/23 - SEP.14/23 - SEP.24/23 - SEP.26/23</t>
        </is>
      </c>
      <c r="M26" s="9">
        <f>569000+9168334+7217000+3375000</f>
      </c>
      <c r="N26" s="9">
        <v>15000000</v>
      </c>
      <c r="O26" t="inlineStr" s="8">
        <is>
          <t>JUN.29/23</t>
        </is>
      </c>
      <c r="P26" s="8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9">
        <v>27664666</v>
      </c>
      <c r="BF26" s="9"/>
      <c r="BG26" s="9"/>
      <c r="BH26" s="9"/>
      <c r="BI26" s="9">
        <f>SUM(M26,N26,Q26,R26,S26,T26,U26,V26,W26,X26,Y26,Z26,AA26,AB26,AC26,AD26,AE26,AF26,AG26,AH26,AI26,AJ26,AK26,AL26,AM26,AN26,AO26,AP26,AQ26,AR26,AS26,AT26,AU26,AV26,AW26,AX26,AY26,AZ26,BA26,BB26,BC26,BD26,BE26,BF26,BG26,BH26)</f>
      </c>
      <c r="BJ26" s="9">
        <f>I26-BI26</f>
      </c>
      <c r="BK26" s="9">
        <f>BJ26-BL26-BM26-BN26-BO26</f>
      </c>
      <c r="BL26" s="9"/>
      <c r="BM26" s="9"/>
      <c r="BN26" s="9"/>
      <c r="BO26" s="9"/>
      <c r="BP26" s="8"/>
      <c r="BQ26" t="inlineStr" s="8">
        <is>
          <t>2022-03-30</t>
        </is>
      </c>
      <c r="BR26" t="inlineStr" s="8">
        <is>
          <t>2022-06-27</t>
        </is>
      </c>
      <c r="BS26" s="8"/>
      <c r="BT26" s="8"/>
      <c r="BU26" s="8"/>
      <c r="BV26" s="8"/>
      <c r="BW26" s="8"/>
      <c r="BX26" s="8"/>
      <c r="BY26" s="8"/>
      <c r="BZ26" s="9"/>
      <c r="CA26" s="9"/>
      <c r="CB26" t="inlineStr" s="8">
        <is>
          <t>3166249575</t>
        </is>
      </c>
      <c r="CC26" t="inlineStr" s="8">
        <is>
          <t>schrute.pam.74099446@example.com</t>
        </is>
      </c>
      <c r="CD26" t="inlineStr" s="8">
        <is>
          <t>FLINTSTONE FRED CEL: 3166250424</t>
        </is>
      </c>
      <c r="CE26" t="inlineStr" s="8">
        <is>
          <t>NC4380 MAY.30/23 TRASLADO DE SHERLOCK KENOBI/MONICA SQUAREPANTS A PAM SCHRUTE *ANTIC $15.000.000 *ARRAS $4'640</t>
        </is>
      </c>
    </row>
    <row r="27" ht="12.75" customHeight="1">
      <c r="A27" t="inlineStr" s="8">
        <is>
          <t>60007919086351</t>
        </is>
      </c>
      <c r="B27" s="8"/>
      <c r="C27" t="inlineStr" s="8">
        <is>
          <t>402</t>
        </is>
      </c>
      <c r="D27" s="9">
        <v>55.20</v>
      </c>
      <c r="E27" t="inlineStr" s="8">
        <is>
          <t>74105921</t>
        </is>
      </c>
      <c r="F27" t="inlineStr" s="8">
        <is>
          <t>BYERS RON</t>
        </is>
      </c>
      <c r="G27" t="inlineStr" s="8">
        <is>
          <t>POTTER CHLOE</t>
        </is>
      </c>
      <c r="H27" t="inlineStr" s="8">
        <is>
          <t>BANCOLOMBIA</t>
        </is>
      </c>
      <c r="I27" s="9">
        <v>192172500.00</v>
      </c>
      <c r="J27" t="inlineStr" s="8">
        <is>
          <t>NCR4393CR</t>
        </is>
      </c>
      <c r="K27" t="inlineStr" s="8">
        <is>
          <t>NCR4389 - NCR4392 - NCR4391 - NCR4390</t>
        </is>
      </c>
      <c r="L27" t="inlineStr" s="8">
        <is>
          <t>JUN.4/22F - OCT.9/22F - ENE.3/23F - NOV.22/23F</t>
        </is>
      </c>
      <c r="M27" s="9"/>
      <c r="N27" s="9"/>
      <c r="O27" t="inlineStr" s="8">
        <is>
          <t>ENE.23/24</t>
        </is>
      </c>
      <c r="P27" s="8"/>
      <c r="Q27" s="10"/>
      <c r="R27" s="10"/>
      <c r="S27" s="10"/>
      <c r="T27" s="10"/>
      <c r="U27" s="10"/>
      <c r="V27" s="10">
        <v>3774000</v>
      </c>
      <c r="W27" s="10"/>
      <c r="X27" s="10"/>
      <c r="Y27" s="10"/>
      <c r="Z27" s="10">
        <v>19906500</v>
      </c>
      <c r="AA27" s="10"/>
      <c r="AB27" s="10"/>
      <c r="AC27" s="10">
        <v>4953000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>
        <v>18539082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>
        <v>125000000</v>
      </c>
      <c r="BF27" s="9"/>
      <c r="BG27" s="9"/>
      <c r="BH27" s="9"/>
      <c r="BI27" s="9">
        <f>SUM(M27,N27,Q27,R27,S27,T27,U27,V27,W27,X27,Y27,Z27,AA27,AB27,AC27,AD27,AE27,AF27,AG27,AH27,AI27,AJ27,AK27,AL27,AM27,AN27,AO27,AP27,AQ27,AR27,AS27,AT27,AU27,AV27,AW27,AX27,AY27,AZ27,BA27,BB27,BC27,BD27,BE27,BF27,BG27,BH27)</f>
      </c>
      <c r="BJ27" s="9">
        <f>I27-BI27</f>
      </c>
      <c r="BK27" s="9">
        <f>BJ27-BL27-BM27-BN27-BO27</f>
      </c>
      <c r="BL27" s="9"/>
      <c r="BM27" s="9"/>
      <c r="BN27" s="9"/>
      <c r="BO27" s="9"/>
      <c r="BP27" s="8"/>
      <c r="BQ27" t="inlineStr" s="8">
        <is>
          <t>2022-08-23</t>
        </is>
      </c>
      <c r="BR27" t="inlineStr" s="8">
        <is>
          <t>2022-12-17</t>
        </is>
      </c>
      <c r="BS27" t="inlineStr" s="8">
        <is>
          <t>2024-06-20</t>
        </is>
      </c>
      <c r="BT27" s="8"/>
      <c r="BU27" s="8"/>
      <c r="BV27" s="8"/>
      <c r="BW27" s="8"/>
      <c r="BX27" s="8"/>
      <c r="BY27" s="8"/>
      <c r="BZ27" s="9"/>
      <c r="CA27" s="9"/>
      <c r="CB27" t="inlineStr" s="8">
        <is>
          <t>3166251085</t>
        </is>
      </c>
      <c r="CC27" t="inlineStr" s="8">
        <is>
          <t>byers.ron.74105921@example.com</t>
        </is>
      </c>
      <c r="CD27" t="inlineStr" s="8">
        <is>
          <t>PANTHER PINK CEL: 3166252225</t>
        </is>
      </c>
      <c r="CE27" s="8"/>
    </row>
    <row r="28" ht="12.75" customHeight="1">
      <c r="A28" t="inlineStr" s="8">
        <is>
          <t>60007919086521</t>
        </is>
      </c>
      <c r="B28" s="8"/>
      <c r="C28" t="inlineStr" s="8">
        <is>
          <t>403</t>
        </is>
      </c>
      <c r="D28" s="9">
        <v>55.20</v>
      </c>
      <c r="E28" t="inlineStr" s="8">
        <is>
          <t>74123336</t>
        </is>
      </c>
      <c r="F28" t="inlineStr" s="8">
        <is>
          <t>GRIFFIN LEGOLAS</t>
        </is>
      </c>
      <c r="G28" s="8"/>
      <c r="H28" t="inlineStr" s="8">
        <is>
          <t>BANCO DE OCCIDENTE</t>
        </is>
      </c>
      <c r="I28" s="9">
        <v>192172500.00</v>
      </c>
      <c r="J28" t="inlineStr" s="8">
        <is>
          <t>NC4395CESION - NCR4405CR</t>
        </is>
      </c>
      <c r="K28" t="inlineStr" s="8">
        <is>
          <t>NCR4404 - NCR4403 - NCR4402 - NCR4399 - NCR4400 - NCR4398 - NCR4396 - NCR4397 - NCR4401</t>
        </is>
      </c>
      <c r="L28" t="inlineStr" s="8">
        <is>
          <t>ABR.24/22F - (AGO.12/22CESION) - OCT.11/22F - OCT.18/22F - NOV.19/22F - FEB.6/23F - JUN.6/23F - JUN.9/23F - JUN.23/23F - JUL.15/23F</t>
        </is>
      </c>
      <c r="M28" s="9"/>
      <c r="N28" s="9">
        <v>15000000</v>
      </c>
      <c r="O28" t="inlineStr" s="8">
        <is>
          <t>AGO.5/22</t>
        </is>
      </c>
      <c r="P28" s="8"/>
      <c r="Q28" s="10"/>
      <c r="R28" s="10"/>
      <c r="S28" s="10"/>
      <c r="T28" s="10">
        <v>712000</v>
      </c>
      <c r="U28" s="10"/>
      <c r="V28" s="10"/>
      <c r="W28" s="10"/>
      <c r="X28" s="10"/>
      <c r="Y28" s="10"/>
      <c r="Z28" s="10">
        <f>181000+2031000</f>
      </c>
      <c r="AA28" s="10">
        <v>447000</v>
      </c>
      <c r="AB28" s="10"/>
      <c r="AC28" s="10"/>
      <c r="AD28" s="10">
        <v>3115000</v>
      </c>
      <c r="AE28" s="10"/>
      <c r="AF28" s="10"/>
      <c r="AG28" s="10"/>
      <c r="AH28" s="10">
        <f>1053000+2371000+372000</f>
      </c>
      <c r="AI28" s="10">
        <v>351000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9">
        <v>65000000</v>
      </c>
      <c r="BF28" s="9"/>
      <c r="BG28" s="9"/>
      <c r="BH28" s="9"/>
      <c r="BI28" s="9">
        <f>SUM(M28,N28,Q28,R28,S28,T28,U28,V28,W28,X28,Y28,Z28,AA28,AB28,AC28,AD28,AE28,AF28,AG28,AH28,AI28,AJ28,AK28,AL28,AM28,AN28,AO28,AP28,AQ28,AR28,AS28,AT28,AU28,AV28,AW28,AX28,AY28,AZ28,BA28,BB28,BC28,BD28,BE28,BF28,BG28,BH28)</f>
      </c>
      <c r="BJ28" s="9">
        <f>I28-BI28</f>
      </c>
      <c r="BK28" s="9">
        <f>BJ28-BL28-BM28-BN28-BO28</f>
      </c>
      <c r="BL28" s="9"/>
      <c r="BM28" s="9"/>
      <c r="BN28" s="9"/>
      <c r="BO28" s="9"/>
      <c r="BP28" s="8"/>
      <c r="BQ28" t="inlineStr" s="8">
        <is>
          <t>2022-04-12</t>
        </is>
      </c>
      <c r="BR28" t="inlineStr" s="8">
        <is>
          <t>2022-07-13</t>
        </is>
      </c>
      <c r="BS28" s="8"/>
      <c r="BT28" s="8"/>
      <c r="BU28" s="8"/>
      <c r="BV28" s="8"/>
      <c r="BW28" s="8"/>
      <c r="BX28" s="8"/>
      <c r="BY28" s="8"/>
      <c r="BZ28" s="9"/>
      <c r="CA28" s="9"/>
      <c r="CB28" t="inlineStr" s="8">
        <is>
          <t>3166253229</t>
        </is>
      </c>
      <c r="CC28" t="inlineStr" s="8">
        <is>
          <t>griffin.legolas.74123336@example.com</t>
        </is>
      </c>
      <c r="CD28" t="inlineStr" s="8">
        <is>
          <t>BUNNY BUGS CEL: 3166254043</t>
        </is>
      </c>
      <c r="CE28" t="inlineStr" s="8">
        <is>
          <t>NC4395 AGO.12/22 CESION DE WALTER EHRMANTRAUT A LEGOLAS GRIFFIN *ANTIC $15.000.000 *ARRAS $4'640</t>
        </is>
      </c>
    </row>
    <row r="29" ht="12.75" customHeight="1">
      <c r="A29" t="inlineStr" s="8">
        <is>
          <t>60007919086692</t>
        </is>
      </c>
      <c r="B29" s="8"/>
      <c r="C29" t="inlineStr" s="8">
        <is>
          <t>404</t>
        </is>
      </c>
      <c r="D29" s="9">
        <v>55.20</v>
      </c>
      <c r="E29" t="inlineStr" s="8">
        <is>
          <t>74126056</t>
        </is>
      </c>
      <c r="F29" t="inlineStr" s="8">
        <is>
          <t>BUFFAY JOHN</t>
        </is>
      </c>
      <c r="G29" t="inlineStr" s="8">
        <is>
          <t>TENTACLES LOIS</t>
        </is>
      </c>
      <c r="H29" t="inlineStr" s="8">
        <is>
          <t>BANCO DAVIVIENDA</t>
        </is>
      </c>
      <c r="I29" s="9">
        <v>192172500.00</v>
      </c>
      <c r="J29" t="inlineStr" s="8">
        <is>
          <t>NCR4414CR</t>
        </is>
      </c>
      <c r="K29" t="inlineStr" s="8">
        <is>
          <t>NCR4411 - NCR4408 - NCR4412 - NCR4413 - NCR4410 - NCR4409</t>
        </is>
      </c>
      <c r="L29" t="inlineStr" s="8">
        <is>
          <t>MAY.11/22F - MAY.14/22F - SEP.2/22F - SEP.18/22F - OCT.26/22F - DIC.18/22F</t>
        </is>
      </c>
      <c r="M29" s="9"/>
      <c r="N29" s="9"/>
      <c r="O29" t="inlineStr" s="8">
        <is>
          <t>NOV.27/22</t>
        </is>
      </c>
      <c r="P29" s="8"/>
      <c r="Q29" s="10"/>
      <c r="R29" s="10"/>
      <c r="S29" s="10"/>
      <c r="T29" s="10"/>
      <c r="U29" s="10">
        <f>11061000+22674000</f>
      </c>
      <c r="V29" s="10"/>
      <c r="W29" s="10"/>
      <c r="X29" s="10"/>
      <c r="Y29" s="10">
        <f>9678000+9125500</f>
      </c>
      <c r="Z29" s="10">
        <v>23965000</v>
      </c>
      <c r="AA29" s="10"/>
      <c r="AB29" s="10">
        <v>15669000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9">
        <v>80000000</v>
      </c>
      <c r="BF29" s="9"/>
      <c r="BG29" s="9"/>
      <c r="BH29" s="9"/>
      <c r="BI29" s="9">
        <f>SUM(M29,N29,Q29,R29,S29,T29,U29,V29,W29,X29,Y29,Z29,AA29,AB29,AC29,AD29,AE29,AF29,AG29,AH29,AI29,AJ29,AK29,AL29,AM29,AN29,AO29,AP29,AQ29,AR29,AS29,AT29,AU29,AV29,AW29,AX29,AY29,AZ29,BA29,BB29,BC29,BD29,BE29,BF29,BG29,BH29)</f>
      </c>
      <c r="BJ29" s="9">
        <f>I29-BI29</f>
      </c>
      <c r="BK29" s="9">
        <f>BJ29-BL29-BM29-BN29-BO29</f>
      </c>
      <c r="BL29" s="9"/>
      <c r="BM29" s="9"/>
      <c r="BN29" s="9"/>
      <c r="BO29" s="9"/>
      <c r="BP29" s="8"/>
      <c r="BQ29" t="inlineStr" s="8">
        <is>
          <t>2022-05-07</t>
        </is>
      </c>
      <c r="BR29" t="inlineStr" s="8">
        <is>
          <t>2022-06-14</t>
        </is>
      </c>
      <c r="BS29" s="8"/>
      <c r="BT29" s="8"/>
      <c r="BU29" s="8"/>
      <c r="BV29" s="8"/>
      <c r="BW29" s="8"/>
      <c r="BX29" s="8"/>
      <c r="BY29" s="8"/>
      <c r="BZ29" s="9"/>
      <c r="CA29" s="9"/>
      <c r="CB29" t="inlineStr" s="8">
        <is>
          <t>3166254306</t>
        </is>
      </c>
      <c r="CC29" t="inlineStr" s="8">
        <is>
          <t>buffay.john.74126056@example.com</t>
        </is>
      </c>
      <c r="CD29" t="inlineStr" s="8">
        <is>
          <t>FLINTSTONE FRED CEL: 3166255004</t>
        </is>
      </c>
      <c r="CE29" s="8"/>
    </row>
    <row r="30" ht="12.75" customHeight="1">
      <c r="A30" t="inlineStr" s="8">
        <is>
          <t>60007919086876</t>
        </is>
      </c>
      <c r="B30" s="8"/>
      <c r="C30" t="inlineStr" s="8">
        <is>
          <t>405</t>
        </is>
      </c>
      <c r="D30" s="9">
        <v>55.20</v>
      </c>
      <c r="E30" t="inlineStr" s="8">
        <is>
          <t>74146454</t>
        </is>
      </c>
      <c r="F30" t="inlineStr" s="8">
        <is>
          <t>MORNINGSTAR DAENERYS</t>
        </is>
      </c>
      <c r="G30" s="8"/>
      <c r="H30" t="inlineStr" s="8">
        <is>
          <t>BANCO DAVIVIENDA</t>
        </is>
      </c>
      <c r="I30" s="9">
        <v>192172500.00</v>
      </c>
      <c r="J30" t="inlineStr" s="8">
        <is>
          <t>NC4417TRASLADO - NCR4418CR</t>
        </is>
      </c>
      <c r="K30" s="8"/>
      <c r="L30" t="inlineStr" s="8">
        <is>
          <t>(DIC.13/22TRASLADO)</t>
        </is>
      </c>
      <c r="M30" s="9"/>
      <c r="N30" s="9">
        <v>15000000</v>
      </c>
      <c r="O30" t="inlineStr" s="8">
        <is>
          <t>ENE.30/23</t>
        </is>
      </c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9">
        <v>125000000</v>
      </c>
      <c r="BF30" s="9"/>
      <c r="BG30" s="9"/>
      <c r="BH30" s="9"/>
      <c r="BI30" s="9">
        <f>SUM(M30,N30,Q30,R30,S30,T30,U30,V30,W30,X30,Y30,Z30,AA30,AB30,AC30,AD30,AE30,AF30,AG30,AH30,AI30,AJ30,AK30,AL30,AM30,AN30,AO30,AP30,AQ30,AR30,AS30,AT30,AU30,AV30,AW30,AX30,AY30,AZ30,BA30,BB30,BC30,BD30,BE30,BF30,BG30,BH30)</f>
      </c>
      <c r="BJ30" s="9">
        <f>I30-BI30</f>
      </c>
      <c r="BK30" s="9">
        <f>BJ30-BL30-BM30-BN30-BO30</f>
      </c>
      <c r="BL30" s="9"/>
      <c r="BM30" s="9"/>
      <c r="BN30" s="9"/>
      <c r="BO30" s="9"/>
      <c r="BP30" s="8"/>
      <c r="BQ30" t="inlineStr" s="8">
        <is>
          <t>2022-07-26</t>
        </is>
      </c>
      <c r="BR30" t="inlineStr" s="8">
        <is>
          <t>2022-09-06</t>
        </is>
      </c>
      <c r="BS30" s="8"/>
      <c r="BT30" s="8"/>
      <c r="BU30" s="8"/>
      <c r="BV30" s="8"/>
      <c r="BW30" s="8"/>
      <c r="BX30" s="8"/>
      <c r="BY30" s="8"/>
      <c r="BZ30" s="9"/>
      <c r="CA30" s="9"/>
      <c r="CB30" t="inlineStr" s="8">
        <is>
          <t>3166255949</t>
        </is>
      </c>
      <c r="CC30" t="inlineStr" s="8">
        <is>
          <t>morningstar.daenerys.74146454@example.com</t>
        </is>
      </c>
      <c r="CD30" t="inlineStr" s="8">
        <is>
          <t>FINN CEL: 3166256060</t>
        </is>
      </c>
      <c r="CE30" t="inlineStr" s="8">
        <is>
          <t>NC4417 DIC.13/22 TRASLADO DE LUNA GRIFFIN A DAENERYS MORNINGSTAR *ANTIC $15.000.000 *ARRAS $4'640</t>
        </is>
      </c>
    </row>
    <row r="31" ht="12.75" customHeight="1">
      <c r="A31" t="inlineStr" s="8">
        <is>
          <t>60007919087003</t>
        </is>
      </c>
      <c r="B31" s="8"/>
      <c r="C31" t="inlineStr" s="8">
        <is>
          <t>406</t>
        </is>
      </c>
      <c r="D31" s="9">
        <v>55.20</v>
      </c>
      <c r="E31" t="inlineStr" s="8">
        <is>
          <t>74151057</t>
        </is>
      </c>
      <c r="F31" t="inlineStr" s="8">
        <is>
          <t>BUELLER GUSTAVO</t>
        </is>
      </c>
      <c r="G31" s="8"/>
      <c r="H31" s="8"/>
      <c r="I31" s="9">
        <v>192172500.00</v>
      </c>
      <c r="J31" t="inlineStr" s="8">
        <is>
          <t>NCR4425 - NCR4423 - NCR4426</t>
        </is>
      </c>
      <c r="K31" t="inlineStr" s="8">
        <is>
          <t>NCR4424 - NCR4428 - NCR4427 - NCR4421 - NCR4420 - NCR4422 - NCR4419</t>
        </is>
      </c>
      <c r="L31" t="inlineStr" s="8">
        <is>
          <t>JUN.21/23 - AGO.3/23 - AGO.25/23F - NOV.1/23F - MAR.3/24F - JUN.10/24 - JUL.4/24F - JUL.5/24F - JUL.7/24F - JUL.27/24F</t>
        </is>
      </c>
      <c r="M31" s="9">
        <f>7087000+35612000+12225000</f>
      </c>
      <c r="N31" s="9"/>
      <c r="O31" s="8"/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>
        <v>17894000</v>
      </c>
      <c r="AK31" s="10"/>
      <c r="AL31" s="10"/>
      <c r="AM31" s="10">
        <v>24450500</v>
      </c>
      <c r="AN31" s="10"/>
      <c r="AO31" s="10"/>
      <c r="AP31" s="10"/>
      <c r="AQ31" s="10">
        <v>6378000</v>
      </c>
      <c r="AR31" s="10"/>
      <c r="AS31" s="10"/>
      <c r="AT31" s="10"/>
      <c r="AU31" s="10">
        <f>16477000+35966000+14882000+6201000</f>
      </c>
      <c r="AV31" s="10"/>
      <c r="AW31" s="10"/>
      <c r="AX31" s="10"/>
      <c r="AY31" s="10"/>
      <c r="AZ31" s="10"/>
      <c r="BA31" s="10"/>
      <c r="BB31" s="10"/>
      <c r="BC31" s="10"/>
      <c r="BD31" s="10"/>
      <c r="BE31" s="9"/>
      <c r="BF31" s="9"/>
      <c r="BG31" s="9"/>
      <c r="BH31" s="9"/>
      <c r="BI31" s="9">
        <f>SUM(M31,N31,Q31,R31,S31,T31,U31,V31,W31,X31,Y31,Z31,AA31,AB31,AC31,AD31,AE31,AF31,AG31,AH31,AI31,AJ31,AK31,AL31,AM31,AN31,AO31,AP31,AQ31,AR31,AS31,AT31,AU31,AV31,AW31,AX31,AY31,AZ31,BA31,BB31,BC31,BD31,BE31,BF31,BG31,BH31)</f>
      </c>
      <c r="BJ31" s="9">
        <f>I31-BI31</f>
      </c>
      <c r="BK31" s="9">
        <f>BJ31-BL31-BM31-BN31-BO31</f>
      </c>
      <c r="BL31" s="9"/>
      <c r="BM31" s="9"/>
      <c r="BN31" s="9"/>
      <c r="BO31" s="9"/>
      <c r="BP31" s="8"/>
      <c r="BQ31" t="inlineStr" s="8">
        <is>
          <t>2023-07-05</t>
        </is>
      </c>
      <c r="BR31" t="inlineStr" s="8">
        <is>
          <t>2023-09-20</t>
        </is>
      </c>
      <c r="BS31" t="inlineStr" s="8">
        <is>
          <t>2025-02-09</t>
        </is>
      </c>
      <c r="BT31" s="8"/>
      <c r="BU31" s="8"/>
      <c r="BV31" s="8"/>
      <c r="BW31" s="8"/>
      <c r="BX31" s="8"/>
      <c r="BY31" s="8"/>
      <c r="BZ31" s="9"/>
      <c r="CA31" s="9"/>
      <c r="CB31" t="inlineStr" s="8">
        <is>
          <t>3166256159</t>
        </is>
      </c>
      <c r="CC31" t="inlineStr" s="8">
        <is>
          <t>bueller.gustavo.74151057@example.com</t>
        </is>
      </c>
      <c r="CD31" t="inlineStr" s="8">
        <is>
          <t>MOUSE MICKEY CEL: 3166256711</t>
        </is>
      </c>
      <c r="CE31" s="8"/>
    </row>
    <row r="32" ht="12.75" customHeight="1">
      <c r="A32" t="inlineStr" s="8">
        <is>
          <t>60007919087111</t>
        </is>
      </c>
      <c r="B32" s="8"/>
      <c r="C32" t="inlineStr" s="8">
        <is>
          <t>407</t>
        </is>
      </c>
      <c r="D32" s="9">
        <v>55.20</v>
      </c>
      <c r="E32" t="inlineStr" s="8">
        <is>
          <t>74163496</t>
        </is>
      </c>
      <c r="F32" t="inlineStr" s="8">
        <is>
          <t>SCOTT ANGELA</t>
        </is>
      </c>
      <c r="G32" s="8"/>
      <c r="H32" t="inlineStr" s="8">
        <is>
          <t>BANCO DE OCCIDENTE</t>
        </is>
      </c>
      <c r="I32" s="9">
        <v>192172500.00</v>
      </c>
      <c r="J32" t="inlineStr" s="8">
        <is>
          <t>NCR4432 - NCR4436 - NCR4435 - NCR4433 - NC4430TRASLADO - NCR4437CR</t>
        </is>
      </c>
      <c r="K32" t="inlineStr" s="8">
        <is>
          <t>NCR4431 - NCR4434</t>
        </is>
      </c>
      <c r="L32" t="inlineStr" s="8">
        <is>
          <t>JUL.5/23F - AGO.2/23 - AGO.16/23 - AGO.28/23 - SEP.17/23 - DIC.2/23F - (MAR.1/24TRASLADO)</t>
        </is>
      </c>
      <c r="M32" s="9">
        <f>9885500+13857000+1527000+5039000</f>
      </c>
      <c r="N32" s="9">
        <v>18000000</v>
      </c>
      <c r="O32" t="inlineStr" s="8">
        <is>
          <t>DIC.18/23</t>
        </is>
      </c>
      <c r="P32" s="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>
        <v>5535000</v>
      </c>
      <c r="AJ32" s="10"/>
      <c r="AK32" s="10"/>
      <c r="AL32" s="10"/>
      <c r="AM32" s="10"/>
      <c r="AN32" s="10">
        <v>2329000</v>
      </c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>
        <v>110000000</v>
      </c>
      <c r="BF32" s="9"/>
      <c r="BG32" s="9"/>
      <c r="BH32" s="9"/>
      <c r="BI32" s="9">
        <f>SUM(M32,N32,Q32,R32,S32,T32,U32,V32,W32,X32,Y32,Z32,AA32,AB32,AC32,AD32,AE32,AF32,AG32,AH32,AI32,AJ32,AK32,AL32,AM32,AN32,AO32,AP32,AQ32,AR32,AS32,AT32,AU32,AV32,AW32,AX32,AY32,AZ32,BA32,BB32,BC32,BD32,BE32,BF32,BG32,BH32)</f>
      </c>
      <c r="BJ32" s="9">
        <f>I32-BI32</f>
      </c>
      <c r="BK32" s="9">
        <f>BJ32-BL32-BM32-BN32-BO32</f>
      </c>
      <c r="BL32" s="9"/>
      <c r="BM32" s="9"/>
      <c r="BN32" s="9"/>
      <c r="BO32" s="9"/>
      <c r="BP32" s="8"/>
      <c r="BQ32" t="inlineStr" s="8">
        <is>
          <t>2023-06-22</t>
        </is>
      </c>
      <c r="BR32" t="inlineStr" s="8">
        <is>
          <t>2023-08-30</t>
        </is>
      </c>
      <c r="BS32" s="8"/>
      <c r="BT32" s="8"/>
      <c r="BU32" s="8"/>
      <c r="BV32" s="8"/>
      <c r="BW32" s="8"/>
      <c r="BX32" s="8"/>
      <c r="BY32" s="8"/>
      <c r="BZ32" s="9"/>
      <c r="CA32" s="9"/>
      <c r="CB32" t="inlineStr" s="8">
        <is>
          <t>3166258248</t>
        </is>
      </c>
      <c r="CC32" t="inlineStr" s="8">
        <is>
          <t>scott.angela.74163496@example.com</t>
        </is>
      </c>
      <c r="CD32" t="inlineStr" s="8">
        <is>
          <t>JETSON GEORGE CEL: 3166259059</t>
        </is>
      </c>
      <c r="CE32" t="inlineStr" s="8">
        <is>
          <t>NC4430 MAR.1/24 TRASLADO DE NATASHA HENDERSON/HARRY GAMGEE A ANGELA SCOTT *ANTIC $18.000.000 *ARRAS $4'640</t>
        </is>
      </c>
    </row>
    <row r="33" ht="12.75" customHeight="1">
      <c r="A33" t="inlineStr" s="8">
        <is>
          <t>60007919087226</t>
        </is>
      </c>
      <c r="B33" s="8"/>
      <c r="C33" t="inlineStr" s="8">
        <is>
          <t>501</t>
        </is>
      </c>
      <c r="D33" s="9">
        <v>55.20</v>
      </c>
      <c r="E33" t="inlineStr" s="8">
        <is>
          <t>74168783</t>
        </is>
      </c>
      <c r="F33" t="inlineStr" s="8">
        <is>
          <t>SIMPSON LEGOLAS</t>
        </is>
      </c>
      <c r="G33" t="inlineStr" s="8">
        <is>
          <t>TANO OBI WAN</t>
        </is>
      </c>
      <c r="H33" t="inlineStr" s="8">
        <is>
          <t>BANCO DE OCCIDENTE</t>
        </is>
      </c>
      <c r="I33" s="9">
        <v>192172500.00</v>
      </c>
      <c r="J33" t="inlineStr" s="8">
        <is>
          <t>NCR4443 - NCR4447CR</t>
        </is>
      </c>
      <c r="K33" t="inlineStr" s="8">
        <is>
          <t>NCR4445 - NCR4444 - NCR4446 - NCR4441 - NCR4440 - NCR4442</t>
        </is>
      </c>
      <c r="L33" t="inlineStr" s="8">
        <is>
          <t>NOV.22/23 - DIC.1/23F - ABR.8/24F - NOV.13/24F - ENE.12/25F - ENE.14/25F - ENE.16/25F</t>
        </is>
      </c>
      <c r="M33" s="9">
        <v>15777000</v>
      </c>
      <c r="N33" s="9"/>
      <c r="O33" t="inlineStr" s="8">
        <is>
          <t>JUL.19/24</t>
        </is>
      </c>
      <c r="P33" s="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>
        <v>8299000</v>
      </c>
      <c r="AO33" s="10"/>
      <c r="AP33" s="10"/>
      <c r="AQ33" s="10"/>
      <c r="AR33" s="10">
        <v>1233000</v>
      </c>
      <c r="AS33" s="10"/>
      <c r="AT33" s="10"/>
      <c r="AU33" s="10"/>
      <c r="AV33" s="10"/>
      <c r="AW33" s="10"/>
      <c r="AX33" s="10"/>
      <c r="AY33" s="10">
        <v>10764500</v>
      </c>
      <c r="AZ33" s="10"/>
      <c r="BA33" s="10">
        <f>7642000+19393000+19064000</f>
      </c>
      <c r="BB33" s="10"/>
      <c r="BC33" s="10"/>
      <c r="BD33" s="10"/>
      <c r="BE33" s="9">
        <v>110000000</v>
      </c>
      <c r="BF33" s="9"/>
      <c r="BG33" s="9"/>
      <c r="BH33" s="9"/>
      <c r="BI33" s="9">
        <f>SUM(M33,N33,Q33,R33,S33,T33,U33,V33,W33,X33,Y33,Z33,AA33,AB33,AC33,AD33,AE33,AF33,AG33,AH33,AI33,AJ33,AK33,AL33,AM33,AN33,AO33,AP33,AQ33,AR33,AS33,AT33,AU33,AV33,AW33,AX33,AY33,AZ33,BA33,BB33,BC33,BD33,BE33,BF33,BG33,BH33)</f>
      </c>
      <c r="BJ33" s="9">
        <f>I33-BI33</f>
      </c>
      <c r="BK33" s="9">
        <f>BJ33-BL33-BM33-BN33-BO33</f>
      </c>
      <c r="BL33" s="9"/>
      <c r="BM33" s="9"/>
      <c r="BN33" s="9"/>
      <c r="BO33" s="9"/>
      <c r="BP33" s="8"/>
      <c r="BQ33" t="inlineStr" s="8">
        <is>
          <t>2024-02-05</t>
        </is>
      </c>
      <c r="BR33" t="inlineStr" s="8">
        <is>
          <t>2024-03-13</t>
        </is>
      </c>
      <c r="BS33" t="inlineStr" s="8">
        <is>
          <t>2025-05-23</t>
        </is>
      </c>
      <c r="BT33" s="8"/>
      <c r="BU33" s="8"/>
      <c r="BV33" s="8"/>
      <c r="BW33" s="8"/>
      <c r="BX33" s="8"/>
      <c r="BY33" s="8"/>
      <c r="BZ33" s="9"/>
      <c r="CA33" s="9"/>
      <c r="CB33" t="inlineStr" s="8">
        <is>
          <t>3166259314</t>
        </is>
      </c>
      <c r="CC33" t="inlineStr" s="8">
        <is>
          <t>simpson.legolas.74168783@example.com</t>
        </is>
      </c>
      <c r="CD33" t="inlineStr" s="8">
        <is>
          <t>BUNNY BUGS CEL: 3166260610</t>
        </is>
      </c>
      <c r="CE33" s="8"/>
    </row>
    <row r="34" ht="12.75" customHeight="1">
      <c r="A34" t="inlineStr" s="8">
        <is>
          <t>60007919087352</t>
        </is>
      </c>
      <c r="B34" s="8"/>
      <c r="C34" t="inlineStr" s="8">
        <is>
          <t>502</t>
        </is>
      </c>
      <c r="D34" s="9">
        <v>55.20</v>
      </c>
      <c r="E34" t="inlineStr" s="8">
        <is>
          <t>74173786</t>
        </is>
      </c>
      <c r="F34" t="inlineStr" s="8">
        <is>
          <t>WOLOWITZ WILL</t>
        </is>
      </c>
      <c r="G34" s="8"/>
      <c r="H34" t="inlineStr" s="8">
        <is>
          <t>BANCO DE BOGOTA</t>
        </is>
      </c>
      <c r="I34" s="9">
        <v>192172500.00</v>
      </c>
      <c r="J34" t="inlineStr" s="8">
        <is>
          <t>NCR4451 - NCR4455 - NCR4460CR</t>
        </is>
      </c>
      <c r="K34" t="inlineStr" s="8">
        <is>
          <t>NCR4448 - NCR4458 - NCR4450 - NCR4452 - NCR4449 - NCR4454 - NCR4456 - NCR4459 - NCR4453 - NCR4457</t>
        </is>
      </c>
      <c r="L34" t="inlineStr" s="8">
        <is>
          <t>ENE.27/23F - FEB.12/23F - MAR.16/23F - MAY.4/23F - MAY.14/23F - MAY.25/23F - JUN.13/23 - JUN.24/23F - SEP.3/23F - SEP.9/23F - OCT.21/23 - ABR.2/24F</t>
        </is>
      </c>
      <c r="M34" s="9">
        <f>1430000+546000</f>
      </c>
      <c r="N34" s="9"/>
      <c r="O34" t="inlineStr" s="8">
        <is>
          <t>JUN.17/23</t>
        </is>
      </c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253000</v>
      </c>
      <c r="AD34" s="10">
        <v>247000</v>
      </c>
      <c r="AE34" s="10">
        <v>104000</v>
      </c>
      <c r="AF34" s="10"/>
      <c r="AG34" s="10">
        <f>100000+312000+1053000</f>
      </c>
      <c r="AH34" s="10">
        <v>825000</v>
      </c>
      <c r="AI34" s="10"/>
      <c r="AJ34" s="10"/>
      <c r="AK34" s="10">
        <f>459667+695000</f>
      </c>
      <c r="AL34" s="10"/>
      <c r="AM34" s="10"/>
      <c r="AN34" s="10"/>
      <c r="AO34" s="10"/>
      <c r="AP34" s="10"/>
      <c r="AQ34" s="10"/>
      <c r="AR34" s="10">
        <v>474000</v>
      </c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9">
        <v>18249333</v>
      </c>
      <c r="BF34" s="9"/>
      <c r="BG34" s="9"/>
      <c r="BH34" s="9"/>
      <c r="BI34" s="9">
        <f>SUM(M34,N34,Q34,R34,S34,T34,U34,V34,W34,X34,Y34,Z34,AA34,AB34,AC34,AD34,AE34,AF34,AG34,AH34,AI34,AJ34,AK34,AL34,AM34,AN34,AO34,AP34,AQ34,AR34,AS34,AT34,AU34,AV34,AW34,AX34,AY34,AZ34,BA34,BB34,BC34,BD34,BE34,BF34,BG34,BH34)</f>
      </c>
      <c r="BJ34" s="9">
        <f>I34-BI34</f>
      </c>
      <c r="BK34" s="9">
        <f>BJ34-BL34-BM34-BN34-BO34</f>
      </c>
      <c r="BL34" s="9"/>
      <c r="BM34" s="9"/>
      <c r="BN34" s="9"/>
      <c r="BO34" s="9"/>
      <c r="BP34" s="8"/>
      <c r="BQ34" t="inlineStr" s="8">
        <is>
          <t>2022-12-30</t>
        </is>
      </c>
      <c r="BR34" t="inlineStr" s="8">
        <is>
          <t>2023-02-18</t>
        </is>
      </c>
      <c r="BS34" s="8"/>
      <c r="BT34" s="8"/>
      <c r="BU34" s="8"/>
      <c r="BV34" s="8"/>
      <c r="BW34" s="8"/>
      <c r="BX34" s="8"/>
      <c r="BY34" s="8"/>
      <c r="BZ34" s="9"/>
      <c r="CA34" s="9"/>
      <c r="CB34" t="inlineStr" s="8">
        <is>
          <t>3166261203</t>
        </is>
      </c>
      <c r="CC34" t="inlineStr" s="8">
        <is>
          <t>wolowitz.will.74173786@example.com</t>
        </is>
      </c>
      <c r="CD34" t="inlineStr" s="8">
        <is>
          <t>BUNNY BUGS CEL: 3166261562</t>
        </is>
      </c>
      <c r="CE34" s="8"/>
    </row>
    <row r="35" ht="12.75" customHeight="1">
      <c r="A35" t="inlineStr" s="8">
        <is>
          <t>60007919087463</t>
        </is>
      </c>
      <c r="B35" s="8"/>
      <c r="C35" t="inlineStr" s="8">
        <is>
          <t>503</t>
        </is>
      </c>
      <c r="D35" s="9">
        <v>55.20</v>
      </c>
      <c r="E35" t="inlineStr" s="8">
        <is>
          <t>74176266</t>
        </is>
      </c>
      <c r="F35" t="inlineStr" s="8">
        <is>
          <t>WAYNE HERCULE</t>
        </is>
      </c>
      <c r="G35" t="inlineStr" s="8">
        <is>
          <t>PARKER LUCAS</t>
        </is>
      </c>
      <c r="H35" t="inlineStr" s="8">
        <is>
          <t>BANCOLOMBIA</t>
        </is>
      </c>
      <c r="I35" s="9">
        <v>192172500.00</v>
      </c>
      <c r="J35" t="inlineStr" s="8">
        <is>
          <t>NCR4468 - NCR4471CR</t>
        </is>
      </c>
      <c r="K35" t="inlineStr" s="8">
        <is>
          <t>NCR4470 - NCR4464 - NCR4467 - NCR4463 - NCR4466 - NCR4465 - NCR4469</t>
        </is>
      </c>
      <c r="L35" t="inlineStr" s="8">
        <is>
          <t>MAR.21/24F - SEP.8/24F - SEP.14/24F - SEP.23/24F - SEP.26/24F - SEP.28/24F - DIC.28/24 - AGO.13/25F</t>
        </is>
      </c>
      <c r="M35" s="9">
        <v>11635000</v>
      </c>
      <c r="N35" s="9"/>
      <c r="O35" t="inlineStr" s="8">
        <is>
          <t>DIC.12/24</t>
        </is>
      </c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>
        <v>2529500</v>
      </c>
      <c r="AR35" s="10"/>
      <c r="AS35" s="10"/>
      <c r="AT35" s="10"/>
      <c r="AU35" s="10"/>
      <c r="AV35" s="10"/>
      <c r="AW35" s="10">
        <f>3238000+19425000+15985000+33589000+13658000</f>
      </c>
      <c r="AX35" s="10"/>
      <c r="AY35" s="10"/>
      <c r="AZ35" s="10"/>
      <c r="BA35" s="10"/>
      <c r="BB35" s="10"/>
      <c r="BC35" s="10"/>
      <c r="BD35" s="10">
        <v>1113952</v>
      </c>
      <c r="BE35" s="9">
        <v>65000000</v>
      </c>
      <c r="BF35" s="9"/>
      <c r="BG35" s="9"/>
      <c r="BH35" s="9"/>
      <c r="BI35" s="9">
        <f>SUM(M35,N35,Q35,R35,S35,T35,U35,V35,W35,X35,Y35,Z35,AA35,AB35,AC35,AD35,AE35,AF35,AG35,AH35,AI35,AJ35,AK35,AL35,AM35,AN35,AO35,AP35,AQ35,AR35,AS35,AT35,AU35,AV35,AW35,AX35,AY35,AZ35,BA35,BB35,BC35,BD35,BE35,BF35,BG35,BH35)</f>
      </c>
      <c r="BJ35" s="9">
        <f>I35-BI35</f>
      </c>
      <c r="BK35" s="9">
        <f>BJ35-BL35-BM35-BN35-BO35</f>
      </c>
      <c r="BL35" s="9"/>
      <c r="BM35" s="9"/>
      <c r="BN35" s="9"/>
      <c r="BO35" s="9"/>
      <c r="BP35" s="8"/>
      <c r="BQ35" t="inlineStr" s="8">
        <is>
          <t>2024-04-22</t>
        </is>
      </c>
      <c r="BR35" t="inlineStr" s="8">
        <is>
          <t>2024-07-11</t>
        </is>
      </c>
      <c r="BS35" t="inlineStr" s="8">
        <is>
          <t>2025-10-20</t>
        </is>
      </c>
      <c r="BT35" s="8"/>
      <c r="BU35" s="8"/>
      <c r="BV35" s="8"/>
      <c r="BW35" s="8"/>
      <c r="BX35" s="8"/>
      <c r="BY35" s="8"/>
      <c r="BZ35" s="9"/>
      <c r="CA35" s="9"/>
      <c r="CB35" t="inlineStr" s="8">
        <is>
          <t>3166261630</t>
        </is>
      </c>
      <c r="CC35" t="inlineStr" s="8">
        <is>
          <t>wayne.hercule.74176266@example.com</t>
        </is>
      </c>
      <c r="CD35" t="inlineStr" s="8">
        <is>
          <t>MOUSE MICKEY CEL: 3166262770</t>
        </is>
      </c>
      <c r="CE35" s="8"/>
    </row>
    <row r="36" ht="12.75" customHeight="1">
      <c r="A36" t="inlineStr" s="8">
        <is>
          <t>60007919087594</t>
        </is>
      </c>
      <c r="B36" s="8"/>
      <c r="C36" t="inlineStr" s="8">
        <is>
          <t>504</t>
        </is>
      </c>
      <c r="D36" s="9">
        <v>55.20</v>
      </c>
      <c r="E36" t="inlineStr" s="8">
        <is>
          <t>74192491</t>
        </is>
      </c>
      <c r="F36" t="inlineStr" s="8">
        <is>
          <t>MALFOY SHELDON</t>
        </is>
      </c>
      <c r="G36" s="8"/>
      <c r="H36" t="inlineStr" s="8">
        <is>
          <t>BANCO CAJA SOCIAL</t>
        </is>
      </c>
      <c r="I36" s="9">
        <v>192172500.00</v>
      </c>
      <c r="J36" t="inlineStr" s="8">
        <is>
          <t>NCR4476 - NCR4477 - NCR4478 - NCR4480CR</t>
        </is>
      </c>
      <c r="K36" t="inlineStr" s="8">
        <is>
          <t>NCR4473 - NCR4475 - NCR4474 - NCR4479</t>
        </is>
      </c>
      <c r="L36" t="inlineStr" s="8">
        <is>
          <t>JUN.15/23 - SEP.6/23F - SEP.10/23F - SEP.11/23F - NOV.20/23F - DIC.3/23 - DIC.13/23</t>
        </is>
      </c>
      <c r="M36" s="9">
        <f>13090000+2899000+25993000</f>
      </c>
      <c r="N36" s="9"/>
      <c r="O36" t="inlineStr" s="8">
        <is>
          <t>OCT.27/23</t>
        </is>
      </c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f>7574000+2618000+4395000</f>
      </c>
      <c r="AL36" s="10"/>
      <c r="AM36" s="10">
        <v>36932000</v>
      </c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9">
        <v>65000000</v>
      </c>
      <c r="BF36" s="9"/>
      <c r="BG36" s="9"/>
      <c r="BH36" s="9"/>
      <c r="BI36" s="9">
        <f>SUM(M36,N36,Q36,R36,S36,T36,U36,V36,W36,X36,Y36,Z36,AA36,AB36,AC36,AD36,AE36,AF36,AG36,AH36,AI36,AJ36,AK36,AL36,AM36,AN36,AO36,AP36,AQ36,AR36,AS36,AT36,AU36,AV36,AW36,AX36,AY36,AZ36,BA36,BB36,BC36,BD36,BE36,BF36,BG36,BH36)</f>
      </c>
      <c r="BJ36" s="9">
        <f>I36-BI36</f>
      </c>
      <c r="BK36" s="9">
        <f>BJ36-BL36-BM36-BN36-BO36</f>
      </c>
      <c r="BL36" s="9"/>
      <c r="BM36" s="9"/>
      <c r="BN36" s="9"/>
      <c r="BO36" s="9"/>
      <c r="BP36" s="8"/>
      <c r="BQ36" t="inlineStr" s="8">
        <is>
          <t>2023-02-02</t>
        </is>
      </c>
      <c r="BR36" t="inlineStr" s="8">
        <is>
          <t>2023-05-17</t>
        </is>
      </c>
      <c r="BS36" s="8"/>
      <c r="BT36" s="8"/>
      <c r="BU36" s="8"/>
      <c r="BV36" s="8"/>
      <c r="BW36" s="8"/>
      <c r="BX36" s="8"/>
      <c r="BY36" s="8"/>
      <c r="BZ36" s="9"/>
      <c r="CA36" s="9"/>
      <c r="CB36" t="inlineStr" s="8">
        <is>
          <t>3166263435</t>
        </is>
      </c>
      <c r="CC36" t="inlineStr" s="8">
        <is>
          <t>malfoy.sheldon.74192491@example.com</t>
        </is>
      </c>
      <c r="CD36" t="inlineStr" s="8">
        <is>
          <t>BUNNY BUGS CEL: 3166263641</t>
        </is>
      </c>
      <c r="CE36" s="8"/>
    </row>
    <row r="37" ht="12.75" customHeight="1">
      <c r="A37" t="inlineStr" s="8">
        <is>
          <t>60007919087671</t>
        </is>
      </c>
      <c r="B37" s="8"/>
      <c r="C37" t="inlineStr" s="8">
        <is>
          <t>505</t>
        </is>
      </c>
      <c r="D37" s="9">
        <v>55.20</v>
      </c>
      <c r="E37" t="inlineStr" s="8">
        <is>
          <t>74194882</t>
        </is>
      </c>
      <c r="F37" t="inlineStr" s="8">
        <is>
          <t>GRANGER MICHAEL</t>
        </is>
      </c>
      <c r="G37" t="inlineStr" s="8">
        <is>
          <t>ROMANOFF PETER</t>
        </is>
      </c>
      <c r="H37" s="8"/>
      <c r="I37" s="9">
        <v>192172500.00</v>
      </c>
      <c r="J37" t="inlineStr" s="8">
        <is>
          <t>NCR4482 - NCR4485 - NCR4484</t>
        </is>
      </c>
      <c r="K37" t="inlineStr" s="8">
        <is>
          <t>NCR4483 - NCR4481 - NCR4486</t>
        </is>
      </c>
      <c r="L37" t="inlineStr" s="8">
        <is>
          <t>NOV.3/23 - NOV.4/23F - NOV.21/23 - NOV.26/23F - MAR.16/24F - JUN.20/24</t>
        </is>
      </c>
      <c r="M37" s="9">
        <f>57994000+25757000+33567000</f>
      </c>
      <c r="N37" s="9"/>
      <c r="O37" s="8"/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>
        <f>19608000+20938000</f>
      </c>
      <c r="AN37" s="10"/>
      <c r="AO37" s="10"/>
      <c r="AP37" s="10"/>
      <c r="AQ37" s="10">
        <v>8308500</v>
      </c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9"/>
      <c r="BF37" s="9"/>
      <c r="BG37" s="9"/>
      <c r="BH37" s="9"/>
      <c r="BI37" s="9">
        <f>SUM(M37,N37,Q37,R37,S37,T37,U37,V37,W37,X37,Y37,Z37,AA37,AB37,AC37,AD37,AE37,AF37,AG37,AH37,AI37,AJ37,AK37,AL37,AM37,AN37,AO37,AP37,AQ37,AR37,AS37,AT37,AU37,AV37,AW37,AX37,AY37,AZ37,BA37,BB37,BC37,BD37,BE37,BF37,BG37,BH37)</f>
      </c>
      <c r="BJ37" s="9">
        <f>I37-BI37</f>
      </c>
      <c r="BK37" s="9">
        <f>BJ37-BL37-BM37-BN37-BO37</f>
      </c>
      <c r="BL37" s="9"/>
      <c r="BM37" s="9"/>
      <c r="BN37" s="9"/>
      <c r="BO37" s="9"/>
      <c r="BP37" s="8"/>
      <c r="BQ37" t="inlineStr" s="8">
        <is>
          <t>2023-07-13</t>
        </is>
      </c>
      <c r="BR37" t="inlineStr" s="8">
        <is>
          <t>2023-10-07</t>
        </is>
      </c>
      <c r="BS37" s="8"/>
      <c r="BT37" s="8"/>
      <c r="BU37" s="8"/>
      <c r="BV37" s="8"/>
      <c r="BW37" s="8"/>
      <c r="BX37" s="8"/>
      <c r="BY37" s="8"/>
      <c r="BZ37" s="9"/>
      <c r="CA37" s="9"/>
      <c r="CB37" t="inlineStr" s="8">
        <is>
          <t>3166264282</t>
        </is>
      </c>
      <c r="CC37" t="inlineStr" s="8">
        <is>
          <t>granger.michael.74194882@example.com</t>
        </is>
      </c>
      <c r="CD37" t="inlineStr" s="8">
        <is>
          <t>JETSON GEORGE CEL: 3166265787</t>
        </is>
      </c>
      <c r="CE37" s="8"/>
    </row>
    <row r="38" ht="12.75" customHeight="1">
      <c r="A38" t="inlineStr" s="8">
        <is>
          <t>60007919087688</t>
        </is>
      </c>
      <c r="B38" s="8"/>
      <c r="C38" t="inlineStr" s="8">
        <is>
          <t>506</t>
        </is>
      </c>
      <c r="D38" s="9">
        <v>55.20</v>
      </c>
      <c r="E38" t="inlineStr" s="8">
        <is>
          <t>74205606</t>
        </is>
      </c>
      <c r="F38" t="inlineStr" s="8">
        <is>
          <t>SINCLAIR TYRION</t>
        </is>
      </c>
      <c r="G38" s="8"/>
      <c r="H38" t="inlineStr" s="8">
        <is>
          <t>BANCO DAVIVIENDA</t>
        </is>
      </c>
      <c r="I38" s="9">
        <v>192172500.00</v>
      </c>
      <c r="J38" t="inlineStr" s="8">
        <is>
          <t>NCR4492 - NCR4496 - NCR4490 - NCR4488 - NCR4491 - NCR4489 - NCR4497 - NCR4499CR</t>
        </is>
      </c>
      <c r="K38" t="inlineStr" s="8">
        <is>
          <t>NCR4493 - NCR4494 - NCR4495 - NCR4498</t>
        </is>
      </c>
      <c r="L38" t="inlineStr" s="8">
        <is>
          <t>JUL.27/22F - AGO.27/22F - MAR.2/23F - ABR.12/23F - JUN.15/23 - JUN.19/23 - AGO.2/23 - AGO.14/23 - AGO.15/23 - AGO.28/23 - OCT.12/23</t>
        </is>
      </c>
      <c r="M38" s="9">
        <f>2015000+18405000+3426000+4366000+14778000+4165000+11285000</f>
      </c>
      <c r="N38" s="9"/>
      <c r="O38" t="inlineStr" s="8">
        <is>
          <t>AGO.30/23</t>
        </is>
      </c>
      <c r="P38" s="8"/>
      <c r="Q38" s="10"/>
      <c r="R38" s="10"/>
      <c r="S38" s="10"/>
      <c r="T38" s="10"/>
      <c r="U38" s="10"/>
      <c r="V38" s="10"/>
      <c r="W38" s="10">
        <v>2150000</v>
      </c>
      <c r="X38" s="10">
        <v>1276000</v>
      </c>
      <c r="Y38" s="10"/>
      <c r="Z38" s="10"/>
      <c r="AA38" s="10"/>
      <c r="AB38" s="10"/>
      <c r="AC38" s="10"/>
      <c r="AD38" s="10"/>
      <c r="AE38" s="10">
        <v>2485000</v>
      </c>
      <c r="AF38" s="10">
        <v>2821500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9">
        <v>125000000</v>
      </c>
      <c r="BF38" s="9"/>
      <c r="BG38" s="9"/>
      <c r="BH38" s="9"/>
      <c r="BI38" s="9">
        <f>SUM(M38,N38,Q38,R38,S38,T38,U38,V38,W38,X38,Y38,Z38,AA38,AB38,AC38,AD38,AE38,AF38,AG38,AH38,AI38,AJ38,AK38,AL38,AM38,AN38,AO38,AP38,AQ38,AR38,AS38,AT38,AU38,AV38,AW38,AX38,AY38,AZ38,BA38,BB38,BC38,BD38,BE38,BF38,BG38,BH38)</f>
      </c>
      <c r="BJ38" s="9">
        <f>I38-BI38</f>
      </c>
      <c r="BK38" s="9">
        <f>BJ38-BL38-BM38-BN38-BO38</f>
      </c>
      <c r="BL38" s="9"/>
      <c r="BM38" s="9"/>
      <c r="BN38" s="9"/>
      <c r="BO38" s="9"/>
      <c r="BP38" s="8"/>
      <c r="BQ38" t="inlineStr" s="8">
        <is>
          <t>2022-08-10</t>
        </is>
      </c>
      <c r="BR38" t="inlineStr" s="8">
        <is>
          <t>2022-11-10</t>
        </is>
      </c>
      <c r="BS38" t="inlineStr" s="8">
        <is>
          <t>2024-03-29</t>
        </is>
      </c>
      <c r="BT38" s="8"/>
      <c r="BU38" s="8"/>
      <c r="BV38" s="8"/>
      <c r="BW38" s="8"/>
      <c r="BX38" s="8"/>
      <c r="BY38" s="8"/>
      <c r="BZ38" s="9"/>
      <c r="CA38" s="9"/>
      <c r="CB38" t="inlineStr" s="8">
        <is>
          <t>3166266353</t>
        </is>
      </c>
      <c r="CC38" t="inlineStr" s="8">
        <is>
          <t>sinclair.tyrion.74205606@example.com</t>
        </is>
      </c>
      <c r="CD38" t="inlineStr" s="8">
        <is>
          <t>JAKE CEL: 3166266547</t>
        </is>
      </c>
      <c r="CE38" s="8"/>
    </row>
    <row r="39" ht="12.75" customHeight="1">
      <c r="A39" t="inlineStr" s="8">
        <is>
          <t>60007919087802</t>
        </is>
      </c>
      <c r="B39" s="8"/>
      <c r="C39" t="inlineStr" s="8">
        <is>
          <t>507</t>
        </is>
      </c>
      <c r="D39" s="9">
        <v>55.20</v>
      </c>
      <c r="E39" t="inlineStr" s="8">
        <is>
          <t>74206730</t>
        </is>
      </c>
      <c r="F39" t="inlineStr" s="8">
        <is>
          <t>BROWN HOMER</t>
        </is>
      </c>
      <c r="G39" s="8"/>
      <c r="H39" t="inlineStr" s="8">
        <is>
          <t>BANCO DAVIVIENDA</t>
        </is>
      </c>
      <c r="I39" s="9">
        <v>192172500.00</v>
      </c>
      <c r="J39" t="inlineStr" s="8">
        <is>
          <t>NCR4506 - NCR4500 - NCR4502 - NCR4503 - NCR4505 - NCR4509CR</t>
        </is>
      </c>
      <c r="K39" t="inlineStr" s="8">
        <is>
          <t>NCR4501 - NCR4504 - NCR4507 - NCR4508</t>
        </is>
      </c>
      <c r="L39" t="inlineStr" s="8">
        <is>
          <t>AGO.28/23 - NOV.24/23 - DIC.1/23 - DIC.5/23F - ENE.9/24F - FEB.11/24F - JUN.2/24 - DIC.3/24 - DIC.14/24F</t>
        </is>
      </c>
      <c r="M39" s="9">
        <f>10427000+25507000+12323000+603000+4653000</f>
      </c>
      <c r="N39" s="9"/>
      <c r="O39" t="inlineStr" s="8">
        <is>
          <t>ABR.27/24</t>
        </is>
      </c>
      <c r="P39" s="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>
        <v>11547000</v>
      </c>
      <c r="AO39" s="10">
        <v>12409000</v>
      </c>
      <c r="AP39" s="10">
        <v>4826000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>
        <v>3877500</v>
      </c>
      <c r="BA39" s="10"/>
      <c r="BB39" s="10"/>
      <c r="BC39" s="10"/>
      <c r="BD39" s="10"/>
      <c r="BE39" s="9">
        <v>80000000</v>
      </c>
      <c r="BF39" s="9"/>
      <c r="BG39" s="9"/>
      <c r="BH39" s="9"/>
      <c r="BI39" s="9">
        <f>SUM(M39,N39,Q39,R39,S39,T39,U39,V39,W39,X39,Y39,Z39,AA39,AB39,AC39,AD39,AE39,AF39,AG39,AH39,AI39,AJ39,AK39,AL39,AM39,AN39,AO39,AP39,AQ39,AR39,AS39,AT39,AU39,AV39,AW39,AX39,AY39,AZ39,BA39,BB39,BC39,BD39,BE39,BF39,BG39,BH39)</f>
      </c>
      <c r="BJ39" s="9">
        <f>I39-BI39</f>
      </c>
      <c r="BK39" s="9">
        <f>BJ39-BL39-BM39-BN39-BO39</f>
      </c>
      <c r="BL39" s="9"/>
      <c r="BM39" s="9"/>
      <c r="BN39" s="9"/>
      <c r="BO39" s="9"/>
      <c r="BP39" s="8"/>
      <c r="BQ39" t="inlineStr" s="8">
        <is>
          <t>2023-08-29</t>
        </is>
      </c>
      <c r="BR39" t="inlineStr" s="8">
        <is>
          <t>2023-12-11</t>
        </is>
      </c>
      <c r="BS39" s="8"/>
      <c r="BT39" s="8"/>
      <c r="BU39" s="8"/>
      <c r="BV39" s="8"/>
      <c r="BW39" s="8"/>
      <c r="BX39" s="8"/>
      <c r="BY39" s="8"/>
      <c r="BZ39" s="9"/>
      <c r="CA39" s="9"/>
      <c r="CB39" t="inlineStr" s="8">
        <is>
          <t>3166267180</t>
        </is>
      </c>
      <c r="CC39" t="inlineStr" s="8">
        <is>
          <t>brown.homer.74206730@example.com</t>
        </is>
      </c>
      <c r="CD39" t="inlineStr" s="8">
        <is>
          <t>JETSON GEORGE CEL: 3166267493</t>
        </is>
      </c>
      <c r="CE39" s="8"/>
    </row>
    <row r="40" ht="12.75" customHeight="1">
      <c r="A40" t="inlineStr" s="8">
        <is>
          <t>60007919087850</t>
        </is>
      </c>
      <c r="B40" s="8"/>
      <c r="C40" t="inlineStr" s="8">
        <is>
          <t>601</t>
        </is>
      </c>
      <c r="D40" s="9">
        <v>55.20</v>
      </c>
      <c r="E40" t="inlineStr" s="8">
        <is>
          <t>74209346</t>
        </is>
      </c>
      <c r="F40" t="inlineStr" s="8">
        <is>
          <t>KENOBI LEGOLAS</t>
        </is>
      </c>
      <c r="G40" s="8"/>
      <c r="H40" t="inlineStr" s="8">
        <is>
          <t>BBVA</t>
        </is>
      </c>
      <c r="I40" s="9">
        <v>192172500.00</v>
      </c>
      <c r="J40" t="inlineStr" s="8">
        <is>
          <t>NCR4513 - NCR4516 - NCR4514 - NCR4511 - NCR4515 - NCR4512 - NCR4517CR</t>
        </is>
      </c>
      <c r="K40" s="8"/>
      <c r="L40" t="inlineStr" s="8">
        <is>
          <t>JUN.9/23 - JUN.20/23 - SEP.18/23 - SEP.19/23 - DIC.8/23 - DIC.14/23</t>
        </is>
      </c>
      <c r="M40" s="9">
        <f>12024000+9672500+2553000+11688000+19077000+12158000</f>
      </c>
      <c r="N40" s="9"/>
      <c r="O40" t="inlineStr" s="8">
        <is>
          <t>JUL.19/23</t>
        </is>
      </c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>
        <v>125000000</v>
      </c>
      <c r="BF40" s="9"/>
      <c r="BG40" s="9"/>
      <c r="BH40" s="9"/>
      <c r="BI40" s="9">
        <f>SUM(M40,N40,Q40,R40,S40,T40,U40,V40,W40,X40,Y40,Z40,AA40,AB40,AC40,AD40,AE40,AF40,AG40,AH40,AI40,AJ40,AK40,AL40,AM40,AN40,AO40,AP40,AQ40,AR40,AS40,AT40,AU40,AV40,AW40,AX40,AY40,AZ40,BA40,BB40,BC40,BD40,BE40,BF40,BG40,BH40)</f>
      </c>
      <c r="BJ40" s="9">
        <f>I40-BI40</f>
      </c>
      <c r="BK40" s="9">
        <f>BJ40-BL40-BM40-BN40-BO40</f>
      </c>
      <c r="BL40" s="9"/>
      <c r="BM40" s="9"/>
      <c r="BN40" s="9"/>
      <c r="BO40" s="9"/>
      <c r="BP40" s="8"/>
      <c r="BQ40" t="inlineStr" s="8">
        <is>
          <t>2023-03-11</t>
        </is>
      </c>
      <c r="BR40" t="inlineStr" s="8">
        <is>
          <t>2023-03-24</t>
        </is>
      </c>
      <c r="BS40" t="inlineStr" s="8">
        <is>
          <t>2024-03-11</t>
        </is>
      </c>
      <c r="BT40" s="8"/>
      <c r="BU40" s="8"/>
      <c r="BV40" s="8"/>
      <c r="BW40" s="8"/>
      <c r="BX40" s="8"/>
      <c r="BY40" s="8"/>
      <c r="BZ40" s="9"/>
      <c r="CA40" s="9"/>
      <c r="CB40" t="inlineStr" s="8">
        <is>
          <t>3166267525</t>
        </is>
      </c>
      <c r="CC40" t="inlineStr" s="8">
        <is>
          <t>kenobi.legolas.74209346@example.com</t>
        </is>
      </c>
      <c r="CD40" t="inlineStr" s="8">
        <is>
          <t>JETSON GEORGE CEL: 3166267665</t>
        </is>
      </c>
      <c r="CE40" s="8"/>
    </row>
    <row r="41" ht="12.75" customHeight="1">
      <c r="A41" t="inlineStr" s="8">
        <is>
          <t>60007919087879</t>
        </is>
      </c>
      <c r="B41" s="8"/>
      <c r="C41" t="inlineStr" s="8">
        <is>
          <t>602</t>
        </is>
      </c>
      <c r="D41" s="9">
        <v>55.20</v>
      </c>
      <c r="E41" t="inlineStr" s="8">
        <is>
          <t>74223810</t>
        </is>
      </c>
      <c r="F41" t="inlineStr" s="8">
        <is>
          <t>GELLER TONY</t>
        </is>
      </c>
      <c r="G41" s="8"/>
      <c r="H41" s="8"/>
      <c r="I41" s="9">
        <v>192172500.00</v>
      </c>
      <c r="J41" t="inlineStr" s="8">
        <is>
          <t>NC4519TRASLADO</t>
        </is>
      </c>
      <c r="K41" t="inlineStr" s="8">
        <is>
          <t>NCR4522 - NCR4520 - NCR4523 - NCR4524 - NCR4521 - NCR4527 - NCR4526 - NCR4525 - NCR4528</t>
        </is>
      </c>
      <c r="L41" t="inlineStr" s="8">
        <is>
          <t>AGO.1/22F - AGO.5/22F - AGO.14/22F - AGO.23/22F - AGO.25/22F - OCT.2/22F - DIC.12/22F - (ENE.9/23TRASLADO) - ENE.24/23F - FEB.22/23F</t>
        </is>
      </c>
      <c r="M41" s="9"/>
      <c r="N41" s="9">
        <v>12000000</v>
      </c>
      <c r="O41" s="8"/>
      <c r="P41" s="8"/>
      <c r="Q41" s="10"/>
      <c r="R41" s="10"/>
      <c r="S41" s="10"/>
      <c r="T41" s="10"/>
      <c r="U41" s="10"/>
      <c r="V41" s="10"/>
      <c r="W41" s="10"/>
      <c r="X41" s="10">
        <f>72834000+6157000+7509000+9911000+3754000</f>
      </c>
      <c r="Y41" s="10"/>
      <c r="Z41" s="10">
        <v>6758000</v>
      </c>
      <c r="AA41" s="10"/>
      <c r="AB41" s="10">
        <v>32437000</v>
      </c>
      <c r="AC41" s="10">
        <v>3154000</v>
      </c>
      <c r="AD41" s="10">
        <v>7658500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9"/>
      <c r="BF41" s="9"/>
      <c r="BG41" s="9"/>
      <c r="BH41" s="9"/>
      <c r="BI41" s="9">
        <f>SUM(M41,N41,Q41,R41,S41,T41,U41,V41,W41,X41,Y41,Z41,AA41,AB41,AC41,AD41,AE41,AF41,AG41,AH41,AI41,AJ41,AK41,AL41,AM41,AN41,AO41,AP41,AQ41,AR41,AS41,AT41,AU41,AV41,AW41,AX41,AY41,AZ41,BA41,BB41,BC41,BD41,BE41,BF41,BG41,BH41)</f>
      </c>
      <c r="BJ41" s="9">
        <f>I41-BI41</f>
      </c>
      <c r="BK41" s="9">
        <f>BJ41-BL41-BM41-BN41-BO41</f>
      </c>
      <c r="BL41" s="9"/>
      <c r="BM41" s="9"/>
      <c r="BN41" s="9"/>
      <c r="BO41" s="9"/>
      <c r="BP41" s="8"/>
      <c r="BQ41" t="inlineStr" s="8">
        <is>
          <t>2022-11-09</t>
        </is>
      </c>
      <c r="BR41" t="inlineStr" s="8">
        <is>
          <t>2022-12-13</t>
        </is>
      </c>
      <c r="BS41" s="8"/>
      <c r="BT41" s="8"/>
      <c r="BU41" s="8"/>
      <c r="BV41" s="8"/>
      <c r="BW41" s="8"/>
      <c r="BX41" s="8"/>
      <c r="BY41" s="8"/>
      <c r="BZ41" s="9"/>
      <c r="CA41" s="9"/>
      <c r="CB41" t="inlineStr" s="8">
        <is>
          <t>3166268453</t>
        </is>
      </c>
      <c r="CC41" t="inlineStr" s="8">
        <is>
          <t>geller.tony.74223810@example.com</t>
        </is>
      </c>
      <c r="CD41" t="inlineStr" s="8">
        <is>
          <t>DUCK DAFFY CEL: 3166268639</t>
        </is>
      </c>
      <c r="CE41" t="inlineStr" s="8">
        <is>
          <t>NC4519 ENE.9/23 TRASLADO DE DUSTIN MORNINGSTAR A TONY GELLER *ANTIC $12.000.000 *ARRAS $4'640</t>
        </is>
      </c>
    </row>
    <row r="42" ht="12.75" customHeight="1">
      <c r="A42" s="8"/>
      <c r="B42" s="8"/>
      <c r="C42" t="inlineStr" s="8">
        <is>
          <t>603</t>
        </is>
      </c>
      <c r="D42" s="9">
        <v>55.20</v>
      </c>
      <c r="E42" s="8"/>
      <c r="F42" s="8"/>
      <c r="G42" s="8"/>
      <c r="H42" t="inlineStr" s="8">
        <is>
          <t>BANCO DAVIVIENDA</t>
        </is>
      </c>
      <c r="I42" s="9">
        <v>192172500.00</v>
      </c>
      <c r="J42" s="8"/>
      <c r="K42" s="8"/>
      <c r="L42" s="8"/>
      <c r="M42" s="9"/>
      <c r="N42" s="9"/>
      <c r="O42" s="8"/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9"/>
      <c r="CA42" s="9"/>
      <c r="CB42" s="8"/>
      <c r="CC42" s="8"/>
      <c r="CD42" s="8"/>
      <c r="CE42" s="8"/>
    </row>
    <row r="43" ht="12.75" customHeight="1">
      <c r="A43" t="inlineStr" s="8">
        <is>
          <t>60007919088188</t>
        </is>
      </c>
      <c r="B43" s="8"/>
      <c r="C43" t="inlineStr" s="8">
        <is>
          <t>604</t>
        </is>
      </c>
      <c r="D43" s="9">
        <v>55.20</v>
      </c>
      <c r="E43" t="inlineStr" s="8">
        <is>
          <t>74237988</t>
        </is>
      </c>
      <c r="F43" t="inlineStr" s="8">
        <is>
          <t>MALFOY HERCULE</t>
        </is>
      </c>
      <c r="G43" s="8"/>
      <c r="H43" s="8"/>
      <c r="I43" s="9">
        <v>192172500.00</v>
      </c>
      <c r="J43" t="inlineStr" s="8">
        <is>
          <t>NCR4539 - NCR4540 - NCR4541</t>
        </is>
      </c>
      <c r="K43" t="inlineStr" s="8">
        <is>
          <t>NCR4542 - NCR4543</t>
        </is>
      </c>
      <c r="L43" t="inlineStr" s="8">
        <is>
          <t>JUL.1/23 - JUL.15/23 - JUL.21/23 - ENE.23/24F - ENE.26/24F</t>
        </is>
      </c>
      <c r="M43" s="9">
        <f>18488000+53355000+62599000</f>
      </c>
      <c r="N43" s="9"/>
      <c r="O43" s="8"/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>
        <f>14596000+13134500</f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9"/>
      <c r="BF43" s="9"/>
      <c r="BG43" s="9"/>
      <c r="BH43" s="9"/>
      <c r="BI43" s="9">
        <f>SUM(M43,N43,Q43,R43,S43,T43,U43,V43,W43,X43,Y43,Z43,AA43,AB43,AC43,AD43,AE43,AF43,AG43,AH43,AI43,AJ43,AK43,AL43,AM43,AN43,AO43,AP43,AQ43,AR43,AS43,AT43,AU43,AV43,AW43,AX43,AY43,AZ43,BA43,BB43,BC43,BD43,BE43,BF43,BG43,BH43)</f>
      </c>
      <c r="BJ43" s="9">
        <f>I43-BI43</f>
      </c>
      <c r="BK43" s="9">
        <f>BJ43-BL43-BM43-BN43-BO43</f>
      </c>
      <c r="BL43" s="9"/>
      <c r="BM43" s="9"/>
      <c r="BN43" s="9"/>
      <c r="BO43" s="9"/>
      <c r="BP43" s="8"/>
      <c r="BQ43" t="inlineStr" s="8">
        <is>
          <t>2023-04-28</t>
        </is>
      </c>
      <c r="BR43" t="inlineStr" s="8">
        <is>
          <t>2023-06-09</t>
        </is>
      </c>
      <c r="BS43" t="inlineStr" s="8">
        <is>
          <t>2024-06-07</t>
        </is>
      </c>
      <c r="BT43" s="8"/>
      <c r="BU43" s="8"/>
      <c r="BV43" s="8"/>
      <c r="BW43" s="8"/>
      <c r="BX43" s="8"/>
      <c r="BY43" s="8"/>
      <c r="BZ43" s="9"/>
      <c r="CA43" s="9"/>
      <c r="CB43" t="inlineStr" s="8">
        <is>
          <t>3166269968</t>
        </is>
      </c>
      <c r="CC43" t="inlineStr" s="8">
        <is>
          <t>malfoy.hercule.74237988@example.com</t>
        </is>
      </c>
      <c r="CD43" t="inlineStr" s="8">
        <is>
          <t>BUNNY BUGS CEL: 3166270853</t>
        </is>
      </c>
      <c r="CE43" s="8"/>
    </row>
    <row r="44" ht="12.75" customHeight="1">
      <c r="A44" t="inlineStr" s="8">
        <is>
          <t>60007919088268</t>
        </is>
      </c>
      <c r="B44" s="8"/>
      <c r="C44" t="inlineStr" s="8">
        <is>
          <t>605</t>
        </is>
      </c>
      <c r="D44" s="9">
        <v>55.20</v>
      </c>
      <c r="E44" t="inlineStr" s="8">
        <is>
          <t>74245262</t>
        </is>
      </c>
      <c r="F44" t="inlineStr" s="8">
        <is>
          <t>BAGGINS WALTER</t>
        </is>
      </c>
      <c r="G44" s="8"/>
      <c r="H44" t="inlineStr" s="8">
        <is>
          <t>BANCO CAJA SOCIAL</t>
        </is>
      </c>
      <c r="I44" s="9">
        <v>192172500.00</v>
      </c>
      <c r="J44" t="inlineStr" s="8">
        <is>
          <t>NC4545TRASLADO - NCR4552 - NCR4550 - NCR4554CR</t>
        </is>
      </c>
      <c r="K44" t="inlineStr" s="8">
        <is>
          <t>NCR4546 - NCR4548 - NCR4549 - NCR4547 - NCR4553 - NCR4551</t>
        </is>
      </c>
      <c r="L44" t="inlineStr" s="8">
        <is>
          <t>DIC.9/22F - DIC.15/22F - DIC.17/22F - DIC.24/22F - ABR.28/23F - JUL.9/23F - (JUL.28/23TRASLADO) - OCT.2/23 - DIC.9/23</t>
        </is>
      </c>
      <c r="M44" s="9">
        <f>16616000+18463000</f>
      </c>
      <c r="N44" s="9">
        <v>15000000</v>
      </c>
      <c r="O44" t="inlineStr" s="8">
        <is>
          <t>MAR.20/23</t>
        </is>
      </c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f>10300000+12244000+486000+4761000</f>
      </c>
      <c r="AC44" s="10"/>
      <c r="AD44" s="10"/>
      <c r="AE44" s="10"/>
      <c r="AF44" s="10">
        <v>8065500</v>
      </c>
      <c r="AG44" s="10"/>
      <c r="AH44" s="10"/>
      <c r="AI44" s="10">
        <v>26237000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9">
        <v>80000000</v>
      </c>
      <c r="BF44" s="9"/>
      <c r="BG44" s="9"/>
      <c r="BH44" s="9"/>
      <c r="BI44" s="9">
        <f>SUM(M44,N44,Q44,R44,S44,T44,U44,V44,W44,X44,Y44,Z44,AA44,AB44,AC44,AD44,AE44,AF44,AG44,AH44,AI44,AJ44,AK44,AL44,AM44,AN44,AO44,AP44,AQ44,AR44,AS44,AT44,AU44,AV44,AW44,AX44,AY44,AZ44,BA44,BB44,BC44,BD44,BE44,BF44,BG44,BH44)</f>
      </c>
      <c r="BJ44" s="9">
        <f>I44-BI44</f>
      </c>
      <c r="BK44" s="9">
        <f>BJ44-BL44-BM44-BN44-BO44</f>
      </c>
      <c r="BL44" s="9"/>
      <c r="BM44" s="9"/>
      <c r="BN44" s="9"/>
      <c r="BO44" s="9"/>
      <c r="BP44" s="8"/>
      <c r="BQ44" t="inlineStr" s="8">
        <is>
          <t>2023-01-10</t>
        </is>
      </c>
      <c r="BR44" t="inlineStr" s="8">
        <is>
          <t>2023-02-09</t>
        </is>
      </c>
      <c r="BS44" t="inlineStr" s="8">
        <is>
          <t>2024-02-14</t>
        </is>
      </c>
      <c r="BT44" s="8"/>
      <c r="BU44" s="8"/>
      <c r="BV44" s="8"/>
      <c r="BW44" s="8"/>
      <c r="BX44" s="8"/>
      <c r="BY44" s="8"/>
      <c r="BZ44" s="9"/>
      <c r="CA44" s="9"/>
      <c r="CB44" t="inlineStr" s="8">
        <is>
          <t>3166272042</t>
        </is>
      </c>
      <c r="CC44" t="inlineStr" s="8">
        <is>
          <t>baggins.walter.74245262@example.com</t>
        </is>
      </c>
      <c r="CD44" t="inlineStr" s="8">
        <is>
          <t>JAKE CEL: 3166272423</t>
        </is>
      </c>
      <c r="CE44" t="inlineStr" s="8">
        <is>
          <t>NC4545 JUL.28/23 TRASLADO DE SUMMER SIMPSON A WALTER BAGGINS *ANTIC $15.000.000 *ARRAS $4'640</t>
        </is>
      </c>
    </row>
    <row r="45" ht="12.75" customHeight="1">
      <c r="A45" t="inlineStr" s="8">
        <is>
          <t>60007919088457</t>
        </is>
      </c>
      <c r="B45" s="8"/>
      <c r="C45" t="inlineStr" s="8">
        <is>
          <t>606</t>
        </is>
      </c>
      <c r="D45" s="9">
        <v>55.20</v>
      </c>
      <c r="E45" t="inlineStr" s="8">
        <is>
          <t>74250637</t>
        </is>
      </c>
      <c r="F45" t="inlineStr" s="8">
        <is>
          <t>HENDERSON ANGELA</t>
        </is>
      </c>
      <c r="G45" s="8"/>
      <c r="H45" t="inlineStr" s="8">
        <is>
          <t>BANCO DE BOGOTA</t>
        </is>
      </c>
      <c r="I45" s="9">
        <v>192172500.00</v>
      </c>
      <c r="J45" t="inlineStr" s="8">
        <is>
          <t>NCR4564 - NCR4559 - NCR4556 - NCR4563 - NCR4557 - NCR4555 - NCR4562 - NCR4568CR</t>
        </is>
      </c>
      <c r="K45" t="inlineStr" s="8">
        <is>
          <t>NCR4567 - NCR4565 - NCR4558 - NCR4566 - NCR4561 - NCR4560</t>
        </is>
      </c>
      <c r="L45" t="inlineStr" s="8">
        <is>
          <t>AGO.10/23 - DIC.1/23 - DIC.5/23 - DIC.5/23 - DIC.6/23 - DIC.21/23F - DIC.25/23 - FEB.5/24F - JUL.7/24F - DIC.15/24 - ENE.11/25F - FEB.5/25F - FEB.25/25F</t>
        </is>
      </c>
      <c r="M45" s="9">
        <f>26533000+2150000+5508000+3224000+9942000+1545500+537000</f>
      </c>
      <c r="N45" s="9"/>
      <c r="O45" t="inlineStr" s="8">
        <is>
          <t>JUN.22/24</t>
        </is>
      </c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>
        <v>2485000</v>
      </c>
      <c r="AO45" s="10"/>
      <c r="AP45" s="10">
        <v>739000</v>
      </c>
      <c r="AQ45" s="10"/>
      <c r="AR45" s="10"/>
      <c r="AS45" s="10"/>
      <c r="AT45" s="10"/>
      <c r="AU45" s="10">
        <v>5038000</v>
      </c>
      <c r="AV45" s="10"/>
      <c r="AW45" s="10"/>
      <c r="AX45" s="10"/>
      <c r="AY45" s="10"/>
      <c r="AZ45" s="10"/>
      <c r="BA45" s="10">
        <v>5978000</v>
      </c>
      <c r="BB45" s="10">
        <f>806000+2687000</f>
      </c>
      <c r="BC45" s="10"/>
      <c r="BD45" s="10"/>
      <c r="BE45" s="9">
        <v>125000000</v>
      </c>
      <c r="BF45" s="9"/>
      <c r="BG45" s="9"/>
      <c r="BH45" s="9"/>
      <c r="BI45" s="9">
        <f>SUM(M45,N45,Q45,R45,S45,T45,U45,V45,W45,X45,Y45,Z45,AA45,AB45,AC45,AD45,AE45,AF45,AG45,AH45,AI45,AJ45,AK45,AL45,AM45,AN45,AO45,AP45,AQ45,AR45,AS45,AT45,AU45,AV45,AW45,AX45,AY45,AZ45,BA45,BB45,BC45,BD45,BE45,BF45,BG45,BH45)</f>
      </c>
      <c r="BJ45" s="9">
        <f>I45-BI45</f>
      </c>
      <c r="BK45" s="9">
        <f>BJ45-BL45-BM45-BN45-BO45</f>
      </c>
      <c r="BL45" s="9"/>
      <c r="BM45" s="9"/>
      <c r="BN45" s="9"/>
      <c r="BO45" s="9"/>
      <c r="BP45" s="8"/>
      <c r="BQ45" t="inlineStr" s="8">
        <is>
          <t>2023-10-27</t>
        </is>
      </c>
      <c r="BR45" t="inlineStr" s="8">
        <is>
          <t>2023-12-25</t>
        </is>
      </c>
      <c r="BS45" s="8"/>
      <c r="BT45" s="8"/>
      <c r="BU45" s="8"/>
      <c r="BV45" s="8"/>
      <c r="BW45" s="8"/>
      <c r="BX45" s="8"/>
      <c r="BY45" s="8"/>
      <c r="BZ45" s="9"/>
      <c r="CA45" s="9"/>
      <c r="CB45" t="inlineStr" s="8">
        <is>
          <t>3166272999</t>
        </is>
      </c>
      <c r="CC45" t="inlineStr" s="8">
        <is>
          <t>henderson.angela.74250637@example.com</t>
        </is>
      </c>
      <c r="CD45" t="inlineStr" s="8">
        <is>
          <t>DUCK DAFFY CEL: 3166273285</t>
        </is>
      </c>
      <c r="CE45" s="8"/>
    </row>
    <row r="46" ht="12.75" customHeight="1">
      <c r="A46" t="inlineStr" s="8">
        <is>
          <t>60007919088605</t>
        </is>
      </c>
      <c r="B46" s="8"/>
      <c r="C46" t="inlineStr" s="8">
        <is>
          <t>607</t>
        </is>
      </c>
      <c r="D46" s="9">
        <v>55.20</v>
      </c>
      <c r="E46" t="inlineStr" s="8">
        <is>
          <t>74259025</t>
        </is>
      </c>
      <c r="F46" t="inlineStr" s="8">
        <is>
          <t>GOODMAN JERRY</t>
        </is>
      </c>
      <c r="G46" s="8"/>
      <c r="H46" s="8"/>
      <c r="I46" s="9">
        <v>192172500.00</v>
      </c>
      <c r="J46" t="inlineStr" s="8">
        <is>
          <t>NCR4576 - NCR4578 - NCR4582</t>
        </is>
      </c>
      <c r="K46" t="inlineStr" s="8">
        <is>
          <t>NCR4583 - NCR4577 - NCR4579 - NCR4580 - NCR4581</t>
        </is>
      </c>
      <c r="L46" t="inlineStr" s="8">
        <is>
          <t>ABR.17/23F - JUN.15/23F - SEP.4/23 - SEP.11/23 - OCT.25/23 - ENE.14/24F - ABR.23/24F - JUL.9/24F</t>
        </is>
      </c>
      <c r="M46" s="9">
        <f>589000+338000+709000</f>
      </c>
      <c r="N46" s="9"/>
      <c r="O46" s="8"/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101000</v>
      </c>
      <c r="AG46" s="10"/>
      <c r="AH46" s="10">
        <v>589000</v>
      </c>
      <c r="AI46" s="10"/>
      <c r="AJ46" s="10"/>
      <c r="AK46" s="10"/>
      <c r="AL46" s="10"/>
      <c r="AM46" s="10"/>
      <c r="AN46" s="10"/>
      <c r="AO46" s="10">
        <v>203000</v>
      </c>
      <c r="AP46" s="10"/>
      <c r="AQ46" s="10"/>
      <c r="AR46" s="10">
        <v>100000</v>
      </c>
      <c r="AS46" s="10"/>
      <c r="AT46" s="10"/>
      <c r="AU46" s="10">
        <v>1122000</v>
      </c>
      <c r="AV46" s="10"/>
      <c r="AW46" s="10"/>
      <c r="AX46" s="10"/>
      <c r="AY46" s="10"/>
      <c r="AZ46" s="10"/>
      <c r="BA46" s="10"/>
      <c r="BB46" s="10"/>
      <c r="BC46" s="10"/>
      <c r="BD46" s="10"/>
      <c r="BE46" s="9"/>
      <c r="BF46" s="9"/>
      <c r="BG46" s="9"/>
      <c r="BH46" s="9"/>
      <c r="BI46" s="9">
        <f>SUM(M46,N46,Q46,R46,S46,T46,U46,V46,W46,X46,Y46,Z46,AA46,AB46,AC46,AD46,AE46,AF46,AG46,AH46,AI46,AJ46,AK46,AL46,AM46,AN46,AO46,AP46,AQ46,AR46,AS46,AT46,AU46,AV46,AW46,AX46,AY46,AZ46,BA46,BB46,BC46,BD46,BE46,BF46,BG46,BH46)</f>
      </c>
      <c r="BJ46" s="9">
        <f>I46-BI46</f>
      </c>
      <c r="BK46" s="9">
        <f>BJ46-BL46-BM46-BN46-BO46</f>
      </c>
      <c r="BL46" s="9"/>
      <c r="BM46" s="9"/>
      <c r="BN46" s="9"/>
      <c r="BO46" s="9"/>
      <c r="BP46" s="8"/>
      <c r="BQ46" t="inlineStr" s="8">
        <is>
          <t>2023-04-03</t>
        </is>
      </c>
      <c r="BR46" t="inlineStr" s="8">
        <is>
          <t>2023-05-03</t>
        </is>
      </c>
      <c r="BS46" s="8"/>
      <c r="BT46" s="8"/>
      <c r="BU46" s="8"/>
      <c r="BV46" s="8"/>
      <c r="BW46" s="8"/>
      <c r="BX46" s="8"/>
      <c r="BY46" s="8"/>
      <c r="BZ46" s="9"/>
      <c r="CA46" s="9"/>
      <c r="CB46" t="inlineStr" s="8">
        <is>
          <t>3166274536</t>
        </is>
      </c>
      <c r="CC46" t="inlineStr" s="8">
        <is>
          <t>goodman.jerry.74259025@example.com</t>
        </is>
      </c>
      <c r="CD46" t="inlineStr" s="8">
        <is>
          <t>DUCK DAFFY CEL: 3166275413</t>
        </is>
      </c>
      <c r="CE46" s="8"/>
    </row>
    <row r="47" ht="12.75" customHeight="1">
      <c r="A47" t="inlineStr" s="8">
        <is>
          <t>60007919088677</t>
        </is>
      </c>
      <c r="B47" s="8"/>
      <c r="C47" t="inlineStr" s="8">
        <is>
          <t>701</t>
        </is>
      </c>
      <c r="D47" s="9">
        <v>55.20</v>
      </c>
      <c r="E47" t="inlineStr" s="8">
        <is>
          <t>74277662</t>
        </is>
      </c>
      <c r="F47" t="inlineStr" s="8">
        <is>
          <t>HOLMES HERMIONE</t>
        </is>
      </c>
      <c r="G47" s="8"/>
      <c r="H47" t="inlineStr" s="8">
        <is>
          <t>BANCO DAVIVIENDA</t>
        </is>
      </c>
      <c r="I47" s="9">
        <v>192172500.00</v>
      </c>
      <c r="J47" t="inlineStr" s="8">
        <is>
          <t>NCR4591 - NC4585CESION - NCR4595CR</t>
        </is>
      </c>
      <c r="K47" t="inlineStr" s="8">
        <is>
          <t>NCR4586 - NCR4588 - NCR4587 - NCR4589 - NCR4590 - NCR4594 - NCR4592 - NCR4593</t>
        </is>
      </c>
      <c r="L47" t="inlineStr" s="8">
        <is>
          <t>JUL.4/23F - JUL.6/23F - JUL.11/23F - JUL.27/23F - AGO.7/23F - SEP.1/23F - OCT.17/23F - ENE.15/24F - DIC.13/24 - (ENE.18/25CESION)</t>
        </is>
      </c>
      <c r="M47" s="9">
        <v>7200000</v>
      </c>
      <c r="N47" s="9">
        <v>15000000</v>
      </c>
      <c r="O47" t="inlineStr" s="8">
        <is>
          <t>OCT.29/24</t>
        </is>
      </c>
      <c r="P47" s="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>
        <f>2296000+1356000+15913000+7148000</f>
      </c>
      <c r="AJ47" s="10">
        <v>3965000</v>
      </c>
      <c r="AK47" s="10">
        <v>6155500</v>
      </c>
      <c r="AL47" s="10">
        <v>2504000</v>
      </c>
      <c r="AM47" s="10"/>
      <c r="AN47" s="10"/>
      <c r="AO47" s="10">
        <v>5635000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9">
        <v>125000000</v>
      </c>
      <c r="BF47" s="9"/>
      <c r="BG47" s="9"/>
      <c r="BH47" s="9"/>
      <c r="BI47" s="9">
        <f>SUM(M47,N47,Q47,R47,S47,T47,U47,V47,W47,X47,Y47,Z47,AA47,AB47,AC47,AD47,AE47,AF47,AG47,AH47,AI47,AJ47,AK47,AL47,AM47,AN47,AO47,AP47,AQ47,AR47,AS47,AT47,AU47,AV47,AW47,AX47,AY47,AZ47,BA47,BB47,BC47,BD47,BE47,BF47,BG47,BH47)</f>
      </c>
      <c r="BJ47" s="9">
        <f>I47-BI47</f>
      </c>
      <c r="BK47" s="9">
        <f>BJ47-BL47-BM47-BN47-BO47</f>
      </c>
      <c r="BL47" s="9"/>
      <c r="BM47" s="9"/>
      <c r="BN47" s="9"/>
      <c r="BO47" s="9"/>
      <c r="BP47" s="8"/>
      <c r="BQ47" t="inlineStr" s="8">
        <is>
          <t>2023-08-26</t>
        </is>
      </c>
      <c r="BR47" t="inlineStr" s="8">
        <is>
          <t>2023-11-24</t>
        </is>
      </c>
      <c r="BS47" s="8"/>
      <c r="BT47" s="8"/>
      <c r="BU47" s="8"/>
      <c r="BV47" s="8"/>
      <c r="BW47" s="8"/>
      <c r="BX47" s="8"/>
      <c r="BY47" s="8"/>
      <c r="BZ47" s="9"/>
      <c r="CA47" s="9"/>
      <c r="CB47" t="inlineStr" s="8">
        <is>
          <t>3166277386</t>
        </is>
      </c>
      <c r="CC47" t="inlineStr" s="8">
        <is>
          <t>holmes.hermione.74277662@example.com</t>
        </is>
      </c>
      <c r="CD47" t="inlineStr" s="8">
        <is>
          <t>PANTHER PINK CEL: 3166277449</t>
        </is>
      </c>
      <c r="CE47" t="inlineStr" s="8">
        <is>
          <t>NC4585 ENE.18/25 CESION DE GUSTAVO GRANGER/ARYA PARKER A HERMIONE HOLMES *ANTIC $15.000.000 *ARRAS $4'640</t>
        </is>
      </c>
    </row>
    <row r="48" ht="12.75" customHeight="1">
      <c r="A48" t="inlineStr" s="8">
        <is>
          <t>60007919088849</t>
        </is>
      </c>
      <c r="B48" s="8"/>
      <c r="C48" t="inlineStr" s="8">
        <is>
          <t>702</t>
        </is>
      </c>
      <c r="D48" s="9">
        <v>55.20</v>
      </c>
      <c r="E48" t="inlineStr" s="8">
        <is>
          <t>74281201</t>
        </is>
      </c>
      <c r="F48" t="inlineStr" s="8">
        <is>
          <t>BROWN DWIGHT</t>
        </is>
      </c>
      <c r="G48" s="8"/>
      <c r="H48" t="inlineStr" s="8">
        <is>
          <t>BBVA</t>
        </is>
      </c>
      <c r="I48" s="9">
        <v>192172500.00</v>
      </c>
      <c r="J48" t="inlineStr" s="8">
        <is>
          <t>NCR4601 - NCR4603 - NCR4604CR</t>
        </is>
      </c>
      <c r="K48" t="inlineStr" s="8">
        <is>
          <t>NCR4599 - NCR4602 - NCR4597 - NCR4598 - NCR4600</t>
        </is>
      </c>
      <c r="L48" t="inlineStr" s="8">
        <is>
          <t>AGO.4/23 - DIC.3/23 - ENE.19/24F - MAR.6/24F - MAR.12/24F - MAR.19/24F - JUN.21/24F</t>
        </is>
      </c>
      <c r="M48" s="9">
        <f>498000+1992500</f>
      </c>
      <c r="N48" s="9"/>
      <c r="O48" t="inlineStr" s="8">
        <is>
          <t>MAY.22/24</t>
        </is>
      </c>
      <c r="P48" s="8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>
        <v>7687000</v>
      </c>
      <c r="AP48" s="10"/>
      <c r="AQ48" s="10">
        <f>11103000+4982000+783000</f>
      </c>
      <c r="AR48" s="10"/>
      <c r="AS48" s="10"/>
      <c r="AT48" s="10">
        <v>44127000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>
        <v>95000000</v>
      </c>
      <c r="BF48" s="9"/>
      <c r="BG48" s="9"/>
      <c r="BH48" s="9"/>
      <c r="BI48" s="9">
        <f>SUM(M48,N48,Q48,R48,S48,T48,U48,V48,W48,X48,Y48,Z48,AA48,AB48,AC48,AD48,AE48,AF48,AG48,AH48,AI48,AJ48,AK48,AL48,AM48,AN48,AO48,AP48,AQ48,AR48,AS48,AT48,AU48,AV48,AW48,AX48,AY48,AZ48,BA48,BB48,BC48,BD48,BE48,BF48,BG48,BH48)</f>
      </c>
      <c r="BJ48" s="9">
        <f>I48-BI48</f>
      </c>
      <c r="BK48" s="9">
        <f>BJ48-BL48-BM48-BN48-BO48</f>
      </c>
      <c r="BL48" s="9"/>
      <c r="BM48" s="9"/>
      <c r="BN48" s="9"/>
      <c r="BO48" s="9"/>
      <c r="BP48" s="8"/>
      <c r="BQ48" t="inlineStr" s="8">
        <is>
          <t>2023-08-16</t>
        </is>
      </c>
      <c r="BR48" t="inlineStr" s="8">
        <is>
          <t>2023-09-10</t>
        </is>
      </c>
      <c r="BS48" s="8"/>
      <c r="BT48" s="8"/>
      <c r="BU48" s="8"/>
      <c r="BV48" s="8"/>
      <c r="BW48" s="8"/>
      <c r="BX48" s="8"/>
      <c r="BY48" s="8"/>
      <c r="BZ48" s="9"/>
      <c r="CA48" s="9"/>
      <c r="CB48" t="inlineStr" s="8">
        <is>
          <t>3166277769</t>
        </is>
      </c>
      <c r="CC48" t="inlineStr" s="8">
        <is>
          <t>brown.dwight.74281201@example.com</t>
        </is>
      </c>
      <c r="CD48" t="inlineStr" s="8">
        <is>
          <t>FINN CEL: 3166279213</t>
        </is>
      </c>
      <c r="CE48" s="8"/>
    </row>
    <row r="49" ht="12.75" customHeight="1">
      <c r="A49" t="inlineStr" s="8">
        <is>
          <t>60007919089045</t>
        </is>
      </c>
      <c r="B49" s="8"/>
      <c r="C49" t="inlineStr" s="8">
        <is>
          <t>703</t>
        </is>
      </c>
      <c r="D49" s="9">
        <v>55.20</v>
      </c>
      <c r="E49" t="inlineStr" s="8">
        <is>
          <t>74285967</t>
        </is>
      </c>
      <c r="F49" t="inlineStr" s="8">
        <is>
          <t>BUELLER ANGELA</t>
        </is>
      </c>
      <c r="G49" s="8"/>
      <c r="H49" t="inlineStr" s="8">
        <is>
          <t>BANCO DE BOGOTA</t>
        </is>
      </c>
      <c r="I49" s="9">
        <v>192172500.00</v>
      </c>
      <c r="J49" t="inlineStr" s="8">
        <is>
          <t>NCR4611 - NCR4615CR</t>
        </is>
      </c>
      <c r="K49" t="inlineStr" s="8">
        <is>
          <t>NCR4609 - NCR4606 - NCR4607 - NCR4610 - NCR4614 - NCR4613 - NCR4612 - NCR4608</t>
        </is>
      </c>
      <c r="L49" t="inlineStr" s="8">
        <is>
          <t>MAR.8/23F - MAR.11/23F - MAY.10/23F - SEP.22/23 - NOV.8/23F - NOV.21/23F - NOV.22/23F - FEB.28/24F - ABR.19/24F</t>
        </is>
      </c>
      <c r="M49" s="9">
        <v>3401000</v>
      </c>
      <c r="N49" s="9"/>
      <c r="O49" t="inlineStr" s="8">
        <is>
          <t>ENE.13/24</t>
        </is>
      </c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f>583000+22058000</f>
      </c>
      <c r="AF49" s="10"/>
      <c r="AG49" s="10">
        <v>100000</v>
      </c>
      <c r="AH49" s="10"/>
      <c r="AI49" s="10"/>
      <c r="AJ49" s="10"/>
      <c r="AK49" s="10"/>
      <c r="AL49" s="10"/>
      <c r="AM49" s="10">
        <f>13507000+1357500+12147000</f>
      </c>
      <c r="AN49" s="10"/>
      <c r="AO49" s="10"/>
      <c r="AP49" s="10">
        <v>11661000</v>
      </c>
      <c r="AQ49" s="10"/>
      <c r="AR49" s="10">
        <v>32358000</v>
      </c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9">
        <v>65000000</v>
      </c>
      <c r="BF49" s="9"/>
      <c r="BG49" s="9"/>
      <c r="BH49" s="9"/>
      <c r="BI49" s="9">
        <f>SUM(M49,N49,Q49,R49,S49,T49,U49,V49,W49,X49,Y49,Z49,AA49,AB49,AC49,AD49,AE49,AF49,AG49,AH49,AI49,AJ49,AK49,AL49,AM49,AN49,AO49,AP49,AQ49,AR49,AS49,AT49,AU49,AV49,AW49,AX49,AY49,AZ49,BA49,BB49,BC49,BD49,BE49,BF49,BG49,BH49)</f>
      </c>
      <c r="BJ49" s="9">
        <f>I49-BI49</f>
      </c>
      <c r="BK49" s="9">
        <f>BJ49-BL49-BM49-BN49-BO49</f>
      </c>
      <c r="BL49" s="9"/>
      <c r="BM49" s="9"/>
      <c r="BN49" s="9"/>
      <c r="BO49" s="9"/>
      <c r="BP49" s="8"/>
      <c r="BQ49" t="inlineStr" s="8">
        <is>
          <t>2023-05-26</t>
        </is>
      </c>
      <c r="BR49" t="inlineStr" s="8">
        <is>
          <t>2023-06-20</t>
        </is>
      </c>
      <c r="BS49" t="inlineStr" s="8">
        <is>
          <t>2024-08-28</t>
        </is>
      </c>
      <c r="BT49" s="8"/>
      <c r="BU49" s="8"/>
      <c r="BV49" s="8"/>
      <c r="BW49" s="8"/>
      <c r="BX49" s="8"/>
      <c r="BY49" s="8"/>
      <c r="BZ49" s="9"/>
      <c r="CA49" s="9"/>
      <c r="CB49" t="inlineStr" s="8">
        <is>
          <t>3166280084</t>
        </is>
      </c>
      <c r="CC49" t="inlineStr" s="8">
        <is>
          <t>bueller.angela.74285967@example.com</t>
        </is>
      </c>
      <c r="CD49" t="inlineStr" s="8">
        <is>
          <t>FLINTSTONE FRED CEL: 3166280551</t>
        </is>
      </c>
      <c r="CE49" s="8"/>
    </row>
    <row r="50" ht="12.75" customHeight="1">
      <c r="A50" t="inlineStr" s="8">
        <is>
          <t>60007919089084</t>
        </is>
      </c>
      <c r="B50" s="8"/>
      <c r="C50" t="inlineStr" s="8">
        <is>
          <t>704</t>
        </is>
      </c>
      <c r="D50" s="9">
        <v>55.20</v>
      </c>
      <c r="E50" t="inlineStr" s="8">
        <is>
          <t>74292928</t>
        </is>
      </c>
      <c r="F50" t="inlineStr" s="8">
        <is>
          <t>TENTACLES RICK</t>
        </is>
      </c>
      <c r="G50" s="8"/>
      <c r="H50" t="inlineStr" s="8">
        <is>
          <t>BANCOLOMBIA</t>
        </is>
      </c>
      <c r="I50" s="9">
        <v>192172500.00</v>
      </c>
      <c r="J50" t="inlineStr" s="8">
        <is>
          <t>NCR4623 - NCR4618 - NCR4625CR</t>
        </is>
      </c>
      <c r="K50" t="inlineStr" s="8">
        <is>
          <t>NCR4622 - NCR4621 - NCR4624 - NCR4620 - NCR4619 - NCR4617</t>
        </is>
      </c>
      <c r="L50" t="inlineStr" s="8">
        <is>
          <t>ABR.25/23F - JUN.27/23F - JUN.28/23F - JUL.18/23 - DIC.8/23 - ENE.25/24F - AGO.20/24F - OCT.2/24F</t>
        </is>
      </c>
      <c r="M50" s="9">
        <f>1261000+291000</f>
      </c>
      <c r="N50" s="9"/>
      <c r="O50" t="inlineStr" s="8">
        <is>
          <t>NOV.8/23</t>
        </is>
      </c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>
        <v>945000</v>
      </c>
      <c r="AG50" s="10"/>
      <c r="AH50" s="10">
        <f>3297000+6205334</f>
      </c>
      <c r="AI50" s="10"/>
      <c r="AJ50" s="10"/>
      <c r="AK50" s="10"/>
      <c r="AL50" s="10"/>
      <c r="AM50" s="10"/>
      <c r="AN50" s="10"/>
      <c r="AO50" s="10">
        <v>4436000</v>
      </c>
      <c r="AP50" s="10"/>
      <c r="AQ50" s="10"/>
      <c r="AR50" s="10"/>
      <c r="AS50" s="10"/>
      <c r="AT50" s="10"/>
      <c r="AU50" s="10"/>
      <c r="AV50" s="10">
        <v>994000</v>
      </c>
      <c r="AW50" s="10"/>
      <c r="AX50" s="10">
        <v>6812000</v>
      </c>
      <c r="AY50" s="10"/>
      <c r="AZ50" s="10"/>
      <c r="BA50" s="10"/>
      <c r="BB50" s="10"/>
      <c r="BC50" s="10"/>
      <c r="BD50" s="10"/>
      <c r="BE50" s="9">
        <v>25120666</v>
      </c>
      <c r="BF50" s="9"/>
      <c r="BG50" s="9"/>
      <c r="BH50" s="9"/>
      <c r="BI50" s="9">
        <f>SUM(M50,N50,Q50,R50,S50,T50,U50,V50,W50,X50,Y50,Z50,AA50,AB50,AC50,AD50,AE50,AF50,AG50,AH50,AI50,AJ50,AK50,AL50,AM50,AN50,AO50,AP50,AQ50,AR50,AS50,AT50,AU50,AV50,AW50,AX50,AY50,AZ50,BA50,BB50,BC50,BD50,BE50,BF50,BG50,BH50)</f>
      </c>
      <c r="BJ50" s="9">
        <f>I50-BI50</f>
      </c>
      <c r="BK50" s="9">
        <f>BJ50-BL50-BM50-BN50-BO50</f>
      </c>
      <c r="BL50" s="9"/>
      <c r="BM50" s="9"/>
      <c r="BN50" s="9"/>
      <c r="BO50" s="9"/>
      <c r="BP50" s="8"/>
      <c r="BQ50" t="inlineStr" s="8">
        <is>
          <t>2023-06-22</t>
        </is>
      </c>
      <c r="BR50" t="inlineStr" s="8">
        <is>
          <t>2023-09-25</t>
        </is>
      </c>
      <c r="BS50" s="8"/>
      <c r="BT50" s="8"/>
      <c r="BU50" s="8"/>
      <c r="BV50" s="8"/>
      <c r="BW50" s="8"/>
      <c r="BX50" s="8"/>
      <c r="BY50" s="8"/>
      <c r="BZ50" s="9"/>
      <c r="CA50" s="9"/>
      <c r="CB50" t="inlineStr" s="8">
        <is>
          <t>3166280853</t>
        </is>
      </c>
      <c r="CC50" t="inlineStr" s="8">
        <is>
          <t>tentacles.rick.74292928@example.com</t>
        </is>
      </c>
      <c r="CD50" t="inlineStr" s="8">
        <is>
          <t>FLINTSTONE FRED CEL: 3166281206</t>
        </is>
      </c>
      <c r="CE50" s="8"/>
    </row>
    <row r="51" ht="12.75" customHeight="1">
      <c r="A51" t="inlineStr" s="8">
        <is>
          <t>60007919089139</t>
        </is>
      </c>
      <c r="B51" s="8"/>
      <c r="C51" t="inlineStr" s="8">
        <is>
          <t>705</t>
        </is>
      </c>
      <c r="D51" s="9">
        <v>55.20</v>
      </c>
      <c r="E51" t="inlineStr" s="8">
        <is>
          <t>74300005</t>
        </is>
      </c>
      <c r="F51" t="inlineStr" s="8">
        <is>
          <t>SANCHEZ MARGE</t>
        </is>
      </c>
      <c r="G51" t="inlineStr" s="8">
        <is>
          <t>MUNSON OBI WAN</t>
        </is>
      </c>
      <c r="H51" t="inlineStr" s="8">
        <is>
          <t>BANCO DAVIVIENDA</t>
        </is>
      </c>
      <c r="I51" s="9">
        <v>192172500.00</v>
      </c>
      <c r="J51" t="inlineStr" s="8">
        <is>
          <t>NCR4636CR</t>
        </is>
      </c>
      <c r="K51" t="inlineStr" s="8">
        <is>
          <t>NCR4634 - NCR4635 - NCR4631 - NCR4633 - NCR4632 - NCR4628 - NCR4629 - NCR4630</t>
        </is>
      </c>
      <c r="L51" t="inlineStr" s="8">
        <is>
          <t>ENE.18/24F - ABR.18/24F - MAY.2/24F - MAY.17/24F - JUN.6/24F - JUL.5/24F - JUL.12/24F - JUL.22/24F</t>
        </is>
      </c>
      <c r="M51" s="9"/>
      <c r="N51" s="9"/>
      <c r="O51" t="inlineStr" s="8">
        <is>
          <t>JUN.3/24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>
        <v>4626000</v>
      </c>
      <c r="AP51" s="10"/>
      <c r="AQ51" s="10"/>
      <c r="AR51" s="10">
        <v>9751500</v>
      </c>
      <c r="AS51" s="10">
        <f>2633000+10391000</f>
      </c>
      <c r="AT51" s="10">
        <v>498000</v>
      </c>
      <c r="AU51" s="10">
        <f>1139000+7615000+34519000</f>
      </c>
      <c r="AV51" s="10"/>
      <c r="AW51" s="10"/>
      <c r="AX51" s="10"/>
      <c r="AY51" s="10"/>
      <c r="AZ51" s="10"/>
      <c r="BA51" s="10"/>
      <c r="BB51" s="10"/>
      <c r="BC51" s="10"/>
      <c r="BD51" s="10"/>
      <c r="BE51" s="9">
        <v>95000000</v>
      </c>
      <c r="BF51" s="9"/>
      <c r="BG51" s="9"/>
      <c r="BH51" s="9"/>
      <c r="BI51" s="9">
        <f>SUM(M51,N51,Q51,R51,S51,T51,U51,V51,W51,X51,Y51,Z51,AA51,AB51,AC51,AD51,AE51,AF51,AG51,AH51,AI51,AJ51,AK51,AL51,AM51,AN51,AO51,AP51,AQ51,AR51,AS51,AT51,AU51,AV51,AW51,AX51,AY51,AZ51,BA51,BB51,BC51,BD51,BE51,BF51,BG51,BH51)</f>
      </c>
      <c r="BJ51" s="9">
        <f>I51-BI51</f>
      </c>
      <c r="BK51" s="9">
        <f>BJ51-BL51-BM51-BN51-BO51</f>
      </c>
      <c r="BL51" s="9"/>
      <c r="BM51" s="9"/>
      <c r="BN51" s="9"/>
      <c r="BO51" s="9"/>
      <c r="BP51" s="8"/>
      <c r="BQ51" t="inlineStr" s="8">
        <is>
          <t>2023-11-02</t>
        </is>
      </c>
      <c r="BR51" t="inlineStr" s="8">
        <is>
          <t>2024-01-26</t>
        </is>
      </c>
      <c r="BS51" s="8"/>
      <c r="BT51" s="8"/>
      <c r="BU51" s="8"/>
      <c r="BV51" s="8"/>
      <c r="BW51" s="8"/>
      <c r="BX51" s="8"/>
      <c r="BY51" s="8"/>
      <c r="BZ51" s="9"/>
      <c r="CA51" s="9"/>
      <c r="CB51" t="inlineStr" s="8">
        <is>
          <t>3166281416</t>
        </is>
      </c>
      <c r="CC51" t="inlineStr" s="8">
        <is>
          <t>sanchez.marge.74300005@example.com</t>
        </is>
      </c>
      <c r="CD51" t="inlineStr" s="8">
        <is>
          <t>BUNNY BUGS CEL: 3166282048</t>
        </is>
      </c>
      <c r="CE51" s="8"/>
    </row>
    <row r="52" ht="12.75" customHeight="1">
      <c r="A52" s="8"/>
      <c r="B52" s="8"/>
      <c r="C52" t="inlineStr" s="8">
        <is>
          <t>706</t>
        </is>
      </c>
      <c r="D52" s="9">
        <v>55.20</v>
      </c>
      <c r="E52" s="8"/>
      <c r="F52" s="8"/>
      <c r="G52" s="8"/>
      <c r="H52" s="8"/>
      <c r="I52" s="9">
        <v>192172500.00</v>
      </c>
      <c r="J52" s="8"/>
      <c r="K52" s="8"/>
      <c r="L52" s="8"/>
      <c r="M52" s="9"/>
      <c r="N52" s="9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9"/>
      <c r="CA52" s="9"/>
      <c r="CB52" s="8"/>
      <c r="CC52" s="8"/>
      <c r="CD52" s="8"/>
      <c r="CE52" s="8"/>
    </row>
    <row r="53" ht="12.75" customHeight="1">
      <c r="A53" t="inlineStr" s="8">
        <is>
          <t>60007919089451</t>
        </is>
      </c>
      <c r="B53" s="8"/>
      <c r="C53" t="inlineStr" s="8">
        <is>
          <t>707</t>
        </is>
      </c>
      <c r="D53" s="9">
        <v>55.20</v>
      </c>
      <c r="E53" t="inlineStr" s="8">
        <is>
          <t>74316920</t>
        </is>
      </c>
      <c r="F53" t="inlineStr" s="8">
        <is>
          <t>KENOBI RAJ</t>
        </is>
      </c>
      <c r="G53" s="8"/>
      <c r="H53" t="inlineStr" s="8">
        <is>
          <t>BANCO DE OCCIDENTE</t>
        </is>
      </c>
      <c r="I53" s="9">
        <v>192172500.00</v>
      </c>
      <c r="J53" t="inlineStr" s="8">
        <is>
          <t>NCR4664 - NCR4660 - NCR4667CR</t>
        </is>
      </c>
      <c r="K53" t="inlineStr" s="8">
        <is>
          <t>NCR4657 - NCR4666 - NCR4656 - NCR4662 - NCR4655 - NCR4665 - NCR4661 - NCR4658 - NCR4659 - NCR4663 - NCR4654</t>
        </is>
      </c>
      <c r="L53" t="inlineStr" s="8">
        <is>
          <t>JUN.18/23 - JUN.28/23F - JUL.5/23F - SEP.21/23F - OCT.25/23F - NOV.16/23F - DIC.22/23F - ENE.13/24F - ENE.28/24F - FEB.1/24F - JUN.17/24 - JUL.5/24F - SEP.6/24F</t>
        </is>
      </c>
      <c r="M53" s="9">
        <f>2284000+202000</f>
      </c>
      <c r="N53" s="9"/>
      <c r="O53" t="inlineStr" s="8">
        <is>
          <t>MAR.25/24</t>
        </is>
      </c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>
        <v>7187000</v>
      </c>
      <c r="AI53" s="10">
        <v>940500</v>
      </c>
      <c r="AJ53" s="10"/>
      <c r="AK53" s="10">
        <v>5844000</v>
      </c>
      <c r="AL53" s="10">
        <v>7792000</v>
      </c>
      <c r="AM53" s="10">
        <v>12225000</v>
      </c>
      <c r="AN53" s="10">
        <v>11016000</v>
      </c>
      <c r="AO53" s="10">
        <f>269000+269000</f>
      </c>
      <c r="AP53" s="10">
        <v>1948000</v>
      </c>
      <c r="AQ53" s="10"/>
      <c r="AR53" s="10"/>
      <c r="AS53" s="10"/>
      <c r="AT53" s="10"/>
      <c r="AU53" s="10">
        <v>15517000</v>
      </c>
      <c r="AV53" s="10"/>
      <c r="AW53" s="10">
        <v>1679000</v>
      </c>
      <c r="AX53" s="10"/>
      <c r="AY53" s="10"/>
      <c r="AZ53" s="10"/>
      <c r="BA53" s="10"/>
      <c r="BB53" s="10"/>
      <c r="BC53" s="10"/>
      <c r="BD53" s="10"/>
      <c r="BE53" s="9">
        <v>125000000</v>
      </c>
      <c r="BF53" s="9"/>
      <c r="BG53" s="9"/>
      <c r="BH53" s="9"/>
      <c r="BI53" s="9">
        <f>SUM(M53,N53,Q53,R53,S53,T53,U53,V53,W53,X53,Y53,Z53,AA53,AB53,AC53,AD53,AE53,AF53,AG53,AH53,AI53,AJ53,AK53,AL53,AM53,AN53,AO53,AP53,AQ53,AR53,AS53,AT53,AU53,AV53,AW53,AX53,AY53,AZ53,BA53,BB53,BC53,BD53,BE53,BF53,BG53,BH53)</f>
      </c>
      <c r="BJ53" s="9">
        <f>I53-BI53</f>
      </c>
      <c r="BK53" s="9">
        <f>BJ53-BL53-BM53-BN53-BO53</f>
      </c>
      <c r="BL53" s="9"/>
      <c r="BM53" s="9"/>
      <c r="BN53" s="9"/>
      <c r="BO53" s="9"/>
      <c r="BP53" s="8"/>
      <c r="BQ53" t="inlineStr" s="8">
        <is>
          <t>2023-07-28</t>
        </is>
      </c>
      <c r="BR53" t="inlineStr" s="8">
        <is>
          <t>2023-09-22</t>
        </is>
      </c>
      <c r="BS53" s="8"/>
      <c r="BT53" s="8"/>
      <c r="BU53" s="8"/>
      <c r="BV53" s="8"/>
      <c r="BW53" s="8"/>
      <c r="BX53" s="8"/>
      <c r="BY53" s="8"/>
      <c r="BZ53" s="9"/>
      <c r="CA53" s="9"/>
      <c r="CB53" t="inlineStr" s="8">
        <is>
          <t>3166284157</t>
        </is>
      </c>
      <c r="CC53" t="inlineStr" s="8">
        <is>
          <t>kenobi.raj.74316920@example.com</t>
        </is>
      </c>
      <c r="CD53" t="inlineStr" s="8">
        <is>
          <t>JAKE CEL: 3166284257</t>
        </is>
      </c>
      <c r="CE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9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9">
        <f>SUM(BZ5:BZ53)</f>
      </c>
      <c r="CA54" s="9">
        <f>SUM(CA5:CA53)</f>
      </c>
      <c r="CB54" s="8"/>
      <c r="CC54" s="8"/>
      <c r="CD54" s="8"/>
      <c r="CE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8"/>
      <c r="CC55" s="8"/>
      <c r="CD55" s="8"/>
      <c r="CE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9">
        <f>SUM(BE5:BE53)</f>
      </c>
      <c r="BF56" s="9">
        <f>SUM(BF5:BF53)</f>
      </c>
      <c r="BG56" s="9">
        <f>SUM(BG5:BG53)</f>
      </c>
      <c r="BH56" s="9"/>
      <c r="BI56" s="9">
        <f>SUM(BI5:BI53)</f>
      </c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9">
        <f>SUM(BZ5:BZ53)</f>
      </c>
      <c r="CA56" s="9">
        <f>SUM(CA5:CA53)</f>
      </c>
      <c r="CB56" s="8"/>
      <c r="CC56" s="8"/>
      <c r="CD56" s="8"/>
      <c r="CE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3.7" customHeight="1">
      <c r="A59" t="inlineStr" s="8">
        <is>
          <t>60007919085344</t>
        </is>
      </c>
      <c r="B59" s="8"/>
      <c r="C59" t="inlineStr" s="8">
        <is>
          <t>203</t>
        </is>
      </c>
      <c r="D59" s="9">
        <v>55.20</v>
      </c>
      <c r="E59" t="inlineStr" s="8">
        <is>
          <t>73995218</t>
        </is>
      </c>
      <c r="F59" t="inlineStr" s="8">
        <is>
          <t>MAYFIELD FERRIS</t>
        </is>
      </c>
      <c r="G59" t="inlineStr" s="8">
        <is>
          <t>*TRASLADO</t>
        </is>
      </c>
      <c r="H59" t="inlineStr" s="8">
        <is>
          <t>BANCO DE BOGOTA</t>
        </is>
      </c>
      <c r="I59" s="9">
        <v>192172500.00</v>
      </c>
      <c r="J59" t="inlineStr" s="8">
        <is>
          <t>NC4261TRASLADO - NCR4273CR</t>
        </is>
      </c>
      <c r="K59" t="inlineStr" s="8">
        <is>
          <t>NCR4270 - NCR4271 - NCR4272 - NCR4268 - NCR4269 - NCR4263 - NCR4262 - NCR4267 - NCR4265 - NCR4264 - NCR4266</t>
        </is>
      </c>
      <c r="L59" t="inlineStr" s="8">
        <is>
          <t>2022-06-19</t>
        </is>
      </c>
      <c r="M59" s="9"/>
      <c r="N59" s="9">
        <v>15000000</v>
      </c>
      <c r="O59" t="inlineStr" s="8">
        <is>
          <t>SEP.13/22</t>
        </is>
      </c>
      <c r="P59" s="8"/>
      <c r="Q59" s="10"/>
      <c r="R59" s="10"/>
      <c r="S59" s="10"/>
      <c r="T59" s="10">
        <v>806000</v>
      </c>
      <c r="U59" s="10">
        <v>7658000</v>
      </c>
      <c r="V59" s="10"/>
      <c r="W59" s="10"/>
      <c r="X59" s="10">
        <f>3090000+11957000</f>
      </c>
      <c r="Y59" s="10">
        <f>3291000+5710000+403000</f>
      </c>
      <c r="Z59" s="10"/>
      <c r="AA59" s="10">
        <v>15987000</v>
      </c>
      <c r="AB59" s="10">
        <v>13097500</v>
      </c>
      <c r="AC59" s="10"/>
      <c r="AD59" s="10">
        <f>4904000+269000</f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9">
        <v>95000000</v>
      </c>
      <c r="BF59" s="9"/>
      <c r="BG59" s="9"/>
      <c r="BH59" s="9"/>
      <c r="BI59" s="9">
        <f>SUM(M59,N59,Q59,R59,S59,T59,U59,V59,W59,X59,Y59,Z59,AA59,AB59,AC59,AD59,AE59,AF59,AG59,AH59,AI59,AJ59,AK59,AL59,AM59,AN59,AO59,AP59,AQ59,AR59,AS59,AT59,AU59,AV59,AW59,AX59,AY59,AZ59,BA59,BB59,BC59,BD59,BE59,BF59,BG59,BH59)</f>
      </c>
      <c r="BJ59" s="9">
        <f>I59-BI59</f>
      </c>
      <c r="BK59" s="9">
        <f>BJ59-BL59-BM59-BN59-BO59</f>
      </c>
      <c r="BL59" s="9"/>
      <c r="BM59" s="9"/>
      <c r="BN59" s="9"/>
      <c r="BO59" s="9"/>
      <c r="BP59" s="8"/>
      <c r="BQ59" t="inlineStr" s="8">
        <is>
          <t>2022-06-04</t>
        </is>
      </c>
      <c r="BR59" t="inlineStr" s="8">
        <is>
          <t>2022-06-29</t>
        </is>
      </c>
      <c r="BS59" s="8"/>
      <c r="BT59" s="8"/>
      <c r="BU59" s="8"/>
      <c r="BV59" s="8"/>
      <c r="BW59" s="8"/>
      <c r="BX59" s="8"/>
      <c r="BY59" s="8"/>
      <c r="BZ59" s="9"/>
      <c r="CA59" s="9"/>
      <c r="CB59" t="inlineStr" s="8">
        <is>
          <t>3166231861</t>
        </is>
      </c>
      <c r="CC59" t="inlineStr" s="8">
        <is>
          <t>mayfield.ferris.73995218@example.com</t>
        </is>
      </c>
      <c r="CD59" t="inlineStr" s="8">
        <is>
          <t>JAKE CEL: 3166232514</t>
        </is>
      </c>
      <c r="CE59" t="inlineStr" s="8">
        <is>
          <t>NC4261 JUN.19/22 TRASLADO DE FERRIS MAYFIELD A RACHEL SNOW *ANTIC $15.000.000 *ARRAS $4'640</t>
        </is>
      </c>
    </row>
    <row r="60" ht="13.7" customHeight="1">
      <c r="A60" t="inlineStr" s="8">
        <is>
          <t>60007919085344</t>
        </is>
      </c>
      <c r="B60" s="8"/>
      <c r="C60" t="inlineStr" s="8">
        <is>
          <t>203</t>
        </is>
      </c>
      <c r="D60" s="9">
        <v>55.20</v>
      </c>
      <c r="E60" t="inlineStr" s="8">
        <is>
          <t>73997540</t>
        </is>
      </c>
      <c r="F60" t="inlineStr" s="8">
        <is>
          <t>SNOW RACHEL</t>
        </is>
      </c>
      <c r="G60" t="inlineStr" s="8">
        <is>
          <t>*TRASLADO</t>
        </is>
      </c>
      <c r="H60" t="inlineStr" s="8">
        <is>
          <t>BANCO DE BOGOTA</t>
        </is>
      </c>
      <c r="I60" s="9">
        <v>192172500.00</v>
      </c>
      <c r="J60" t="inlineStr" s="8">
        <is>
          <t>NC4261TRASLADO - NCR4273CR</t>
        </is>
      </c>
      <c r="K60" t="inlineStr" s="8">
        <is>
          <t>NCR4270 - NCR4271 - NCR4272 - NCR4268 - NCR4269 - NCR4263 - NCR4262 - NCR4267 - NCR4265 - NCR4264 - NCR4266</t>
        </is>
      </c>
      <c r="L60" t="inlineStr" s="8">
        <is>
          <t>2022-06-19</t>
        </is>
      </c>
      <c r="M60" s="9"/>
      <c r="N60" s="9">
        <v>15000000</v>
      </c>
      <c r="O60" t="inlineStr" s="8">
        <is>
          <t>SEP.13/22</t>
        </is>
      </c>
      <c r="P60" s="8"/>
      <c r="Q60" s="10"/>
      <c r="R60" s="10"/>
      <c r="S60" s="10"/>
      <c r="T60" s="10">
        <v>806000</v>
      </c>
      <c r="U60" s="10">
        <v>7658000</v>
      </c>
      <c r="V60" s="10"/>
      <c r="W60" s="10"/>
      <c r="X60" s="10">
        <f>3090000+11957000</f>
      </c>
      <c r="Y60" s="10">
        <f>3291000+5710000+403000</f>
      </c>
      <c r="Z60" s="10"/>
      <c r="AA60" s="10">
        <v>15987000</v>
      </c>
      <c r="AB60" s="10">
        <v>13097500</v>
      </c>
      <c r="AC60" s="10"/>
      <c r="AD60" s="10">
        <f>4904000+269000</f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>
        <v>95000000</v>
      </c>
      <c r="BF60" s="9"/>
      <c r="BG60" s="9"/>
      <c r="BH60" s="9"/>
      <c r="BI60" s="9">
        <f>SUM(M60,N60,Q60,R60,S60,T60,U60,V60,W60,X60,Y60,Z60,AA60,AB60,AC60,AD60,AE60,AF60,AG60,AH60,AI60,AJ60,AK60,AL60,AM60,AN60,AO60,AP60,AQ60,AR60,AS60,AT60,AU60,AV60,AW60,AX60,AY60,AZ60,BA60,BB60,BC60,BD60,BE60,BF60,BG60,BH60)</f>
      </c>
      <c r="BJ60" s="9">
        <f>I60-BI60</f>
      </c>
      <c r="BK60" s="9">
        <f>BJ60-BL60-BM60-BN60-BO60</f>
      </c>
      <c r="BL60" s="9"/>
      <c r="BM60" s="9"/>
      <c r="BN60" s="9"/>
      <c r="BO60" s="9"/>
      <c r="BP60" s="8"/>
      <c r="BQ60" t="inlineStr" s="8">
        <is>
          <t>2022-06-04</t>
        </is>
      </c>
      <c r="BR60" t="inlineStr" s="8">
        <is>
          <t>2022-06-29</t>
        </is>
      </c>
      <c r="BS60" s="8"/>
      <c r="BT60" s="8"/>
      <c r="BU60" s="8"/>
      <c r="BV60" s="8"/>
      <c r="BW60" s="8"/>
      <c r="BX60" s="8"/>
      <c r="BY60" s="8"/>
      <c r="BZ60" s="9"/>
      <c r="CA60" s="9"/>
      <c r="CB60" t="inlineStr" s="8">
        <is>
          <t>3166232139</t>
        </is>
      </c>
      <c r="CC60" t="inlineStr" s="8">
        <is>
          <t>snow.rachel.73997540@example.com</t>
        </is>
      </c>
      <c r="CD60" t="inlineStr" s="8">
        <is>
          <t>JAKE CEL: 3166232514</t>
        </is>
      </c>
      <c r="CE60" t="inlineStr" s="8">
        <is>
          <t>NC4261 JUN.19/22 TRASLADO DE FERRIS MAYFIELD A RACHEL SNOW *ANTIC $15.000.000 *ARRAS $4'640</t>
        </is>
      </c>
    </row>
    <row r="61" ht="13.7" customHeight="1">
      <c r="A61" t="inlineStr" s="8">
        <is>
          <t>60007919086458</t>
        </is>
      </c>
      <c r="B61" t="inlineStr" s="8">
        <is>
          <t>60007919086521</t>
        </is>
      </c>
      <c r="C61" t="inlineStr" s="8">
        <is>
          <t>403</t>
        </is>
      </c>
      <c r="D61" s="9">
        <v>55.20</v>
      </c>
      <c r="E61" t="inlineStr" s="8">
        <is>
          <t>74116765</t>
        </is>
      </c>
      <c r="F61" t="inlineStr" s="8">
        <is>
          <t>EHRMANTRAUT WALTER</t>
        </is>
      </c>
      <c r="G61" t="inlineStr" s="8">
        <is>
          <t>*CESION/ARRAS</t>
        </is>
      </c>
      <c r="H61" t="inlineStr" s="8">
        <is>
          <t>BANCO DE OCCIDENTE</t>
        </is>
      </c>
      <c r="I61" s="9">
        <v>192172500.00</v>
      </c>
      <c r="J61" s="8"/>
      <c r="K61" s="8"/>
      <c r="L61" t="inlineStr" s="8">
        <is>
          <t>2022-08-12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/>
      <c r="BF61" s="9"/>
      <c r="BG61" s="9"/>
      <c r="BH61" s="9"/>
      <c r="BI61" s="9">
        <f>SUM(M61,N61,Q61,R61,S61,T61,U61,V61,W61,X61,Y61,Z61,AA61,AB61,AC61,AD61,AE61,AF61,AG61,AH61,AI61,AJ61,AK61,AL61,AM61,AN61,AO61,AP61,AQ61,AR61,AS61,AT61,AU61,AV61,AW61,AX61,AY61,AZ61,BA61,BB61,BC61,BD61,BE61,BF61,BG61,BH61)</f>
      </c>
      <c r="BJ61" s="9">
        <f>I61-BI61</f>
      </c>
      <c r="BK61" s="9">
        <f>BJ61-BL61-BM61-BN61-BO61</f>
      </c>
      <c r="BL61" s="9"/>
      <c r="BM61" s="9"/>
      <c r="BN61" s="9"/>
      <c r="BO61" s="9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9"/>
      <c r="CA61" s="9"/>
      <c r="CB61" t="inlineStr" s="8">
        <is>
          <t>3166252892</t>
        </is>
      </c>
      <c r="CC61" t="inlineStr" s="8">
        <is>
          <t>ehrmantraut.walter.74116765@example.com</t>
        </is>
      </c>
      <c r="CD61" t="inlineStr" s="8">
        <is>
          <t>BUNNY BUGS CEL: 3166254043</t>
        </is>
      </c>
      <c r="CE61" t="inlineStr" s="8">
        <is>
          <t>NC4395 AGO.12/22 CESION DE WALTER EHRMANTRAUT A LEGOLAS GRIFFIN *ANTIC $15.000.000 *ARRAS $4'640</t>
        </is>
      </c>
    </row>
    <row r="62" ht="13.7" customHeight="1">
      <c r="A62" t="inlineStr" s="8">
        <is>
          <t>60007919086521</t>
        </is>
      </c>
      <c r="B62" s="8"/>
      <c r="C62" t="inlineStr" s="8">
        <is>
          <t>403</t>
        </is>
      </c>
      <c r="D62" s="9">
        <v>55.20</v>
      </c>
      <c r="E62" t="inlineStr" s="8">
        <is>
          <t>74123336</t>
        </is>
      </c>
      <c r="F62" t="inlineStr" s="8">
        <is>
          <t>GRIFFIN LEGOLAS</t>
        </is>
      </c>
      <c r="G62" t="inlineStr" s="8">
        <is>
          <t>*CESION/ARRAS</t>
        </is>
      </c>
      <c r="H62" t="inlineStr" s="8">
        <is>
          <t>BANCO DE OCCIDENTE</t>
        </is>
      </c>
      <c r="I62" s="9">
        <v>192172500.00</v>
      </c>
      <c r="J62" t="inlineStr" s="8">
        <is>
          <t>NC4395CESION - NCR4405CR</t>
        </is>
      </c>
      <c r="K62" t="inlineStr" s="8">
        <is>
          <t>NCR4401 - NCR4397 - NCR4396 - NCR4398 - NCR4400 - NCR4399 - NCR4402 - NCR4403 - NCR4404</t>
        </is>
      </c>
      <c r="L62" t="inlineStr" s="8">
        <is>
          <t>2022-08-12</t>
        </is>
      </c>
      <c r="M62" s="9"/>
      <c r="N62" s="9">
        <v>15000000</v>
      </c>
      <c r="O62" t="inlineStr" s="8">
        <is>
          <t>AGO.5/22</t>
        </is>
      </c>
      <c r="P62" s="8"/>
      <c r="Q62" s="10"/>
      <c r="R62" s="10"/>
      <c r="S62" s="10"/>
      <c r="T62" s="10">
        <v>712000</v>
      </c>
      <c r="U62" s="10"/>
      <c r="V62" s="10"/>
      <c r="W62" s="10"/>
      <c r="X62" s="10"/>
      <c r="Y62" s="10"/>
      <c r="Z62" s="10">
        <f>2031000+181000</f>
      </c>
      <c r="AA62" s="10">
        <v>447000</v>
      </c>
      <c r="AB62" s="10"/>
      <c r="AC62" s="10"/>
      <c r="AD62" s="10">
        <v>3115000</v>
      </c>
      <c r="AE62" s="10"/>
      <c r="AF62" s="10"/>
      <c r="AG62" s="10"/>
      <c r="AH62" s="10">
        <f>372000+2371000+1053000</f>
      </c>
      <c r="AI62" s="10">
        <v>351000</v>
      </c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9">
        <v>65000000</v>
      </c>
      <c r="BF62" s="9"/>
      <c r="BG62" s="9"/>
      <c r="BH62" s="9"/>
      <c r="BI62" s="9">
        <f>SUM(M62,N62,Q62,R62,S62,T62,U62,V62,W62,X62,Y62,Z62,AA62,AB62,AC62,AD62,AE62,AF62,AG62,AH62,AI62,AJ62,AK62,AL62,AM62,AN62,AO62,AP62,AQ62,AR62,AS62,AT62,AU62,AV62,AW62,AX62,AY62,AZ62,BA62,BB62,BC62,BD62,BE62,BF62,BG62,BH62)</f>
      </c>
      <c r="BJ62" s="9">
        <f>I62-BI62</f>
      </c>
      <c r="BK62" s="9">
        <f>BJ62-BL62-BM62-BN62-BO62</f>
      </c>
      <c r="BL62" s="9"/>
      <c r="BM62" s="9"/>
      <c r="BN62" s="9"/>
      <c r="BO62" s="9"/>
      <c r="BP62" s="8"/>
      <c r="BQ62" t="inlineStr" s="8">
        <is>
          <t>2022-04-12</t>
        </is>
      </c>
      <c r="BR62" t="inlineStr" s="8">
        <is>
          <t>2022-07-13</t>
        </is>
      </c>
      <c r="BS62" s="8"/>
      <c r="BT62" s="8"/>
      <c r="BU62" s="8"/>
      <c r="BV62" s="8"/>
      <c r="BW62" s="8"/>
      <c r="BX62" s="8"/>
      <c r="BY62" s="8"/>
      <c r="BZ62" s="9"/>
      <c r="CA62" s="9"/>
      <c r="CB62" t="inlineStr" s="8">
        <is>
          <t>3166253229</t>
        </is>
      </c>
      <c r="CC62" t="inlineStr" s="8">
        <is>
          <t>griffin.legolas.74123336@example.com</t>
        </is>
      </c>
      <c r="CD62" t="inlineStr" s="8">
        <is>
          <t>BUNNY BUGS CEL: 3166254043</t>
        </is>
      </c>
      <c r="CE62" t="inlineStr" s="8">
        <is>
          <t>NC4395 AGO.12/22 CESION DE WALTER EHRMANTRAUT A LEGOLAS GRIFFIN *ANTIC $15.000.000 *ARRAS $4'640</t>
        </is>
      </c>
    </row>
    <row r="63" ht="13.7" customHeight="1">
      <c r="A63" t="inlineStr" s="8">
        <is>
          <t>60007919086618</t>
        </is>
      </c>
      <c r="B63" s="8"/>
      <c r="C63" t="inlineStr" s="8">
        <is>
          <t>404</t>
        </is>
      </c>
      <c r="D63" s="9">
        <v>55.20</v>
      </c>
      <c r="E63" t="inlineStr" s="8">
        <is>
          <t>74126056</t>
        </is>
      </c>
      <c r="F63" t="inlineStr" s="8">
        <is>
          <t>BUFFAY JOHN</t>
        </is>
      </c>
      <c r="G63" t="inlineStr" s="8">
        <is>
          <t>*INCLUSION</t>
        </is>
      </c>
      <c r="H63" t="inlineStr" s="8">
        <is>
          <t>BANCO DAVIVIENDA</t>
        </is>
      </c>
      <c r="I63" s="9">
        <v>192172500.00</v>
      </c>
      <c r="J63" s="8"/>
      <c r="K63" s="8"/>
      <c r="L63" t="inlineStr" s="8">
        <is>
          <t>2022-09-12</t>
        </is>
      </c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/>
      <c r="BF63" s="9"/>
      <c r="BG63" s="9"/>
      <c r="BH63" s="9"/>
      <c r="BI63" s="9">
        <f>SUM(M63,N63,Q63,R63,S63,T63,U63,V63,W63,X63,Y63,Z63,AA63,AB63,AC63,AD63,AE63,AF63,AG63,AH63,AI63,AJ63,AK63,AL63,AM63,AN63,AO63,AP63,AQ63,AR63,AS63,AT63,AU63,AV63,AW63,AX63,AY63,AZ63,BA63,BB63,BC63,BD63,BE63,BF63,BG63,BH63)</f>
      </c>
      <c r="BJ63" s="9">
        <f>I63-BI63</f>
      </c>
      <c r="BK63" s="9">
        <f>BJ63-BL63-BM63-BN63-BO63</f>
      </c>
      <c r="BL63" s="9"/>
      <c r="BM63" s="9"/>
      <c r="BN63" s="9"/>
      <c r="BO63" s="9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t="inlineStr" s="8">
        <is>
          <t>3166254306</t>
        </is>
      </c>
      <c r="CC63" t="inlineStr" s="8">
        <is>
          <t>buffay.john.74126056@example.com</t>
        </is>
      </c>
      <c r="CD63" t="inlineStr" s="8">
        <is>
          <t>FLINTSTONE FRED CEL: 3166255004</t>
        </is>
      </c>
      <c r="CE63" t="inlineStr" s="8">
        <is>
          <t>NC4407 SEP.12/22 INCLUSION LOIS TENTACLES</t>
        </is>
      </c>
    </row>
    <row r="64" ht="13.7" customHeight="1">
      <c r="A64" t="inlineStr" s="8">
        <is>
          <t>60007919085179</t>
        </is>
      </c>
      <c r="B64" t="inlineStr" s="8">
        <is>
          <t>60007919085198</t>
        </is>
      </c>
      <c r="C64" t="inlineStr" s="8">
        <is>
          <t>202</t>
        </is>
      </c>
      <c r="D64" s="9">
        <v>55.20</v>
      </c>
      <c r="E64" t="inlineStr" s="8">
        <is>
          <t>73979288</t>
        </is>
      </c>
      <c r="F64" t="inlineStr" s="8">
        <is>
          <t>BUFFAY SAUL</t>
        </is>
      </c>
      <c r="G64" t="inlineStr" s="8">
        <is>
          <t>*TRASLADO</t>
        </is>
      </c>
      <c r="H64" t="inlineStr" s="8">
        <is>
          <t>BANCO DE OCCIDENTE</t>
        </is>
      </c>
      <c r="I64" s="9">
        <v>192172500.00</v>
      </c>
      <c r="J64" s="8"/>
      <c r="K64" s="8"/>
      <c r="L64" t="inlineStr" s="8">
        <is>
          <t>2022-10-27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/>
      <c r="BF64" s="9"/>
      <c r="BG64" s="9"/>
      <c r="BH64" s="9"/>
      <c r="BI64" s="9">
        <f>SUM(M64,N64,Q64,R64,S64,T64,U64,V64,W64,X64,Y64,Z64,AA64,AB64,AC64,AD64,AE64,AF64,AG64,AH64,AI64,AJ64,AK64,AL64,AM64,AN64,AO64,AP64,AQ64,AR64,AS64,AT64,AU64,AV64,AW64,AX64,AY64,AZ64,BA64,BB64,BC64,BD64,BE64,BF64,BG64,BH64)</f>
      </c>
      <c r="BJ64" s="9">
        <f>I64-BI64</f>
      </c>
      <c r="BK64" s="9">
        <f>BJ64-BL64-BM64-BN64-BO64</f>
      </c>
      <c r="BL64" s="9"/>
      <c r="BM64" s="9"/>
      <c r="BN64" s="9"/>
      <c r="BO64" s="9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t="inlineStr" s="8">
        <is>
          <t>3166229978</t>
        </is>
      </c>
      <c r="CC64" t="inlineStr" s="8">
        <is>
          <t>buffay.saul.73979288@example.com</t>
        </is>
      </c>
      <c r="CD64" t="inlineStr" s="8">
        <is>
          <t>JETSON GEORGE CEL: 3166231275</t>
        </is>
      </c>
      <c r="CE64" t="inlineStr" s="8">
        <is>
          <t>NC4250 OCT.27/22 TRASLADO DE SAUL BUFFAY A LISA COOPER *ANTIC $12.000.000 *ARRAS $4'640</t>
        </is>
      </c>
    </row>
    <row r="65" ht="13.7" customHeight="1">
      <c r="A65" t="inlineStr" s="8">
        <is>
          <t>60007919085198</t>
        </is>
      </c>
      <c r="B65" s="8"/>
      <c r="C65" t="inlineStr" s="8">
        <is>
          <t>202</t>
        </is>
      </c>
      <c r="D65" s="9">
        <v>55.20</v>
      </c>
      <c r="E65" t="inlineStr" s="8">
        <is>
          <t>73986219</t>
        </is>
      </c>
      <c r="F65" t="inlineStr" s="8">
        <is>
          <t>COOPER LISA</t>
        </is>
      </c>
      <c r="G65" t="inlineStr" s="8">
        <is>
          <t>*TRASLADO</t>
        </is>
      </c>
      <c r="H65" t="inlineStr" s="8">
        <is>
          <t>BANCO DE OCCIDENTE</t>
        </is>
      </c>
      <c r="I65" s="9">
        <v>192172500.00</v>
      </c>
      <c r="J65" t="inlineStr" s="8">
        <is>
          <t>NCR4257 - NC4250TRASLADO - NCR4258CR</t>
        </is>
      </c>
      <c r="K65" t="inlineStr" s="8">
        <is>
          <t>NCR4255 - NCR4256 - NCR4252 - NCR4254 - NCR4253 - NCR4251</t>
        </is>
      </c>
      <c r="L65" t="inlineStr" s="8">
        <is>
          <t>2022-10-27</t>
        </is>
      </c>
      <c r="M65" s="9">
        <v>24494000</v>
      </c>
      <c r="N65" s="9">
        <v>12000000</v>
      </c>
      <c r="O65" t="inlineStr" s="8">
        <is>
          <t>MAR.26/23</t>
        </is>
      </c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>
        <v>12124000</v>
      </c>
      <c r="AB65" s="10">
        <v>4948000</v>
      </c>
      <c r="AC65" s="10"/>
      <c r="AD65" s="10"/>
      <c r="AE65" s="10">
        <v>4256000</v>
      </c>
      <c r="AF65" s="10"/>
      <c r="AG65" s="10"/>
      <c r="AH65" s="10"/>
      <c r="AI65" s="10"/>
      <c r="AJ65" s="10">
        <v>2128000</v>
      </c>
      <c r="AK65" s="10"/>
      <c r="AL65" s="10"/>
      <c r="AM65" s="10">
        <v>594000</v>
      </c>
      <c r="AN65" s="10"/>
      <c r="AO65" s="10"/>
      <c r="AP65" s="10">
        <v>940000</v>
      </c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>
        <v>80000000</v>
      </c>
      <c r="BF65" s="9"/>
      <c r="BG65" s="9"/>
      <c r="BH65" s="9"/>
      <c r="BI65" s="9">
        <f>SUM(M65,N65,Q65,R65,S65,T65,U65,V65,W65,X65,Y65,Z65,AA65,AB65,AC65,AD65,AE65,AF65,AG65,AH65,AI65,AJ65,AK65,AL65,AM65,AN65,AO65,AP65,AQ65,AR65,AS65,AT65,AU65,AV65,AW65,AX65,AY65,AZ65,BA65,BB65,BC65,BD65,BE65,BF65,BG65,BH65)</f>
      </c>
      <c r="BJ65" s="9">
        <f>I65-BI65</f>
      </c>
      <c r="BK65" s="9">
        <f>BJ65-BL65-BM65-BN65-BO65</f>
      </c>
      <c r="BL65" s="9"/>
      <c r="BM65" s="9"/>
      <c r="BN65" s="9"/>
      <c r="BO65" s="9"/>
      <c r="BP65" s="8"/>
      <c r="BQ65" t="inlineStr" s="8">
        <is>
          <t>2022-09-22</t>
        </is>
      </c>
      <c r="BR65" t="inlineStr" s="8">
        <is>
          <t>2022-10-17</t>
        </is>
      </c>
      <c r="BS65" s="8"/>
      <c r="BT65" s="8"/>
      <c r="BU65" s="8"/>
      <c r="BV65" s="8"/>
      <c r="BW65" s="8"/>
      <c r="BX65" s="8"/>
      <c r="BY65" s="8"/>
      <c r="BZ65" s="9"/>
      <c r="CA65" s="9"/>
      <c r="CB65" t="inlineStr" s="8">
        <is>
          <t>3166230778</t>
        </is>
      </c>
      <c r="CC65" t="inlineStr" s="8">
        <is>
          <t>cooper.lisa.73986219@example.com</t>
        </is>
      </c>
      <c r="CD65" t="inlineStr" s="8">
        <is>
          <t>JETSON GEORGE CEL: 3166231275</t>
        </is>
      </c>
      <c r="CE65" t="inlineStr" s="8">
        <is>
          <t>NC4250 OCT.27/22 TRASLADO DE SAUL BUFFAY A LISA COOPER *ANTIC $12.000.000 *ARRAS $4'640</t>
        </is>
      </c>
    </row>
    <row r="66" ht="13.7" customHeight="1">
      <c r="A66" t="inlineStr" s="8">
        <is>
          <t>60007919086824</t>
        </is>
      </c>
      <c r="B66" t="inlineStr" s="8">
        <is>
          <t>60007919086876</t>
        </is>
      </c>
      <c r="C66" t="inlineStr" s="8">
        <is>
          <t>405</t>
        </is>
      </c>
      <c r="D66" s="9">
        <v>55.20</v>
      </c>
      <c r="E66" t="inlineStr" s="8">
        <is>
          <t>74139770</t>
        </is>
      </c>
      <c r="F66" t="inlineStr" s="8">
        <is>
          <t>GRIFFIN LUNA</t>
        </is>
      </c>
      <c r="G66" t="inlineStr" s="8">
        <is>
          <t>*TRASLADO</t>
        </is>
      </c>
      <c r="H66" t="inlineStr" s="8">
        <is>
          <t>BANCO DAVIVIENDA</t>
        </is>
      </c>
      <c r="I66" s="9">
        <v>192172500.00</v>
      </c>
      <c r="J66" s="8"/>
      <c r="K66" s="8"/>
      <c r="L66" t="inlineStr" s="8">
        <is>
          <t>2022-12-13</t>
        </is>
      </c>
      <c r="M66" s="9"/>
      <c r="N66" s="9"/>
      <c r="O66" s="8"/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/>
      <c r="BF66" s="9"/>
      <c r="BG66" s="9"/>
      <c r="BH66" s="9"/>
      <c r="BI66" s="9">
        <f>SUM(M66,N66,Q66,R66,S66,T66,U66,V66,W66,X66,Y66,Z66,AA66,AB66,AC66,AD66,AE66,AF66,AG66,AH66,AI66,AJ66,AK66,AL66,AM66,AN66,AO66,AP66,AQ66,AR66,AS66,AT66,AU66,AV66,AW66,AX66,AY66,AZ66,BA66,BB66,BC66,BD66,BE66,BF66,BG66,BH66)</f>
      </c>
      <c r="BJ66" s="9">
        <f>I66-BI66</f>
      </c>
      <c r="BK66" s="9">
        <f>BJ66-BL66-BM66-BN66-BO66</f>
      </c>
      <c r="BL66" s="9"/>
      <c r="BM66" s="9"/>
      <c r="BN66" s="9"/>
      <c r="BO66" s="9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9"/>
      <c r="CA66" s="9"/>
      <c r="CB66" t="inlineStr" s="8">
        <is>
          <t>3166255672</t>
        </is>
      </c>
      <c r="CC66" t="inlineStr" s="8">
        <is>
          <t>griffin.luna.74139770@example.com</t>
        </is>
      </c>
      <c r="CD66" t="inlineStr" s="8">
        <is>
          <t>FINN CEL: 3166256060</t>
        </is>
      </c>
      <c r="CE66" t="inlineStr" s="8">
        <is>
          <t>NC4417 DIC.13/22 TRASLADO DE LUNA GRIFFIN A DAENERYS MORNINGSTAR *ANTIC $15.000.000 *ARRAS $4'640</t>
        </is>
      </c>
    </row>
    <row r="67" ht="13.7" customHeight="1">
      <c r="A67" t="inlineStr" s="8">
        <is>
          <t>60007919086876</t>
        </is>
      </c>
      <c r="B67" s="8"/>
      <c r="C67" t="inlineStr" s="8">
        <is>
          <t>405</t>
        </is>
      </c>
      <c r="D67" s="9">
        <v>55.20</v>
      </c>
      <c r="E67" t="inlineStr" s="8">
        <is>
          <t>74146454</t>
        </is>
      </c>
      <c r="F67" t="inlineStr" s="8">
        <is>
          <t>MORNINGSTAR DAENERYS</t>
        </is>
      </c>
      <c r="G67" t="inlineStr" s="8">
        <is>
          <t>*TRASLADO</t>
        </is>
      </c>
      <c r="H67" t="inlineStr" s="8">
        <is>
          <t>BANCO DAVIVIENDA</t>
        </is>
      </c>
      <c r="I67" s="9">
        <v>192172500.00</v>
      </c>
      <c r="J67" t="inlineStr" s="8">
        <is>
          <t>NC4417TRASLADO - NCR4418CR</t>
        </is>
      </c>
      <c r="K67" s="8"/>
      <c r="L67" t="inlineStr" s="8">
        <is>
          <t>2022-12-13</t>
        </is>
      </c>
      <c r="M67" s="9"/>
      <c r="N67" s="9">
        <v>15000000</v>
      </c>
      <c r="O67" t="inlineStr" s="8">
        <is>
          <t>ENE.30/23</t>
        </is>
      </c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>
        <v>125000000</v>
      </c>
      <c r="BF67" s="9"/>
      <c r="BG67" s="9"/>
      <c r="BH67" s="9"/>
      <c r="BI67" s="9">
        <f>SUM(M67,N67,Q67,R67,S67,T67,U67,V67,W67,X67,Y67,Z67,AA67,AB67,AC67,AD67,AE67,AF67,AG67,AH67,AI67,AJ67,AK67,AL67,AM67,AN67,AO67,AP67,AQ67,AR67,AS67,AT67,AU67,AV67,AW67,AX67,AY67,AZ67,BA67,BB67,BC67,BD67,BE67,BF67,BG67,BH67)</f>
      </c>
      <c r="BJ67" s="9">
        <f>I67-BI67</f>
      </c>
      <c r="BK67" s="9">
        <f>BJ67-BL67-BM67-BN67-BO67</f>
      </c>
      <c r="BL67" s="9"/>
      <c r="BM67" s="9"/>
      <c r="BN67" s="9"/>
      <c r="BO67" s="9"/>
      <c r="BP67" s="8"/>
      <c r="BQ67" t="inlineStr" s="8">
        <is>
          <t>2022-07-26</t>
        </is>
      </c>
      <c r="BR67" t="inlineStr" s="8">
        <is>
          <t>2022-09-06</t>
        </is>
      </c>
      <c r="BS67" s="8"/>
      <c r="BT67" s="8"/>
      <c r="BU67" s="8"/>
      <c r="BV67" s="8"/>
      <c r="BW67" s="8"/>
      <c r="BX67" s="8"/>
      <c r="BY67" s="8"/>
      <c r="BZ67" s="9"/>
      <c r="CA67" s="9"/>
      <c r="CB67" t="inlineStr" s="8">
        <is>
          <t>3166255949</t>
        </is>
      </c>
      <c r="CC67" t="inlineStr" s="8">
        <is>
          <t>morningstar.daenerys.74146454@example.com</t>
        </is>
      </c>
      <c r="CD67" t="inlineStr" s="8">
        <is>
          <t>FINN CEL: 3166256060</t>
        </is>
      </c>
      <c r="CE67" t="inlineStr" s="8">
        <is>
          <t>NC4417 DIC.13/22 TRASLADO DE LUNA GRIFFIN A DAENERYS MORNINGSTAR *ANTIC $15.000.000 *ARRAS $4'640</t>
        </is>
      </c>
    </row>
    <row r="68" ht="13.7" customHeight="1">
      <c r="A68" t="inlineStr" s="8">
        <is>
          <t>60007919086097</t>
        </is>
      </c>
      <c r="B68" s="8"/>
      <c r="C68" t="inlineStr" s="8">
        <is>
          <t>304</t>
        </is>
      </c>
      <c r="D68" s="9">
        <v>55.20</v>
      </c>
      <c r="E68" t="inlineStr" s="8">
        <is>
          <t>74051029</t>
        </is>
      </c>
      <c r="F68" t="inlineStr" s="8">
        <is>
          <t>MALFOY SAUL</t>
        </is>
      </c>
      <c r="G68" t="inlineStr" s="8">
        <is>
          <t>*CESION/ARRAS</t>
        </is>
      </c>
      <c r="H68" s="8"/>
      <c r="I68" s="9">
        <v>192172500.00</v>
      </c>
      <c r="J68" t="inlineStr" s="8">
        <is>
          <t>NCR4335 - NC4333CESION</t>
        </is>
      </c>
      <c r="K68" t="inlineStr" s="8">
        <is>
          <t>NCR4337 - NCR4336 - NCR4338 - NCR4334 - NCR4339</t>
        </is>
      </c>
      <c r="L68" t="inlineStr" s="8">
        <is>
          <t>2023-01-07</t>
        </is>
      </c>
      <c r="M68" s="9">
        <v>37116000</v>
      </c>
      <c r="N68" s="9">
        <v>12000000</v>
      </c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>
        <v>3062500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0">
        <v>48466000</v>
      </c>
      <c r="AL68" s="10"/>
      <c r="AM68" s="10"/>
      <c r="AN68" s="10">
        <v>27026000</v>
      </c>
      <c r="AO68" s="10"/>
      <c r="AP68" s="10"/>
      <c r="AQ68" s="10"/>
      <c r="AR68" s="10"/>
      <c r="AS68" s="10"/>
      <c r="AT68" s="10"/>
      <c r="AU68" s="10">
        <v>36395000</v>
      </c>
      <c r="AV68" s="10">
        <v>28107214</v>
      </c>
      <c r="AW68" s="10"/>
      <c r="AX68" s="10"/>
      <c r="AY68" s="10"/>
      <c r="AZ68" s="10"/>
      <c r="BA68" s="10"/>
      <c r="BB68" s="10"/>
      <c r="BC68" s="10"/>
      <c r="BD68" s="10"/>
      <c r="BE68" s="9"/>
      <c r="BF68" s="9"/>
      <c r="BG68" s="9"/>
      <c r="BH68" s="9"/>
      <c r="BI68" s="9">
        <f>SUM(M68,N68,Q68,R68,S68,T68,U68,V68,W68,X68,Y68,Z68,AA68,AB68,AC68,AD68,AE68,AF68,AG68,AH68,AI68,AJ68,AK68,AL68,AM68,AN68,AO68,AP68,AQ68,AR68,AS68,AT68,AU68,AV68,AW68,AX68,AY68,AZ68,BA68,BB68,BC68,BD68,BE68,BF68,BG68,BH68)</f>
      </c>
      <c r="BJ68" s="9">
        <f>I68-BI68</f>
      </c>
      <c r="BK68" s="9">
        <f>BJ68-BL68-BM68-BN68-BO68</f>
      </c>
      <c r="BL68" s="9"/>
      <c r="BM68" s="9"/>
      <c r="BN68" s="9"/>
      <c r="BO68" s="9"/>
      <c r="BP68" s="8"/>
      <c r="BQ68" t="inlineStr" s="8">
        <is>
          <t>2022-12-15</t>
        </is>
      </c>
      <c r="BR68" t="inlineStr" s="8">
        <is>
          <t>2023-03-31</t>
        </is>
      </c>
      <c r="BS68" s="8"/>
      <c r="BT68" s="8"/>
      <c r="BU68" s="8"/>
      <c r="BV68" s="8"/>
      <c r="BW68" s="8"/>
      <c r="BX68" s="8"/>
      <c r="BY68" s="8"/>
      <c r="BZ68" s="9"/>
      <c r="CA68" s="9"/>
      <c r="CB68" t="inlineStr" s="8">
        <is>
          <t>3166243069</t>
        </is>
      </c>
      <c r="CC68" t="inlineStr" s="8">
        <is>
          <t>malfoy.saul.74051029@example.com</t>
        </is>
      </c>
      <c r="CD68" t="inlineStr" s="8">
        <is>
          <t>DUCK DAFFY CEL: 3166244485</t>
        </is>
      </c>
      <c r="CE68" t="inlineStr" s="8">
        <is>
          <t>NC4333 ENE.7/23 CESION DE SAUL MALFOY/WALTER GAMGEE A HERMIONE KRABS *ANTIC $12.000.000 *ARRAS $4'640</t>
        </is>
      </c>
    </row>
    <row r="69" ht="13.7" customHeight="1">
      <c r="A69" t="inlineStr" s="8">
        <is>
          <t>60007919086097</t>
        </is>
      </c>
      <c r="B69" s="8"/>
      <c r="C69" t="inlineStr" s="8">
        <is>
          <t>304</t>
        </is>
      </c>
      <c r="D69" s="9">
        <v>55.20</v>
      </c>
      <c r="E69" t="inlineStr" s="8">
        <is>
          <t>74058001</t>
        </is>
      </c>
      <c r="F69" t="inlineStr" s="8">
        <is>
          <t>KRABS HERMIONE</t>
        </is>
      </c>
      <c r="G69" t="inlineStr" s="8">
        <is>
          <t>*CESION/ARRAS</t>
        </is>
      </c>
      <c r="H69" s="8"/>
      <c r="I69" s="9">
        <v>192172500.00</v>
      </c>
      <c r="J69" t="inlineStr" s="8">
        <is>
          <t>NCR4335 - NC4333CESION</t>
        </is>
      </c>
      <c r="K69" t="inlineStr" s="8">
        <is>
          <t>NCR4337 - NCR4336 - NCR4338 - NCR4334 - NCR4339</t>
        </is>
      </c>
      <c r="L69" t="inlineStr" s="8">
        <is>
          <t>2023-01-07</t>
        </is>
      </c>
      <c r="M69" s="9">
        <v>37116000</v>
      </c>
      <c r="N69" s="9">
        <v>12000000</v>
      </c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>
        <v>3062500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0">
        <v>48466000</v>
      </c>
      <c r="AL69" s="10"/>
      <c r="AM69" s="10"/>
      <c r="AN69" s="10">
        <v>27026000</v>
      </c>
      <c r="AO69" s="10"/>
      <c r="AP69" s="10"/>
      <c r="AQ69" s="10"/>
      <c r="AR69" s="10"/>
      <c r="AS69" s="10"/>
      <c r="AT69" s="10"/>
      <c r="AU69" s="10">
        <v>36395000</v>
      </c>
      <c r="AV69" s="10">
        <v>28107214</v>
      </c>
      <c r="AW69" s="10"/>
      <c r="AX69" s="10"/>
      <c r="AY69" s="10"/>
      <c r="AZ69" s="10"/>
      <c r="BA69" s="10"/>
      <c r="BB69" s="10"/>
      <c r="BC69" s="10"/>
      <c r="BD69" s="10"/>
      <c r="BE69" s="9"/>
      <c r="BF69" s="9"/>
      <c r="BG69" s="9"/>
      <c r="BH69" s="9"/>
      <c r="BI69" s="9">
        <f>SUM(M69,N69,Q69,R69,S69,T69,U69,V69,W69,X69,Y69,Z69,AA69,AB69,AC69,AD69,AE69,AF69,AG69,AH69,AI69,AJ69,AK69,AL69,AM69,AN69,AO69,AP69,AQ69,AR69,AS69,AT69,AU69,AV69,AW69,AX69,AY69,AZ69,BA69,BB69,BC69,BD69,BE69,BF69,BG69,BH69)</f>
      </c>
      <c r="BJ69" s="9">
        <f>I69-BI69</f>
      </c>
      <c r="BK69" s="9">
        <f>BJ69-BL69-BM69-BN69-BO69</f>
      </c>
      <c r="BL69" s="9"/>
      <c r="BM69" s="9"/>
      <c r="BN69" s="9"/>
      <c r="BO69" s="9"/>
      <c r="BP69" s="8"/>
      <c r="BQ69" t="inlineStr" s="8">
        <is>
          <t>2022-12-15</t>
        </is>
      </c>
      <c r="BR69" t="inlineStr" s="8">
        <is>
          <t>2023-03-31</t>
        </is>
      </c>
      <c r="BS69" s="8"/>
      <c r="BT69" s="8"/>
      <c r="BU69" s="8"/>
      <c r="BV69" s="8"/>
      <c r="BW69" s="8"/>
      <c r="BX69" s="8"/>
      <c r="BY69" s="8"/>
      <c r="BZ69" s="9"/>
      <c r="CA69" s="9"/>
      <c r="CB69" t="inlineStr" s="8">
        <is>
          <t>3166244457</t>
        </is>
      </c>
      <c r="CC69" t="inlineStr" s="8">
        <is>
          <t>krabs.hermione.74058001@example.com</t>
        </is>
      </c>
      <c r="CD69" t="inlineStr" s="8">
        <is>
          <t>DUCK DAFFY CEL: 3166244485</t>
        </is>
      </c>
      <c r="CE69" t="inlineStr" s="8">
        <is>
          <t>NC4333 ENE.7/23 CESION DE SAUL MALFOY/WALTER GAMGEE A HERMIONE KRABS *ANTIC $12.000.000 *ARRAS $4'640</t>
        </is>
      </c>
    </row>
    <row r="70" ht="13.7" customHeight="1">
      <c r="A70" t="inlineStr" s="8">
        <is>
          <t>60007919087866</t>
        </is>
      </c>
      <c r="B70" t="inlineStr" s="8">
        <is>
          <t>60007919087879</t>
        </is>
      </c>
      <c r="C70" t="inlineStr" s="8">
        <is>
          <t>602</t>
        </is>
      </c>
      <c r="D70" s="9">
        <v>55.20</v>
      </c>
      <c r="E70" t="inlineStr" s="8">
        <is>
          <t>74217722</t>
        </is>
      </c>
      <c r="F70" t="inlineStr" s="8">
        <is>
          <t>MORNINGSTAR DUSTIN</t>
        </is>
      </c>
      <c r="G70" t="inlineStr" s="8">
        <is>
          <t>*TRASLADO</t>
        </is>
      </c>
      <c r="H70" s="8"/>
      <c r="I70" s="9">
        <v>192172500.00</v>
      </c>
      <c r="J70" s="8"/>
      <c r="K70" s="8"/>
      <c r="L70" t="inlineStr" s="8">
        <is>
          <t>2023-01-09</t>
        </is>
      </c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/>
      <c r="BF70" s="9"/>
      <c r="BG70" s="9"/>
      <c r="BH70" s="9"/>
      <c r="BI70" s="9">
        <f>SUM(M70,N70,Q70,R70,S70,T70,U70,V70,W70,X70,Y70,Z70,AA70,AB70,AC70,AD70,AE70,AF70,AG70,AH70,AI70,AJ70,AK70,AL70,AM70,AN70,AO70,AP70,AQ70,AR70,AS70,AT70,AU70,AV70,AW70,AX70,AY70,AZ70,BA70,BB70,BC70,BD70,BE70,BF70,BG70,BH70)</f>
      </c>
      <c r="BJ70" s="9">
        <f>I70-BI70</f>
      </c>
      <c r="BK70" s="9">
        <f>BJ70-BL70-BM70-BN70-BO70</f>
      </c>
      <c r="BL70" s="9"/>
      <c r="BM70" s="9"/>
      <c r="BN70" s="9"/>
      <c r="BO70" s="9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t="inlineStr" s="8">
        <is>
          <t>3166268144</t>
        </is>
      </c>
      <c r="CC70" t="inlineStr" s="8">
        <is>
          <t>morningstar.dustin.74217722@example.com</t>
        </is>
      </c>
      <c r="CD70" t="inlineStr" s="8">
        <is>
          <t>DUCK DAFFY CEL: 3166268639</t>
        </is>
      </c>
      <c r="CE70" t="inlineStr" s="8">
        <is>
          <t>NC4519 ENE.9/23 TRASLADO DE DUSTIN MORNINGSTAR A TONY GELLER *ANTIC $12.000.000 *ARRAS $4'640</t>
        </is>
      </c>
    </row>
    <row r="71" ht="13.7" customHeight="1">
      <c r="A71" t="inlineStr" s="8">
        <is>
          <t>60007919087879</t>
        </is>
      </c>
      <c r="B71" s="8"/>
      <c r="C71" t="inlineStr" s="8">
        <is>
          <t>602</t>
        </is>
      </c>
      <c r="D71" s="9">
        <v>55.20</v>
      </c>
      <c r="E71" t="inlineStr" s="8">
        <is>
          <t>74223810</t>
        </is>
      </c>
      <c r="F71" t="inlineStr" s="8">
        <is>
          <t>GELLER TONY</t>
        </is>
      </c>
      <c r="G71" t="inlineStr" s="8">
        <is>
          <t>*TRASLADO</t>
        </is>
      </c>
      <c r="H71" s="8"/>
      <c r="I71" s="9">
        <v>192172500.00</v>
      </c>
      <c r="J71" t="inlineStr" s="8">
        <is>
          <t>NC4519TRASLADO</t>
        </is>
      </c>
      <c r="K71" t="inlineStr" s="8">
        <is>
          <t>NCR4528 - NCR4525 - NCR4526 - NCR4527 - NCR4521 - NCR4524 - NCR4523 - NCR4520 - NCR4522</t>
        </is>
      </c>
      <c r="L71" t="inlineStr" s="8">
        <is>
          <t>2023-01-09</t>
        </is>
      </c>
      <c r="M71" s="9"/>
      <c r="N71" s="9">
        <v>12000000</v>
      </c>
      <c r="O71" s="8"/>
      <c r="P71" s="8"/>
      <c r="Q71" s="10"/>
      <c r="R71" s="10"/>
      <c r="S71" s="10"/>
      <c r="T71" s="10"/>
      <c r="U71" s="10"/>
      <c r="V71" s="10"/>
      <c r="W71" s="10"/>
      <c r="X71" s="10">
        <f>3754000+9911000+7509000+6157000+72834000</f>
      </c>
      <c r="Y71" s="10"/>
      <c r="Z71" s="10">
        <v>6758000</v>
      </c>
      <c r="AA71" s="10"/>
      <c r="AB71" s="10">
        <v>32437000</v>
      </c>
      <c r="AC71" s="10">
        <v>3154000</v>
      </c>
      <c r="AD71" s="10">
        <v>7658500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/>
      <c r="BF71" s="9"/>
      <c r="BG71" s="9"/>
      <c r="BH71" s="9"/>
      <c r="BI71" s="9">
        <f>SUM(M71,N71,Q71,R71,S71,T71,U71,V71,W71,X71,Y71,Z71,AA71,AB71,AC71,AD71,AE71,AF71,AG71,AH71,AI71,AJ71,AK71,AL71,AM71,AN71,AO71,AP71,AQ71,AR71,AS71,AT71,AU71,AV71,AW71,AX71,AY71,AZ71,BA71,BB71,BC71,BD71,BE71,BF71,BG71,BH71)</f>
      </c>
      <c r="BJ71" s="9">
        <f>I71-BI71</f>
      </c>
      <c r="BK71" s="9">
        <f>BJ71-BL71-BM71-BN71-BO71</f>
      </c>
      <c r="BL71" s="9"/>
      <c r="BM71" s="9"/>
      <c r="BN71" s="9"/>
      <c r="BO71" s="9"/>
      <c r="BP71" s="8"/>
      <c r="BQ71" t="inlineStr" s="8">
        <is>
          <t>2022-11-09</t>
        </is>
      </c>
      <c r="BR71" t="inlineStr" s="8">
        <is>
          <t>2022-12-13</t>
        </is>
      </c>
      <c r="BS71" s="8"/>
      <c r="BT71" s="8"/>
      <c r="BU71" s="8"/>
      <c r="BV71" s="8"/>
      <c r="BW71" s="8"/>
      <c r="BX71" s="8"/>
      <c r="BY71" s="8"/>
      <c r="BZ71" s="9"/>
      <c r="CA71" s="9"/>
      <c r="CB71" t="inlineStr" s="8">
        <is>
          <t>3166268453</t>
        </is>
      </c>
      <c r="CC71" t="inlineStr" s="8">
        <is>
          <t>geller.tony.74223810@example.com</t>
        </is>
      </c>
      <c r="CD71" t="inlineStr" s="8">
        <is>
          <t>DUCK DAFFY CEL: 3166268639</t>
        </is>
      </c>
      <c r="CE71" t="inlineStr" s="8">
        <is>
          <t>NC4519 ENE.9/23 TRASLADO DE DUSTIN MORNINGSTAR A TONY GELLER *ANTIC $12.000.000 *ARRAS $4'640</t>
        </is>
      </c>
    </row>
    <row r="72" ht="13.7" customHeight="1">
      <c r="A72" t="inlineStr" s="8">
        <is>
          <t>60007919084887</t>
        </is>
      </c>
      <c r="B72" s="8"/>
      <c r="C72" t="inlineStr" s="8">
        <is>
          <t>107</t>
        </is>
      </c>
      <c r="D72" s="9">
        <v>55.20</v>
      </c>
      <c r="E72" t="inlineStr" s="8">
        <is>
          <t>73969728</t>
        </is>
      </c>
      <c r="F72" t="inlineStr" s="8">
        <is>
          <t>DREW CLEVELAND</t>
        </is>
      </c>
      <c r="G72" t="inlineStr" s="8">
        <is>
          <t>*EXCLUSION</t>
        </is>
      </c>
      <c r="H72" s="8"/>
      <c r="I72" s="9">
        <v>192172500.00</v>
      </c>
      <c r="J72" s="8"/>
      <c r="K72" s="8"/>
      <c r="L72" t="inlineStr" s="8">
        <is>
          <t>2023-02-19</t>
        </is>
      </c>
      <c r="M72" s="9"/>
      <c r="N72" s="9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/>
      <c r="BF72" s="9"/>
      <c r="BG72" s="9"/>
      <c r="BH72" s="9"/>
      <c r="BI72" s="9">
        <f>SUM(M72,N72,Q72,R72,S72,T72,U72,V72,W72,X72,Y72,Z72,AA72,AB72,AC72,AD72,AE72,AF72,AG72,AH72,AI72,AJ72,AK72,AL72,AM72,AN72,AO72,AP72,AQ72,AR72,AS72,AT72,AU72,AV72,AW72,AX72,AY72,AZ72,BA72,BB72,BC72,BD72,BE72,BF72,BG72,BH72)</f>
      </c>
      <c r="BJ72" s="9">
        <f>I72-BI72</f>
      </c>
      <c r="BK72" s="9">
        <f>BJ72-BL72-BM72-BN72-BO72</f>
      </c>
      <c r="BL72" s="9"/>
      <c r="BM72" s="9"/>
      <c r="BN72" s="9"/>
      <c r="BO72" s="9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t="inlineStr" s="8">
        <is>
          <t>3166227374</t>
        </is>
      </c>
      <c r="CC72" t="inlineStr" s="8">
        <is>
          <t>drew.cleveland.73969728@example.com</t>
        </is>
      </c>
      <c r="CD72" t="inlineStr" s="8">
        <is>
          <t>JETSON GEORGE CEL: 3166229044</t>
        </is>
      </c>
      <c r="CE72" t="inlineStr" s="8">
        <is>
          <t>NC4222 FEB.19/23 EXCLUSION DE JOHN KRABS</t>
        </is>
      </c>
    </row>
    <row r="73" ht="13.7" customHeight="1">
      <c r="A73" t="inlineStr" s="8">
        <is>
          <t>60007919086351</t>
        </is>
      </c>
      <c r="B73" s="8"/>
      <c r="C73" t="inlineStr" s="8">
        <is>
          <t>402</t>
        </is>
      </c>
      <c r="D73" s="9">
        <v>55.20</v>
      </c>
      <c r="E73" t="inlineStr" s="8">
        <is>
          <t>74105921</t>
        </is>
      </c>
      <c r="F73" t="inlineStr" s="8">
        <is>
          <t>BYERS RON</t>
        </is>
      </c>
      <c r="G73" t="inlineStr" s="8">
        <is>
          <t>*INCLUSION</t>
        </is>
      </c>
      <c r="H73" t="inlineStr" s="8">
        <is>
          <t>BANCOLOMBIA</t>
        </is>
      </c>
      <c r="I73" s="9">
        <v>192172500.00</v>
      </c>
      <c r="J73" t="inlineStr" s="8">
        <is>
          <t>NCR4393CR</t>
        </is>
      </c>
      <c r="K73" t="inlineStr" s="8">
        <is>
          <t>NCR4390 - NCR4391 - NCR4392 - NCR4389</t>
        </is>
      </c>
      <c r="L73" t="inlineStr" s="8">
        <is>
          <t>2023-02-22</t>
        </is>
      </c>
      <c r="M73" s="9"/>
      <c r="N73" s="9"/>
      <c r="O73" t="inlineStr" s="8">
        <is>
          <t>ENE.23/24</t>
        </is>
      </c>
      <c r="P73" s="8"/>
      <c r="Q73" s="10"/>
      <c r="R73" s="10"/>
      <c r="S73" s="10"/>
      <c r="T73" s="10"/>
      <c r="U73" s="10"/>
      <c r="V73" s="10">
        <v>3774000</v>
      </c>
      <c r="W73" s="10"/>
      <c r="X73" s="10"/>
      <c r="Y73" s="10"/>
      <c r="Z73" s="10">
        <v>19906500</v>
      </c>
      <c r="AA73" s="10"/>
      <c r="AB73" s="10"/>
      <c r="AC73" s="10">
        <v>4953000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>
        <v>18539082</v>
      </c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9">
        <v>125000000</v>
      </c>
      <c r="BF73" s="9"/>
      <c r="BG73" s="9"/>
      <c r="BH73" s="9"/>
      <c r="BI73" s="9">
        <f>SUM(M73,N73,Q73,R73,S73,T73,U73,V73,W73,X73,Y73,Z73,AA73,AB73,AC73,AD73,AE73,AF73,AG73,AH73,AI73,AJ73,AK73,AL73,AM73,AN73,AO73,AP73,AQ73,AR73,AS73,AT73,AU73,AV73,AW73,AX73,AY73,AZ73,BA73,BB73,BC73,BD73,BE73,BF73,BG73,BH73)</f>
      </c>
      <c r="BJ73" s="9">
        <f>I73-BI73</f>
      </c>
      <c r="BK73" s="9">
        <f>BJ73-BL73-BM73-BN73-BO73</f>
      </c>
      <c r="BL73" s="9"/>
      <c r="BM73" s="9"/>
      <c r="BN73" s="9"/>
      <c r="BO73" s="9"/>
      <c r="BP73" s="8"/>
      <c r="BQ73" t="inlineStr" s="8">
        <is>
          <t>2022-08-23</t>
        </is>
      </c>
      <c r="BR73" t="inlineStr" s="8">
        <is>
          <t>2022-12-17</t>
        </is>
      </c>
      <c r="BS73" t="inlineStr" s="8">
        <is>
          <t>2024-06-20</t>
        </is>
      </c>
      <c r="BT73" s="8"/>
      <c r="BU73" s="8"/>
      <c r="BV73" s="8"/>
      <c r="BW73" s="8"/>
      <c r="BX73" s="8"/>
      <c r="BY73" s="8"/>
      <c r="BZ73" s="9"/>
      <c r="CA73" s="9"/>
      <c r="CB73" t="inlineStr" s="8">
        <is>
          <t>3166251085</t>
        </is>
      </c>
      <c r="CC73" t="inlineStr" s="8">
        <is>
          <t>byers.ron.74105921@example.com</t>
        </is>
      </c>
      <c r="CD73" t="inlineStr" s="8">
        <is>
          <t>PANTHER PINK CEL: 3166252225</t>
        </is>
      </c>
      <c r="CE73" t="inlineStr" s="8">
        <is>
          <t>NC4388 FEB.22/23 INCLUSION MIKE FRING</t>
        </is>
      </c>
    </row>
    <row r="74" ht="13.7" customHeight="1">
      <c r="A74" t="inlineStr" s="8">
        <is>
          <t>60007919086285</t>
        </is>
      </c>
      <c r="B74" s="8"/>
      <c r="C74" t="inlineStr" s="8">
        <is>
          <t>401</t>
        </is>
      </c>
      <c r="D74" s="9">
        <v>55.20</v>
      </c>
      <c r="E74" t="inlineStr" s="8">
        <is>
          <t>74089052</t>
        </is>
      </c>
      <c r="F74" t="inlineStr" s="8">
        <is>
          <t>KENOBI SHERLOCK</t>
        </is>
      </c>
      <c r="G74" t="inlineStr" s="8">
        <is>
          <t>*TRASLADO</t>
        </is>
      </c>
      <c r="H74" t="inlineStr" s="8">
        <is>
          <t>BANCO CAJA SOCIAL</t>
        </is>
      </c>
      <c r="I74" s="9">
        <v>192172500.00</v>
      </c>
      <c r="J74" t="inlineStr" s="8">
        <is>
          <t>NCR4382 - NCR4383 - NCR4384 - NCR4381 - NC4380TRASLADO - NCR4385CR</t>
        </is>
      </c>
      <c r="K74" s="8"/>
      <c r="L74" t="inlineStr" s="8">
        <is>
          <t>2023-05-30</t>
        </is>
      </c>
      <c r="M74" s="9">
        <f>3375000+7217000+9168334+569000</f>
      </c>
      <c r="N74" s="9">
        <v>15000000</v>
      </c>
      <c r="O74" t="inlineStr" s="8">
        <is>
          <t>JUN.29/23</t>
        </is>
      </c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>
        <v>27664666</v>
      </c>
      <c r="BF74" s="9"/>
      <c r="BG74" s="9"/>
      <c r="BH74" s="9"/>
      <c r="BI74" s="9">
        <f>SUM(M74,N74,Q74,R74,S74,T74,U74,V74,W74,X74,Y74,Z74,AA74,AB74,AC74,AD74,AE74,AF74,AG74,AH74,AI74,AJ74,AK74,AL74,AM74,AN74,AO74,AP74,AQ74,AR74,AS74,AT74,AU74,AV74,AW74,AX74,AY74,AZ74,BA74,BB74,BC74,BD74,BE74,BF74,BG74,BH74)</f>
      </c>
      <c r="BJ74" s="9">
        <f>I74-BI74</f>
      </c>
      <c r="BK74" s="9">
        <f>BJ74-BL74-BM74-BN74-BO74</f>
      </c>
      <c r="BL74" s="9"/>
      <c r="BM74" s="9"/>
      <c r="BN74" s="9"/>
      <c r="BO74" s="9"/>
      <c r="BP74" s="8"/>
      <c r="BQ74" t="inlineStr" s="8">
        <is>
          <t>2022-03-30</t>
        </is>
      </c>
      <c r="BR74" t="inlineStr" s="8">
        <is>
          <t>2022-06-27</t>
        </is>
      </c>
      <c r="BS74" s="8"/>
      <c r="BT74" s="8"/>
      <c r="BU74" s="8"/>
      <c r="BV74" s="8"/>
      <c r="BW74" s="8"/>
      <c r="BX74" s="8"/>
      <c r="BY74" s="8"/>
      <c r="BZ74" s="9"/>
      <c r="CA74" s="9"/>
      <c r="CB74" t="inlineStr" s="8">
        <is>
          <t>3166248381</t>
        </is>
      </c>
      <c r="CC74" t="inlineStr" s="8">
        <is>
          <t>kenobi.sherlock.74089052@example.com</t>
        </is>
      </c>
      <c r="CD74" t="inlineStr" s="8">
        <is>
          <t>FLINTSTONE FRED CEL: 3166250424</t>
        </is>
      </c>
      <c r="CE74" t="inlineStr" s="8">
        <is>
          <t>NC4380 MAY.30/23 TRASLADO DE SHERLOCK KENOBI/MONICA SQUAREPANTS A PAM SCHRUTE *ANTIC $15.000.000 *ARRAS $4'640</t>
        </is>
      </c>
    </row>
    <row r="75" ht="13.7" customHeight="1">
      <c r="A75" t="inlineStr" s="8">
        <is>
          <t>60007919086285</t>
        </is>
      </c>
      <c r="B75" s="8"/>
      <c r="C75" t="inlineStr" s="8">
        <is>
          <t>401</t>
        </is>
      </c>
      <c r="D75" s="9">
        <v>55.20</v>
      </c>
      <c r="E75" t="inlineStr" s="8">
        <is>
          <t>74099446</t>
        </is>
      </c>
      <c r="F75" t="inlineStr" s="8">
        <is>
          <t>SCHRUTE PAM</t>
        </is>
      </c>
      <c r="G75" t="inlineStr" s="8">
        <is>
          <t>*TRASLADO</t>
        </is>
      </c>
      <c r="H75" t="inlineStr" s="8">
        <is>
          <t>BANCO CAJA SOCIAL</t>
        </is>
      </c>
      <c r="I75" s="9">
        <v>192172500.00</v>
      </c>
      <c r="J75" t="inlineStr" s="8">
        <is>
          <t>NCR4382 - NCR4383 - NCR4384 - NCR4381 - NC4380TRASLADO - NCR4385CR</t>
        </is>
      </c>
      <c r="K75" s="8"/>
      <c r="L75" t="inlineStr" s="8">
        <is>
          <t>2023-05-30</t>
        </is>
      </c>
      <c r="M75" s="9">
        <f>3375000+7217000+9168334+569000</f>
      </c>
      <c r="N75" s="9">
        <v>15000000</v>
      </c>
      <c r="O75" t="inlineStr" s="8">
        <is>
          <t>JUN.29/23</t>
        </is>
      </c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>
        <v>27664666</v>
      </c>
      <c r="BF75" s="9"/>
      <c r="BG75" s="9"/>
      <c r="BH75" s="9"/>
      <c r="BI75" s="9">
        <f>SUM(M75,N75,Q75,R75,S75,T75,U75,V75,W75,X75,Y75,Z75,AA75,AB75,AC75,AD75,AE75,AF75,AG75,AH75,AI75,AJ75,AK75,AL75,AM75,AN75,AO75,AP75,AQ75,AR75,AS75,AT75,AU75,AV75,AW75,AX75,AY75,AZ75,BA75,BB75,BC75,BD75,BE75,BF75,BG75,BH75)</f>
      </c>
      <c r="BJ75" s="9">
        <f>I75-BI75</f>
      </c>
      <c r="BK75" s="9">
        <f>BJ75-BL75-BM75-BN75-BO75</f>
      </c>
      <c r="BL75" s="9"/>
      <c r="BM75" s="9"/>
      <c r="BN75" s="9"/>
      <c r="BO75" s="9"/>
      <c r="BP75" s="8"/>
      <c r="BQ75" t="inlineStr" s="8">
        <is>
          <t>2022-03-30</t>
        </is>
      </c>
      <c r="BR75" t="inlineStr" s="8">
        <is>
          <t>2022-06-27</t>
        </is>
      </c>
      <c r="BS75" s="8"/>
      <c r="BT75" s="8"/>
      <c r="BU75" s="8"/>
      <c r="BV75" s="8"/>
      <c r="BW75" s="8"/>
      <c r="BX75" s="8"/>
      <c r="BY75" s="8"/>
      <c r="BZ75" s="9"/>
      <c r="CA75" s="9"/>
      <c r="CB75" t="inlineStr" s="8">
        <is>
          <t>3166249575</t>
        </is>
      </c>
      <c r="CC75" t="inlineStr" s="8">
        <is>
          <t>schrute.pam.74099446@example.com</t>
        </is>
      </c>
      <c r="CD75" t="inlineStr" s="8">
        <is>
          <t>FLINTSTONE FRED CEL: 3166250424</t>
        </is>
      </c>
      <c r="CE75" t="inlineStr" s="8">
        <is>
          <t>NC4380 MAY.30/23 TRASLADO DE SHERLOCK KENOBI/MONICA SQUAREPANTS A PAM SCHRUTE *ANTIC $15.000.000 *ARRAS $4'640</t>
        </is>
      </c>
    </row>
    <row r="76" ht="13.7" customHeight="1">
      <c r="A76" t="inlineStr" s="8">
        <is>
          <t>60007919084551</t>
        </is>
      </c>
      <c r="B76" s="8"/>
      <c r="C76" t="inlineStr" s="8">
        <is>
          <t>101</t>
        </is>
      </c>
      <c r="D76" s="9">
        <v>55.20</v>
      </c>
      <c r="E76" t="inlineStr" s="8">
        <is>
          <t>73903387</t>
        </is>
      </c>
      <c r="F76" t="inlineStr" s="8">
        <is>
          <t>HOLMES MORTY</t>
        </is>
      </c>
      <c r="G76" t="inlineStr" s="8">
        <is>
          <t>*EXCLUSION</t>
        </is>
      </c>
      <c r="H76" t="inlineStr" s="8">
        <is>
          <t>BBVA</t>
        </is>
      </c>
      <c r="I76" s="9">
        <v>192172500.00</v>
      </c>
      <c r="J76" s="8"/>
      <c r="K76" s="8"/>
      <c r="L76" t="inlineStr" s="8">
        <is>
          <t>2023-06-01</t>
        </is>
      </c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/>
      <c r="BF76" s="9"/>
      <c r="BG76" s="9"/>
      <c r="BH76" s="9"/>
      <c r="BI76" s="9">
        <f>SUM(M76,N76,Q76,R76,S76,T76,U76,V76,W76,X76,Y76,Z76,AA76,AB76,AC76,AD76,AE76,AF76,AG76,AH76,AI76,AJ76,AK76,AL76,AM76,AN76,AO76,AP76,AQ76,AR76,AS76,AT76,AU76,AV76,AW76,AX76,AY76,AZ76,BA76,BB76,BC76,BD76,BE76,BF76,BG76,BH76)</f>
      </c>
      <c r="BJ76" s="9">
        <f>I76-BI76</f>
      </c>
      <c r="BK76" s="9">
        <f>BJ76-BL76-BM76-BN76-BO76</f>
      </c>
      <c r="BL76" s="9"/>
      <c r="BM76" s="9"/>
      <c r="BN76" s="9"/>
      <c r="BO76" s="9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t="inlineStr" s="8">
        <is>
          <t>3166220316</t>
        </is>
      </c>
      <c r="CC76" t="inlineStr" s="8">
        <is>
          <t>holmes.morty.73903387@example.com</t>
        </is>
      </c>
      <c r="CD76" t="inlineStr" s="8">
        <is>
          <t>FINN CEL: 3166221975</t>
        </is>
      </c>
      <c r="CE76" t="inlineStr" s="8">
        <is>
          <t>NC4143 JUN.1/23 EXCLUSION DE MORTY HOLMES</t>
        </is>
      </c>
    </row>
    <row r="77" ht="13.7" customHeight="1">
      <c r="A77" t="inlineStr" s="8">
        <is>
          <t>60007919084697</t>
        </is>
      </c>
      <c r="B77" s="8"/>
      <c r="C77" t="inlineStr" s="8">
        <is>
          <t>103</t>
        </is>
      </c>
      <c r="D77" s="9">
        <v>55.20</v>
      </c>
      <c r="E77" t="inlineStr" s="8">
        <is>
          <t>73921770</t>
        </is>
      </c>
      <c r="F77" t="inlineStr" s="8">
        <is>
          <t>WOLOWITZ LUNA</t>
        </is>
      </c>
      <c r="G77" t="inlineStr" s="8">
        <is>
          <t>*EXCLUSION</t>
        </is>
      </c>
      <c r="H77" t="inlineStr" s="8">
        <is>
          <t>BANCO DAVIVIENDA</t>
        </is>
      </c>
      <c r="I77" s="9">
        <v>192172500.00</v>
      </c>
      <c r="J77" s="8"/>
      <c r="K77" s="8"/>
      <c r="L77" t="inlineStr" s="8">
        <is>
          <t>2023-06-17</t>
        </is>
      </c>
      <c r="M77" s="9"/>
      <c r="N77" s="9"/>
      <c r="O77" s="8"/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9"/>
      <c r="BF77" s="9"/>
      <c r="BG77" s="9"/>
      <c r="BH77" s="9"/>
      <c r="BI77" s="9">
        <f>SUM(M77,N77,Q77,R77,S77,T77,U77,V77,W77,X77,Y77,Z77,AA77,AB77,AC77,AD77,AE77,AF77,AG77,AH77,AI77,AJ77,AK77,AL77,AM77,AN77,AO77,AP77,AQ77,AR77,AS77,AT77,AU77,AV77,AW77,AX77,AY77,AZ77,BA77,BB77,BC77,BD77,BE77,BF77,BG77,BH77)</f>
      </c>
      <c r="BJ77" s="9">
        <f>I77-BI77</f>
      </c>
      <c r="BK77" s="9">
        <f>BJ77-BL77-BM77-BN77-BO77</f>
      </c>
      <c r="BL77" s="9"/>
      <c r="BM77" s="9"/>
      <c r="BN77" s="9"/>
      <c r="BO77" s="9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9"/>
      <c r="CA77" s="9"/>
      <c r="CB77" t="inlineStr" s="8">
        <is>
          <t>3166223273</t>
        </is>
      </c>
      <c r="CC77" t="inlineStr" s="8">
        <is>
          <t>wolowitz.luna.73921770@example.com</t>
        </is>
      </c>
      <c r="CD77" t="inlineStr" s="8">
        <is>
          <t>FINN CEL: 3166223748</t>
        </is>
      </c>
      <c r="CE77" t="inlineStr" s="8">
        <is>
          <t>NC4172 JUN.17/23 EXCLUSION DE RON GELLER</t>
        </is>
      </c>
    </row>
    <row r="78" ht="13.7" customHeight="1">
      <c r="A78" t="inlineStr" s="8">
        <is>
          <t>60007919088200</t>
        </is>
      </c>
      <c r="B78" t="inlineStr" s="8">
        <is>
          <t>60007919088268</t>
        </is>
      </c>
      <c r="C78" t="inlineStr" s="8">
        <is>
          <t>605</t>
        </is>
      </c>
      <c r="D78" s="9">
        <v>55.20</v>
      </c>
      <c r="E78" t="inlineStr" s="8">
        <is>
          <t>74242894</t>
        </is>
      </c>
      <c r="F78" t="inlineStr" s="8">
        <is>
          <t>SIMPSON SUMMER</t>
        </is>
      </c>
      <c r="G78" t="inlineStr" s="8">
        <is>
          <t>*TRASLADO</t>
        </is>
      </c>
      <c r="H78" t="inlineStr" s="8">
        <is>
          <t>BANCO CAJA SOCIAL</t>
        </is>
      </c>
      <c r="I78" s="9">
        <v>192172500.00</v>
      </c>
      <c r="J78" s="8"/>
      <c r="K78" s="8"/>
      <c r="L78" t="inlineStr" s="8">
        <is>
          <t>2023-07-28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/>
      <c r="BF78" s="9"/>
      <c r="BG78" s="9"/>
      <c r="BH78" s="9"/>
      <c r="BI78" s="9">
        <f>SUM(M78,N78,Q78,R78,S78,T78,U78,V78,W78,X78,Y78,Z78,AA78,AB78,AC78,AD78,AE78,AF78,AG78,AH78,AI78,AJ78,AK78,AL78,AM78,AN78,AO78,AP78,AQ78,AR78,AS78,AT78,AU78,AV78,AW78,AX78,AY78,AZ78,BA78,BB78,BC78,BD78,BE78,BF78,BG78,BH78)</f>
      </c>
      <c r="BJ78" s="9">
        <f>I78-BI78</f>
      </c>
      <c r="BK78" s="9">
        <f>BJ78-BL78-BM78-BN78-BO78</f>
      </c>
      <c r="BL78" s="9"/>
      <c r="BM78" s="9"/>
      <c r="BN78" s="9"/>
      <c r="BO78" s="9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t="inlineStr" s="8">
        <is>
          <t>3166271267</t>
        </is>
      </c>
      <c r="CC78" t="inlineStr" s="8">
        <is>
          <t>simpson.summer.74242894@example.com</t>
        </is>
      </c>
      <c r="CD78" t="inlineStr" s="8">
        <is>
          <t>JAKE CEL: 3166272423</t>
        </is>
      </c>
      <c r="CE78" t="inlineStr" s="8">
        <is>
          <t>NC4545 JUL.28/23 TRASLADO DE SUMMER SIMPSON A WALTER BAGGINS *ANTIC $15.000.000 *ARRAS $4'640</t>
        </is>
      </c>
    </row>
    <row r="79" ht="13.7" customHeight="1">
      <c r="A79" t="inlineStr" s="8">
        <is>
          <t>60007919088268</t>
        </is>
      </c>
      <c r="B79" s="8"/>
      <c r="C79" t="inlineStr" s="8">
        <is>
          <t>605</t>
        </is>
      </c>
      <c r="D79" s="9">
        <v>55.20</v>
      </c>
      <c r="E79" t="inlineStr" s="8">
        <is>
          <t>74245262</t>
        </is>
      </c>
      <c r="F79" t="inlineStr" s="8">
        <is>
          <t>BAGGINS WALTER</t>
        </is>
      </c>
      <c r="G79" t="inlineStr" s="8">
        <is>
          <t>*TRASLADO</t>
        </is>
      </c>
      <c r="H79" t="inlineStr" s="8">
        <is>
          <t>BANCO CAJA SOCIAL</t>
        </is>
      </c>
      <c r="I79" s="9">
        <v>192172500.00</v>
      </c>
      <c r="J79" t="inlineStr" s="8">
        <is>
          <t>NCR4550 - NCR4552 - NC4545TRASLADO - NCR4554CR</t>
        </is>
      </c>
      <c r="K79" t="inlineStr" s="8">
        <is>
          <t>NCR4551 - NCR4553 - NCR4547 - NCR4549 - NCR4548 - NCR4546</t>
        </is>
      </c>
      <c r="L79" t="inlineStr" s="8">
        <is>
          <t>2023-07-28</t>
        </is>
      </c>
      <c r="M79" s="9">
        <f>18463000+16616000</f>
      </c>
      <c r="N79" s="9">
        <v>15000000</v>
      </c>
      <c r="O79" t="inlineStr" s="8">
        <is>
          <t>MAR.20/23</t>
        </is>
      </c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f>4761000+486000+12244000+10300000</f>
      </c>
      <c r="AC79" s="10"/>
      <c r="AD79" s="10"/>
      <c r="AE79" s="10"/>
      <c r="AF79" s="10">
        <v>8065500</v>
      </c>
      <c r="AG79" s="10"/>
      <c r="AH79" s="10"/>
      <c r="AI79" s="10">
        <v>26237000</v>
      </c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9">
        <v>80000000</v>
      </c>
      <c r="BF79" s="9"/>
      <c r="BG79" s="9"/>
      <c r="BH79" s="9"/>
      <c r="BI79" s="9">
        <f>SUM(M79,N79,Q79,R79,S79,T79,U79,V79,W79,X79,Y79,Z79,AA79,AB79,AC79,AD79,AE79,AF79,AG79,AH79,AI79,AJ79,AK79,AL79,AM79,AN79,AO79,AP79,AQ79,AR79,AS79,AT79,AU79,AV79,AW79,AX79,AY79,AZ79,BA79,BB79,BC79,BD79,BE79,BF79,BG79,BH79)</f>
      </c>
      <c r="BJ79" s="9">
        <f>I79-BI79</f>
      </c>
      <c r="BK79" s="9">
        <f>BJ79-BL79-BM79-BN79-BO79</f>
      </c>
      <c r="BL79" s="9"/>
      <c r="BM79" s="9"/>
      <c r="BN79" s="9"/>
      <c r="BO79" s="9"/>
      <c r="BP79" s="8"/>
      <c r="BQ79" t="inlineStr" s="8">
        <is>
          <t>2023-01-10</t>
        </is>
      </c>
      <c r="BR79" t="inlineStr" s="8">
        <is>
          <t>2023-02-09</t>
        </is>
      </c>
      <c r="BS79" t="inlineStr" s="8">
        <is>
          <t>2024-02-14</t>
        </is>
      </c>
      <c r="BT79" s="8"/>
      <c r="BU79" s="8"/>
      <c r="BV79" s="8"/>
      <c r="BW79" s="8"/>
      <c r="BX79" s="8"/>
      <c r="BY79" s="8"/>
      <c r="BZ79" s="9"/>
      <c r="CA79" s="9"/>
      <c r="CB79" t="inlineStr" s="8">
        <is>
          <t>3166272042</t>
        </is>
      </c>
      <c r="CC79" t="inlineStr" s="8">
        <is>
          <t>baggins.walter.74245262@example.com</t>
        </is>
      </c>
      <c r="CD79" t="inlineStr" s="8">
        <is>
          <t>JAKE CEL: 3166272423</t>
        </is>
      </c>
      <c r="CE79" t="inlineStr" s="8">
        <is>
          <t>NC4545 JUL.28/23 TRASLADO DE SUMMER SIMPSON A WALTER BAGGINS *ANTIC $15.000.000 *ARRAS $4'640</t>
        </is>
      </c>
    </row>
    <row r="80" ht="13.7" customHeight="1">
      <c r="A80" t="inlineStr" s="8">
        <is>
          <t>60007919085812</t>
        </is>
      </c>
      <c r="B80" s="8"/>
      <c r="C80" t="inlineStr" s="8">
        <is>
          <t>302</t>
        </is>
      </c>
      <c r="D80" s="9">
        <v>55.20</v>
      </c>
      <c r="E80" t="inlineStr" s="8">
        <is>
          <t>74025237</t>
        </is>
      </c>
      <c r="F80" t="inlineStr" s="8">
        <is>
          <t>GREEN RACHEL</t>
        </is>
      </c>
      <c r="G80" t="inlineStr" s="8">
        <is>
          <t>*CESION/ARRAS</t>
        </is>
      </c>
      <c r="H80" t="inlineStr" s="8">
        <is>
          <t>BANCO DE OCCIDENTE</t>
        </is>
      </c>
      <c r="I80" s="9">
        <v>192172500.00</v>
      </c>
      <c r="J80" s="8"/>
      <c r="K80" s="8"/>
      <c r="L80" t="inlineStr" s="8">
        <is>
          <t>2023-08-28</t>
        </is>
      </c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9"/>
      <c r="BF80" s="9"/>
      <c r="BG80" s="9"/>
      <c r="BH80" s="9"/>
      <c r="BI80" s="9">
        <f>SUM(M80,N80,Q80,R80,S80,T80,U80,V80,W80,X80,Y80,Z80,AA80,AB80,AC80,AD80,AE80,AF80,AG80,AH80,AI80,AJ80,AK80,AL80,AM80,AN80,AO80,AP80,AQ80,AR80,AS80,AT80,AU80,AV80,AW80,AX80,AY80,AZ80,BA80,BB80,BC80,BD80,BE80,BF80,BG80,BH80)</f>
      </c>
      <c r="BJ80" s="9">
        <f>I80-BI80</f>
      </c>
      <c r="BK80" s="9">
        <f>BJ80-BL80-BM80-BN80-BO80</f>
      </c>
      <c r="BL80" s="9"/>
      <c r="BM80" s="9"/>
      <c r="BN80" s="9"/>
      <c r="BO80" s="9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9"/>
      <c r="CA80" s="9"/>
      <c r="CB80" t="inlineStr" s="8">
        <is>
          <t>3166239187</t>
        </is>
      </c>
      <c r="CC80" t="inlineStr" s="8">
        <is>
          <t>green.rachel.74025237@example.com</t>
        </is>
      </c>
      <c r="CD80" t="inlineStr" s="8">
        <is>
          <t>MOUSE MICKEY CEL: 3166240440</t>
        </is>
      </c>
      <c r="CE80" t="inlineStr" s="8">
        <is>
          <t>NC4316 AGO.28/23 CESION DE RACHEL GREEN A HERCULE JANE/SUMMER ROMANOFF *ANTIC $15.000.000 *ARRAS $4'640</t>
        </is>
      </c>
    </row>
    <row r="81" ht="13.7" customHeight="1">
      <c r="A81" t="inlineStr" s="8">
        <is>
          <t>60007919088771</t>
        </is>
      </c>
      <c r="B81" s="8"/>
      <c r="C81" t="inlineStr" s="8">
        <is>
          <t>702</t>
        </is>
      </c>
      <c r="D81" s="9">
        <v>55.20</v>
      </c>
      <c r="E81" t="inlineStr" s="8">
        <is>
          <t>74281201</t>
        </is>
      </c>
      <c r="F81" t="inlineStr" s="8">
        <is>
          <t>BROWN DWIGHT</t>
        </is>
      </c>
      <c r="G81" t="inlineStr" s="8">
        <is>
          <t>*EXCLUSION</t>
        </is>
      </c>
      <c r="H81" t="inlineStr" s="8">
        <is>
          <t>BBVA</t>
        </is>
      </c>
      <c r="I81" s="9">
        <v>192172500.00</v>
      </c>
      <c r="J81" s="8"/>
      <c r="K81" s="8"/>
      <c r="L81" t="inlineStr" s="8">
        <is>
          <t>2023-09-21</t>
        </is>
      </c>
      <c r="M81" s="9"/>
      <c r="N81" s="9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/>
      <c r="BF81" s="9"/>
      <c r="BG81" s="9"/>
      <c r="BH81" s="9"/>
      <c r="BI81" s="9">
        <f>SUM(M81,N81,Q81,R81,S81,T81,U81,V81,W81,X81,Y81,Z81,AA81,AB81,AC81,AD81,AE81,AF81,AG81,AH81,AI81,AJ81,AK81,AL81,AM81,AN81,AO81,AP81,AQ81,AR81,AS81,AT81,AU81,AV81,AW81,AX81,AY81,AZ81,BA81,BB81,BC81,BD81,BE81,BF81,BG81,BH81)</f>
      </c>
      <c r="BJ81" s="9">
        <f>I81-BI81</f>
      </c>
      <c r="BK81" s="9">
        <f>BJ81-BL81-BM81-BN81-BO81</f>
      </c>
      <c r="BL81" s="9"/>
      <c r="BM81" s="9"/>
      <c r="BN81" s="9"/>
      <c r="BO81" s="9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9"/>
      <c r="CA81" s="9"/>
      <c r="CB81" t="inlineStr" s="8">
        <is>
          <t>3166277769</t>
        </is>
      </c>
      <c r="CC81" t="inlineStr" s="8">
        <is>
          <t>brown.dwight.74281201@example.com</t>
        </is>
      </c>
      <c r="CD81" t="inlineStr" s="8">
        <is>
          <t>FINN CEL: 3166279213</t>
        </is>
      </c>
      <c r="CE81" t="inlineStr" s="8">
        <is>
          <t>NC4596 SEP.21/23 EXCLUSION DE CLEVELAND HOFSTADTER</t>
        </is>
      </c>
    </row>
    <row r="82" ht="13.7" customHeight="1">
      <c r="A82" t="inlineStr" s="8">
        <is>
          <t>60007919089112</t>
        </is>
      </c>
      <c r="B82" s="8"/>
      <c r="C82" t="inlineStr" s="8">
        <is>
          <t>705</t>
        </is>
      </c>
      <c r="D82" s="9">
        <v>55.20</v>
      </c>
      <c r="E82" t="inlineStr" s="8">
        <is>
          <t>74300005</t>
        </is>
      </c>
      <c r="F82" t="inlineStr" s="8">
        <is>
          <t>SANCHEZ MARGE</t>
        </is>
      </c>
      <c r="G82" t="inlineStr" s="8">
        <is>
          <t>*INCLUSION</t>
        </is>
      </c>
      <c r="H82" t="inlineStr" s="8">
        <is>
          <t>BANCO DAVIVIENDA</t>
        </is>
      </c>
      <c r="I82" s="9">
        <v>192172500.00</v>
      </c>
      <c r="J82" s="8"/>
      <c r="K82" s="8"/>
      <c r="L82" t="inlineStr" s="8">
        <is>
          <t>2023-12-28</t>
        </is>
      </c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9"/>
      <c r="BF82" s="9"/>
      <c r="BG82" s="9"/>
      <c r="BH82" s="9"/>
      <c r="BI82" s="9">
        <f>SUM(M82,N82,Q82,R82,S82,T82,U82,V82,W82,X82,Y82,Z82,AA82,AB82,AC82,AD82,AE82,AF82,AG82,AH82,AI82,AJ82,AK82,AL82,AM82,AN82,AO82,AP82,AQ82,AR82,AS82,AT82,AU82,AV82,AW82,AX82,AY82,AZ82,BA82,BB82,BC82,BD82,BE82,BF82,BG82,BH82)</f>
      </c>
      <c r="BJ82" s="9">
        <f>I82-BI82</f>
      </c>
      <c r="BK82" s="9">
        <f>BJ82-BL82-BM82-BN82-BO82</f>
      </c>
      <c r="BL82" s="9"/>
      <c r="BM82" s="9"/>
      <c r="BN82" s="9"/>
      <c r="BO82" s="9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9"/>
      <c r="CA82" s="9"/>
      <c r="CB82" t="inlineStr" s="8">
        <is>
          <t>3166281416</t>
        </is>
      </c>
      <c r="CC82" t="inlineStr" s="8">
        <is>
          <t>sanchez.marge.74300005@example.com</t>
        </is>
      </c>
      <c r="CD82" t="inlineStr" s="8">
        <is>
          <t>BUNNY BUGS CEL: 3166282048</t>
        </is>
      </c>
      <c r="CE82" t="inlineStr" s="8">
        <is>
          <t>NC4627 DIC.28/23 INCLUSION OBI MUNSON</t>
        </is>
      </c>
    </row>
    <row r="83" ht="13.7" customHeight="1">
      <c r="A83" t="inlineStr" s="8">
        <is>
          <t>60007919085459</t>
        </is>
      </c>
      <c r="B83" t="inlineStr" s="8">
        <is>
          <t>60007919085510</t>
        </is>
      </c>
      <c r="C83" t="inlineStr" s="8">
        <is>
          <t>205</t>
        </is>
      </c>
      <c r="D83" s="9">
        <v>55.20</v>
      </c>
      <c r="E83" t="inlineStr" s="8">
        <is>
          <t>74003543</t>
        </is>
      </c>
      <c r="F83" t="inlineStr" s="8">
        <is>
          <t>EHRMANTRAUT LISA</t>
        </is>
      </c>
      <c r="G83" t="inlineStr" s="8">
        <is>
          <t>*CESION/ARRAS</t>
        </is>
      </c>
      <c r="H83" t="inlineStr" s="8">
        <is>
          <t>BANCOLOMBIA</t>
        </is>
      </c>
      <c r="I83" s="9">
        <v>192172500.00</v>
      </c>
      <c r="J83" s="8"/>
      <c r="K83" s="8"/>
      <c r="L83" t="inlineStr" s="8">
        <is>
          <t>2024-01-05</t>
        </is>
      </c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9"/>
      <c r="BF83" s="9"/>
      <c r="BG83" s="9"/>
      <c r="BH83" s="9"/>
      <c r="BI83" s="9">
        <f>SUM(M83,N83,Q83,R83,S83,T83,U83,V83,W83,X83,Y83,Z83,AA83,AB83,AC83,AD83,AE83,AF83,AG83,AH83,AI83,AJ83,AK83,AL83,AM83,AN83,AO83,AP83,AQ83,AR83,AS83,AT83,AU83,AV83,AW83,AX83,AY83,AZ83,BA83,BB83,BC83,BD83,BE83,BF83,BG83,BH83)</f>
      </c>
      <c r="BJ83" s="9">
        <f>I83-BI83</f>
      </c>
      <c r="BK83" s="9">
        <f>BJ83-BL83-BM83-BN83-BO83</f>
      </c>
      <c r="BL83" s="9"/>
      <c r="BM83" s="9"/>
      <c r="BN83" s="9"/>
      <c r="BO83" s="9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9"/>
      <c r="CA83" s="9"/>
      <c r="CB83" t="inlineStr" s="8">
        <is>
          <t>3166234014</t>
        </is>
      </c>
      <c r="CC83" t="inlineStr" s="8">
        <is>
          <t>ehrmantraut.lisa.74003543@example.com</t>
        </is>
      </c>
      <c r="CD83" t="inlineStr" s="8">
        <is>
          <t>JAKE CEL: 3166235440</t>
        </is>
      </c>
      <c r="CE83" t="inlineStr" s="8">
        <is>
          <t>NC4288 ENE.5/24 CESION DE LISA EHRMANTRAUT A HAN TARGARYEN *ANTIC $18.000.000 *ARRAS $4'640</t>
        </is>
      </c>
    </row>
    <row r="84" ht="13.7" customHeight="1">
      <c r="A84" t="inlineStr" s="8">
        <is>
          <t>60007919085510</t>
        </is>
      </c>
      <c r="B84" s="8"/>
      <c r="C84" t="inlineStr" s="8">
        <is>
          <t>205</t>
        </is>
      </c>
      <c r="D84" s="9">
        <v>55.20</v>
      </c>
      <c r="E84" t="inlineStr" s="8">
        <is>
          <t>74010741</t>
        </is>
      </c>
      <c r="F84" t="inlineStr" s="8">
        <is>
          <t>TARGARYEN HAN</t>
        </is>
      </c>
      <c r="G84" t="inlineStr" s="8">
        <is>
          <t>*CESION/ARRAS</t>
        </is>
      </c>
      <c r="H84" t="inlineStr" s="8">
        <is>
          <t>BANCOLOMBIA</t>
        </is>
      </c>
      <c r="I84" s="9">
        <v>192172500.00</v>
      </c>
      <c r="J84" t="inlineStr" s="8">
        <is>
          <t>NC4288CESION - NCR4289CR</t>
        </is>
      </c>
      <c r="K84" s="8"/>
      <c r="L84" t="inlineStr" s="8">
        <is>
          <t>2024-01-05</t>
        </is>
      </c>
      <c r="M84" s="9"/>
      <c r="N84" s="9">
        <v>18000000</v>
      </c>
      <c r="O84" t="inlineStr" s="8">
        <is>
          <t>ENE.14/24</t>
        </is>
      </c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9">
        <v>21970333</v>
      </c>
      <c r="BF84" s="9"/>
      <c r="BG84" s="9"/>
      <c r="BH84" s="9"/>
      <c r="BI84" s="9">
        <f>SUM(M84,N84,Q84,R84,S84,T84,U84,V84,W84,X84,Y84,Z84,AA84,AB84,AC84,AD84,AE84,AF84,AG84,AH84,AI84,AJ84,AK84,AL84,AM84,AN84,AO84,AP84,AQ84,AR84,AS84,AT84,AU84,AV84,AW84,AX84,AY84,AZ84,BA84,BB84,BC84,BD84,BE84,BF84,BG84,BH84)</f>
      </c>
      <c r="BJ84" s="9">
        <f>I84-BI84</f>
      </c>
      <c r="BK84" s="9">
        <f>BJ84-BL84-BM84-BN84-BO84</f>
      </c>
      <c r="BL84" s="9"/>
      <c r="BM84" s="9"/>
      <c r="BN84" s="9"/>
      <c r="BO84" s="9"/>
      <c r="BP84" s="8"/>
      <c r="BQ84" t="inlineStr" s="8">
        <is>
          <t>2023-08-08</t>
        </is>
      </c>
      <c r="BR84" t="inlineStr" s="8">
        <is>
          <t>2023-09-22</t>
        </is>
      </c>
      <c r="BS84" s="8"/>
      <c r="BT84" s="8"/>
      <c r="BU84" s="8"/>
      <c r="BV84" s="8"/>
      <c r="BW84" s="8"/>
      <c r="BX84" s="8"/>
      <c r="BY84" s="8"/>
      <c r="BZ84" s="9"/>
      <c r="CA84" s="9"/>
      <c r="CB84" t="inlineStr" s="8">
        <is>
          <t>3166234837</t>
        </is>
      </c>
      <c r="CC84" t="inlineStr" s="8">
        <is>
          <t>targaryen.han.74010741@example.com</t>
        </is>
      </c>
      <c r="CD84" t="inlineStr" s="8">
        <is>
          <t>JAKE CEL: 3166235440</t>
        </is>
      </c>
      <c r="CE84" t="inlineStr" s="8">
        <is>
          <t>NC4288 ENE.5/24 CESION DE LISA EHRMANTRAUT A HAN TARGARYEN *ANTIC $18.000.000 *ARRAS $4'640</t>
        </is>
      </c>
    </row>
    <row r="85" ht="13.7" customHeight="1">
      <c r="A85" t="inlineStr" s="8">
        <is>
          <t>60007919084658</t>
        </is>
      </c>
      <c r="B85" s="8"/>
      <c r="C85" t="inlineStr" s="8">
        <is>
          <t>102</t>
        </is>
      </c>
      <c r="D85" s="9">
        <v>55.20</v>
      </c>
      <c r="E85" t="inlineStr" s="8">
        <is>
          <t>73914059</t>
        </is>
      </c>
      <c r="F85" t="inlineStr" s="8">
        <is>
          <t>TENTACLES RACHEL</t>
        </is>
      </c>
      <c r="G85" t="inlineStr" s="8">
        <is>
          <t>*EXCLUSION</t>
        </is>
      </c>
      <c r="H85" t="inlineStr" s="8">
        <is>
          <t>BBVA</t>
        </is>
      </c>
      <c r="I85" s="9">
        <v>192172500.00</v>
      </c>
      <c r="J85" t="inlineStr" s="8">
        <is>
          <t>NCR4170CR</t>
        </is>
      </c>
      <c r="K85" t="inlineStr" s="8">
        <is>
          <t>NCR4162 - NCR4164 - NCR4169 - NCR4159 - NCR4163 - NCR4161 - NCR4160 - NCR4165 - NCR4166 - NCR4167 - NCR4168</t>
        </is>
      </c>
      <c r="L85" t="inlineStr" s="8">
        <is>
          <t>2024-01-13</t>
        </is>
      </c>
      <c r="M85" s="9"/>
      <c r="N85" s="9"/>
      <c r="O85" t="inlineStr" s="8">
        <is>
          <t>FEB.1/24</t>
        </is>
      </c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>
        <f>184000+19725000</f>
      </c>
      <c r="AN85" s="10">
        <v>100000</v>
      </c>
      <c r="AO85" s="10"/>
      <c r="AP85" s="10">
        <v>14655000</v>
      </c>
      <c r="AQ85" s="10">
        <v>3318000</v>
      </c>
      <c r="AR85" s="10">
        <f>100000+24887000</f>
      </c>
      <c r="AS85" s="10">
        <f>3302500+13365000</f>
      </c>
      <c r="AT85" s="10">
        <v>3503000</v>
      </c>
      <c r="AU85" s="10">
        <v>9033000</v>
      </c>
      <c r="AV85" s="10"/>
      <c r="AW85" s="10"/>
      <c r="AX85" s="10"/>
      <c r="AY85" s="10"/>
      <c r="AZ85" s="10"/>
      <c r="BA85" s="10"/>
      <c r="BB85" s="10"/>
      <c r="BC85" s="10"/>
      <c r="BD85" s="10"/>
      <c r="BE85" s="9">
        <v>80000000</v>
      </c>
      <c r="BF85" s="9"/>
      <c r="BG85" s="9"/>
      <c r="BH85" s="9"/>
      <c r="BI85" s="9">
        <f>SUM(M85,N85,Q85,R85,S85,T85,U85,V85,W85,X85,Y85,Z85,AA85,AB85,AC85,AD85,AE85,AF85,AG85,AH85,AI85,AJ85,AK85,AL85,AM85,AN85,AO85,AP85,AQ85,AR85,AS85,AT85,AU85,AV85,AW85,AX85,AY85,AZ85,BA85,BB85,BC85,BD85,BE85,BF85,BG85,BH85)</f>
      </c>
      <c r="BJ85" s="9">
        <f>I85-BI85</f>
      </c>
      <c r="BK85" s="9">
        <f>BJ85-BL85-BM85-BN85-BO85</f>
      </c>
      <c r="BL85" s="9"/>
      <c r="BM85" s="9"/>
      <c r="BN85" s="9"/>
      <c r="BO85" s="9"/>
      <c r="BP85" s="8"/>
      <c r="BQ85" t="inlineStr" s="8">
        <is>
          <t>2023-11-23</t>
        </is>
      </c>
      <c r="BR85" t="inlineStr" s="8">
        <is>
          <t>2023-12-23</t>
        </is>
      </c>
      <c r="BS85" s="8"/>
      <c r="BT85" s="8"/>
      <c r="BU85" s="8"/>
      <c r="BV85" s="8"/>
      <c r="BW85" s="8"/>
      <c r="BX85" s="8"/>
      <c r="BY85" s="8"/>
      <c r="BZ85" s="9"/>
      <c r="CA85" s="9"/>
      <c r="CB85" t="inlineStr" s="8">
        <is>
          <t>3166222224</t>
        </is>
      </c>
      <c r="CC85" t="inlineStr" s="8">
        <is>
          <t>tentacles.rachel.73914059@example.com</t>
        </is>
      </c>
      <c r="CD85" t="inlineStr" s="8">
        <is>
          <t>BUNNY BUGS CEL: 3166222503</t>
        </is>
      </c>
      <c r="CE85" t="inlineStr" s="8">
        <is>
          <t>NC4158 ENE.13/24 EXCLUSION DE RACHEL TENTACLES</t>
        </is>
      </c>
    </row>
    <row r="86" ht="13.7" customHeight="1">
      <c r="A86" t="inlineStr" s="8">
        <is>
          <t>60007919087097</t>
        </is>
      </c>
      <c r="B86" t="inlineStr" s="8">
        <is>
          <t>60007919087111</t>
        </is>
      </c>
      <c r="C86" t="inlineStr" s="8">
        <is>
          <t>407</t>
        </is>
      </c>
      <c r="D86" s="9">
        <v>55.20</v>
      </c>
      <c r="E86" t="inlineStr" s="8">
        <is>
          <t>74155072</t>
        </is>
      </c>
      <c r="F86" t="inlineStr" s="8">
        <is>
          <t>HENDERSON NATASHA</t>
        </is>
      </c>
      <c r="G86" t="inlineStr" s="8">
        <is>
          <t>*TRASLADO</t>
        </is>
      </c>
      <c r="H86" t="inlineStr" s="8">
        <is>
          <t>BANCO DE OCCIDENTE</t>
        </is>
      </c>
      <c r="I86" s="9">
        <v>192172500.00</v>
      </c>
      <c r="J86" s="8"/>
      <c r="K86" s="8"/>
      <c r="L86" t="inlineStr" s="8">
        <is>
          <t>2024-03-01</t>
        </is>
      </c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9"/>
      <c r="BF86" s="9"/>
      <c r="BG86" s="9"/>
      <c r="BH86" s="9"/>
      <c r="BI86" s="9">
        <f>SUM(M86,N86,Q86,R86,S86,T86,U86,V86,W86,X86,Y86,Z86,AA86,AB86,AC86,AD86,AE86,AF86,AG86,AH86,AI86,AJ86,AK86,AL86,AM86,AN86,AO86,AP86,AQ86,AR86,AS86,AT86,AU86,AV86,AW86,AX86,AY86,AZ86,BA86,BB86,BC86,BD86,BE86,BF86,BG86,BH86)</f>
      </c>
      <c r="BJ86" s="9">
        <f>I86-BI86</f>
      </c>
      <c r="BK86" s="9">
        <f>BJ86-BL86-BM86-BN86-BO86</f>
      </c>
      <c r="BL86" s="9"/>
      <c r="BM86" s="9"/>
      <c r="BN86" s="9"/>
      <c r="BO86" s="9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9"/>
      <c r="CA86" s="9"/>
      <c r="CB86" t="inlineStr" s="8">
        <is>
          <t>3166257578</t>
        </is>
      </c>
      <c r="CC86" t="inlineStr" s="8">
        <is>
          <t>henderson.natasha.74155072@example.com</t>
        </is>
      </c>
      <c r="CD86" t="inlineStr" s="8">
        <is>
          <t>JETSON GEORGE CEL: 3166259059</t>
        </is>
      </c>
      <c r="CE86" t="inlineStr" s="8">
        <is>
          <t>NC4430 MAR.1/24 TRASLADO DE NATASHA HENDERSON/HARRY GAMGEE A ANGELA SCOTT *ANTIC $18.000.000 *ARRAS $4'640</t>
        </is>
      </c>
    </row>
    <row r="87" ht="13.7" customHeight="1">
      <c r="A87" t="inlineStr" s="8">
        <is>
          <t>60007919087111</t>
        </is>
      </c>
      <c r="B87" s="8"/>
      <c r="C87" t="inlineStr" s="8">
        <is>
          <t>407</t>
        </is>
      </c>
      <c r="D87" s="9">
        <v>55.20</v>
      </c>
      <c r="E87" t="inlineStr" s="8">
        <is>
          <t>74163496</t>
        </is>
      </c>
      <c r="F87" t="inlineStr" s="8">
        <is>
          <t>SCOTT ANGELA</t>
        </is>
      </c>
      <c r="G87" t="inlineStr" s="8">
        <is>
          <t>*TRASLADO</t>
        </is>
      </c>
      <c r="H87" t="inlineStr" s="8">
        <is>
          <t>BANCO DE OCCIDENTE</t>
        </is>
      </c>
      <c r="I87" s="9">
        <v>192172500.00</v>
      </c>
      <c r="J87" t="inlineStr" s="8">
        <is>
          <t>NC4430TRASLADO - NCR4433 - NCR4435 - NCR4436 - NCR4432 - NCR4437CR</t>
        </is>
      </c>
      <c r="K87" t="inlineStr" s="8">
        <is>
          <t>NCR4434 - NCR4431</t>
        </is>
      </c>
      <c r="L87" t="inlineStr" s="8">
        <is>
          <t>2024-03-01</t>
        </is>
      </c>
      <c r="M87" s="9">
        <f>5039000+1527000+13857000+9885500</f>
      </c>
      <c r="N87" s="9">
        <v>18000000</v>
      </c>
      <c r="O87" t="inlineStr" s="8">
        <is>
          <t>DIC.18/23</t>
        </is>
      </c>
      <c r="P87" s="8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>
        <v>5535000</v>
      </c>
      <c r="AJ87" s="10"/>
      <c r="AK87" s="10"/>
      <c r="AL87" s="10"/>
      <c r="AM87" s="10"/>
      <c r="AN87" s="10">
        <v>2329000</v>
      </c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9">
        <v>110000000</v>
      </c>
      <c r="BF87" s="9"/>
      <c r="BG87" s="9"/>
      <c r="BH87" s="9"/>
      <c r="BI87" s="9">
        <f>SUM(M87,N87,Q87,R87,S87,T87,U87,V87,W87,X87,Y87,Z87,AA87,AB87,AC87,AD87,AE87,AF87,AG87,AH87,AI87,AJ87,AK87,AL87,AM87,AN87,AO87,AP87,AQ87,AR87,AS87,AT87,AU87,AV87,AW87,AX87,AY87,AZ87,BA87,BB87,BC87,BD87,BE87,BF87,BG87,BH87)</f>
      </c>
      <c r="BJ87" s="9">
        <f>I87-BI87</f>
      </c>
      <c r="BK87" s="9">
        <f>BJ87-BL87-BM87-BN87-BO87</f>
      </c>
      <c r="BL87" s="9"/>
      <c r="BM87" s="9"/>
      <c r="BN87" s="9"/>
      <c r="BO87" s="9"/>
      <c r="BP87" s="8"/>
      <c r="BQ87" t="inlineStr" s="8">
        <is>
          <t>2023-06-22</t>
        </is>
      </c>
      <c r="BR87" t="inlineStr" s="8">
        <is>
          <t>2023-08-30</t>
        </is>
      </c>
      <c r="BS87" s="8"/>
      <c r="BT87" s="8"/>
      <c r="BU87" s="8"/>
      <c r="BV87" s="8"/>
      <c r="BW87" s="8"/>
      <c r="BX87" s="8"/>
      <c r="BY87" s="8"/>
      <c r="BZ87" s="9"/>
      <c r="CA87" s="9"/>
      <c r="CB87" t="inlineStr" s="8">
        <is>
          <t>3166258248</t>
        </is>
      </c>
      <c r="CC87" t="inlineStr" s="8">
        <is>
          <t>scott.angela.74163496@example.com</t>
        </is>
      </c>
      <c r="CD87" t="inlineStr" s="8">
        <is>
          <t>JETSON GEORGE CEL: 3166259059</t>
        </is>
      </c>
      <c r="CE87" t="inlineStr" s="8">
        <is>
          <t>NC4430 MAR.1/24 TRASLADO DE NATASHA HENDERSON/HARRY GAMGEE A ANGELA SCOTT *ANTIC $18.000.000 *ARRAS $4'640</t>
        </is>
      </c>
    </row>
    <row r="88" ht="13.7" customHeight="1">
      <c r="A88" t="inlineStr" s="8">
        <is>
          <t>60007919087226</t>
        </is>
      </c>
      <c r="B88" s="8"/>
      <c r="C88" t="inlineStr" s="8">
        <is>
          <t>501</t>
        </is>
      </c>
      <c r="D88" s="9">
        <v>55.20</v>
      </c>
      <c r="E88" t="inlineStr" s="8">
        <is>
          <t>74168783</t>
        </is>
      </c>
      <c r="F88" t="inlineStr" s="8">
        <is>
          <t>SIMPSON LEGOLAS</t>
        </is>
      </c>
      <c r="G88" t="inlineStr" s="8">
        <is>
          <t>*INCLUSION</t>
        </is>
      </c>
      <c r="H88" t="inlineStr" s="8">
        <is>
          <t>BANCO DE OCCIDENTE</t>
        </is>
      </c>
      <c r="I88" s="9">
        <v>192172500.00</v>
      </c>
      <c r="J88" t="inlineStr" s="8">
        <is>
          <t>NCR4443 - NCR4447CR</t>
        </is>
      </c>
      <c r="K88" t="inlineStr" s="8">
        <is>
          <t>NCR4442 - NCR4440 - NCR4441 - NCR4446 - NCR4444 - NCR4445</t>
        </is>
      </c>
      <c r="L88" t="inlineStr" s="8">
        <is>
          <t>2024-05-18</t>
        </is>
      </c>
      <c r="M88" s="9">
        <v>15777000</v>
      </c>
      <c r="N88" s="9"/>
      <c r="O88" t="inlineStr" s="8">
        <is>
          <t>JUL.19/24</t>
        </is>
      </c>
      <c r="P88" s="8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>
        <v>8299000</v>
      </c>
      <c r="AO88" s="10"/>
      <c r="AP88" s="10"/>
      <c r="AQ88" s="10"/>
      <c r="AR88" s="10">
        <v>1233000</v>
      </c>
      <c r="AS88" s="10"/>
      <c r="AT88" s="10"/>
      <c r="AU88" s="10"/>
      <c r="AV88" s="10"/>
      <c r="AW88" s="10"/>
      <c r="AX88" s="10"/>
      <c r="AY88" s="10">
        <v>10764500</v>
      </c>
      <c r="AZ88" s="10"/>
      <c r="BA88" s="10">
        <f>19064000+19393000+7642000</f>
      </c>
      <c r="BB88" s="10"/>
      <c r="BC88" s="10"/>
      <c r="BD88" s="10"/>
      <c r="BE88" s="9">
        <v>110000000</v>
      </c>
      <c r="BF88" s="9"/>
      <c r="BG88" s="9"/>
      <c r="BH88" s="9"/>
      <c r="BI88" s="9">
        <f>SUM(M88,N88,Q88,R88,S88,T88,U88,V88,W88,X88,Y88,Z88,AA88,AB88,AC88,AD88,AE88,AF88,AG88,AH88,AI88,AJ88,AK88,AL88,AM88,AN88,AO88,AP88,AQ88,AR88,AS88,AT88,AU88,AV88,AW88,AX88,AY88,AZ88,BA88,BB88,BC88,BD88,BE88,BF88,BG88,BH88)</f>
      </c>
      <c r="BJ88" s="9">
        <f>I88-BI88</f>
      </c>
      <c r="BK88" s="9">
        <f>BJ88-BL88-BM88-BN88-BO88</f>
      </c>
      <c r="BL88" s="9"/>
      <c r="BM88" s="9"/>
      <c r="BN88" s="9"/>
      <c r="BO88" s="9"/>
      <c r="BP88" s="8"/>
      <c r="BQ88" t="inlineStr" s="8">
        <is>
          <t>2024-02-05</t>
        </is>
      </c>
      <c r="BR88" t="inlineStr" s="8">
        <is>
          <t>2024-03-13</t>
        </is>
      </c>
      <c r="BS88" t="inlineStr" s="8">
        <is>
          <t>2025-05-23</t>
        </is>
      </c>
      <c r="BT88" s="8"/>
      <c r="BU88" s="8"/>
      <c r="BV88" s="8"/>
      <c r="BW88" s="8"/>
      <c r="BX88" s="8"/>
      <c r="BY88" s="8"/>
      <c r="BZ88" s="9"/>
      <c r="CA88" s="9"/>
      <c r="CB88" t="inlineStr" s="8">
        <is>
          <t>3166259314</t>
        </is>
      </c>
      <c r="CC88" t="inlineStr" s="8">
        <is>
          <t>simpson.legolas.74168783@example.com</t>
        </is>
      </c>
      <c r="CD88" t="inlineStr" s="8">
        <is>
          <t>BUNNY BUGS CEL: 3166260610</t>
        </is>
      </c>
      <c r="CE88" t="inlineStr" s="8">
        <is>
          <t>NC4439 MAY.18/24 INCLUSION OBI TANO</t>
        </is>
      </c>
    </row>
    <row r="89" ht="13.7" customHeight="1">
      <c r="A89" t="inlineStr" s="8">
        <is>
          <t>60007919087387</t>
        </is>
      </c>
      <c r="B89" s="8"/>
      <c r="C89" t="inlineStr" s="8">
        <is>
          <t>503</t>
        </is>
      </c>
      <c r="D89" s="9">
        <v>55.20</v>
      </c>
      <c r="E89" t="inlineStr" s="8">
        <is>
          <t>74176266</t>
        </is>
      </c>
      <c r="F89" t="inlineStr" s="8">
        <is>
          <t>WAYNE HERCULE</t>
        </is>
      </c>
      <c r="G89" t="inlineStr" s="8">
        <is>
          <t>*INCLUSION</t>
        </is>
      </c>
      <c r="H89" t="inlineStr" s="8">
        <is>
          <t>BANCOLOMBIA</t>
        </is>
      </c>
      <c r="I89" s="9">
        <v>192172500.00</v>
      </c>
      <c r="J89" s="8"/>
      <c r="K89" s="8"/>
      <c r="L89" t="inlineStr" s="8">
        <is>
          <t>2024-06-26</t>
        </is>
      </c>
      <c r="M89" s="9"/>
      <c r="N89" s="9"/>
      <c r="O89" s="8"/>
      <c r="P89" s="8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9"/>
      <c r="BF89" s="9"/>
      <c r="BG89" s="9"/>
      <c r="BH89" s="9"/>
      <c r="BI89" s="9">
        <f>SUM(M89,N89,Q89,R89,S89,T89,U89,V89,W89,X89,Y89,Z89,AA89,AB89,AC89,AD89,AE89,AF89,AG89,AH89,AI89,AJ89,AK89,AL89,AM89,AN89,AO89,AP89,AQ89,AR89,AS89,AT89,AU89,AV89,AW89,AX89,AY89,AZ89,BA89,BB89,BC89,BD89,BE89,BF89,BG89,BH89)</f>
      </c>
      <c r="BJ89" s="9">
        <f>I89-BI89</f>
      </c>
      <c r="BK89" s="9">
        <f>BJ89-BL89-BM89-BN89-BO89</f>
      </c>
      <c r="BL89" s="9"/>
      <c r="BM89" s="9"/>
      <c r="BN89" s="9"/>
      <c r="BO89" s="9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9"/>
      <c r="CA89" s="9"/>
      <c r="CB89" t="inlineStr" s="8">
        <is>
          <t>3166261630</t>
        </is>
      </c>
      <c r="CC89" t="inlineStr" s="8">
        <is>
          <t>wayne.hercule.74176266@example.com</t>
        </is>
      </c>
      <c r="CD89" t="inlineStr" s="8">
        <is>
          <t>MOUSE MICKEY CEL: 3166262770</t>
        </is>
      </c>
      <c r="CE89" t="inlineStr" s="8">
        <is>
          <t>NC4462 JUN.26/24 INCLUSION LUCAS PARKER</t>
        </is>
      </c>
    </row>
    <row r="90" ht="13.7" customHeight="1">
      <c r="A90" t="inlineStr" s="8">
        <is>
          <t>60007919085950</t>
        </is>
      </c>
      <c r="B90" t="inlineStr" s="8">
        <is>
          <t>60007919086012</t>
        </is>
      </c>
      <c r="C90" t="inlineStr" s="8">
        <is>
          <t>303</t>
        </is>
      </c>
      <c r="D90" s="9">
        <v>55.20</v>
      </c>
      <c r="E90" t="inlineStr" s="8">
        <is>
          <t>74036626</t>
        </is>
      </c>
      <c r="F90" t="inlineStr" s="8">
        <is>
          <t>GREENLEAF HOMER</t>
        </is>
      </c>
      <c r="G90" t="inlineStr" s="8">
        <is>
          <t>*TRASLADO</t>
        </is>
      </c>
      <c r="H90" t="inlineStr" s="8">
        <is>
          <t>BBVA</t>
        </is>
      </c>
      <c r="I90" s="9">
        <v>192172500.00</v>
      </c>
      <c r="J90" s="8"/>
      <c r="K90" s="8"/>
      <c r="L90" t="inlineStr" s="8">
        <is>
          <t>2024-10-31</t>
        </is>
      </c>
      <c r="M90" s="9"/>
      <c r="N90" s="9"/>
      <c r="O90" s="8"/>
      <c r="P90" s="8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9"/>
      <c r="BF90" s="9"/>
      <c r="BG90" s="9"/>
      <c r="BH90" s="9"/>
      <c r="BI90" s="9">
        <f>SUM(M90,N90,Q90,R90,S90,T90,U90,V90,W90,X90,Y90,Z90,AA90,AB90,AC90,AD90,AE90,AF90,AG90,AH90,AI90,AJ90,AK90,AL90,AM90,AN90,AO90,AP90,AQ90,AR90,AS90,AT90,AU90,AV90,AW90,AX90,AY90,AZ90,BA90,BB90,BC90,BD90,BE90,BF90,BG90,BH90)</f>
      </c>
      <c r="BJ90" s="9">
        <f>I90-BI90</f>
      </c>
      <c r="BK90" s="9">
        <f>BJ90-BL90-BM90-BN90-BO90</f>
      </c>
      <c r="BL90" s="9"/>
      <c r="BM90" s="9"/>
      <c r="BN90" s="9"/>
      <c r="BO90" s="9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9"/>
      <c r="CA90" s="9"/>
      <c r="CB90" t="inlineStr" s="8">
        <is>
          <t>3166241220</t>
        </is>
      </c>
      <c r="CC90" t="inlineStr" s="8">
        <is>
          <t>greenleaf.homer.74036626@example.com</t>
        </is>
      </c>
      <c r="CD90" t="inlineStr" s="8">
        <is>
          <t>FINN CEL: 3166242642</t>
        </is>
      </c>
      <c r="CE90" t="inlineStr" s="8">
        <is>
          <t>NC4331 OCT.31/24 TRASLADO DE HOMER GREENLEAF/NANCY HALPERT A GUSTAVO GRIFFIN *ANTIC $25.000.000 *ARRAS $4'640</t>
        </is>
      </c>
    </row>
    <row r="91" ht="13.7" customHeight="1">
      <c r="A91" t="inlineStr" s="8">
        <is>
          <t>60007919086012</t>
        </is>
      </c>
      <c r="B91" s="8"/>
      <c r="C91" t="inlineStr" s="8">
        <is>
          <t>303</t>
        </is>
      </c>
      <c r="D91" s="9">
        <v>55.20</v>
      </c>
      <c r="E91" t="inlineStr" s="8">
        <is>
          <t>74047121</t>
        </is>
      </c>
      <c r="F91" t="inlineStr" s="8">
        <is>
          <t>GRIFFIN GUSTAVO</t>
        </is>
      </c>
      <c r="G91" t="inlineStr" s="8">
        <is>
          <t>*TRASLADO</t>
        </is>
      </c>
      <c r="H91" t="inlineStr" s="8">
        <is>
          <t>BBVA</t>
        </is>
      </c>
      <c r="I91" s="9">
        <v>192172500.00</v>
      </c>
      <c r="J91" t="inlineStr" s="8">
        <is>
          <t>NC4331TRASLADO - NCR4332CR</t>
        </is>
      </c>
      <c r="K91" s="8"/>
      <c r="L91" t="inlineStr" s="8">
        <is>
          <t>2024-10-31</t>
        </is>
      </c>
      <c r="M91" s="9"/>
      <c r="N91" s="9">
        <v>25000000</v>
      </c>
      <c r="O91" t="inlineStr" s="8">
        <is>
          <t>FEB.8/24</t>
        </is>
      </c>
      <c r="P91" s="8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9">
        <v>95000000</v>
      </c>
      <c r="BF91" s="9"/>
      <c r="BG91" s="9"/>
      <c r="BH91" s="9"/>
      <c r="BI91" s="9">
        <f>SUM(M91,N91,Q91,R91,S91,T91,U91,V91,W91,X91,Y91,Z91,AA91,AB91,AC91,AD91,AE91,AF91,AG91,AH91,AI91,AJ91,AK91,AL91,AM91,AN91,AO91,AP91,AQ91,AR91,AS91,AT91,AU91,AV91,AW91,AX91,AY91,AZ91,BA91,BB91,BC91,BD91,BE91,BF91,BG91,BH91)</f>
      </c>
      <c r="BJ91" s="9">
        <f>I91-BI91</f>
      </c>
      <c r="BK91" s="9">
        <f>BJ91-BL91-BM91-BN91-BO91</f>
      </c>
      <c r="BL91" s="9"/>
      <c r="BM91" s="9"/>
      <c r="BN91" s="9"/>
      <c r="BO91" s="9"/>
      <c r="BP91" s="8"/>
      <c r="BQ91" t="inlineStr" s="8">
        <is>
          <t>2023-07-28</t>
        </is>
      </c>
      <c r="BR91" t="inlineStr" s="8">
        <is>
          <t>2023-10-26</t>
        </is>
      </c>
      <c r="BS91" s="8"/>
      <c r="BT91" s="8"/>
      <c r="BU91" s="8"/>
      <c r="BV91" s="8"/>
      <c r="BW91" s="8"/>
      <c r="BX91" s="8"/>
      <c r="BY91" s="8"/>
      <c r="BZ91" s="9"/>
      <c r="CA91" s="9"/>
      <c r="CB91" t="inlineStr" s="8">
        <is>
          <t>3166242044</t>
        </is>
      </c>
      <c r="CC91" t="inlineStr" s="8">
        <is>
          <t>griffin.gustavo.74047121@example.com</t>
        </is>
      </c>
      <c r="CD91" t="inlineStr" s="8">
        <is>
          <t>FINN CEL: 3166242642</t>
        </is>
      </c>
      <c r="CE91" t="inlineStr" s="8">
        <is>
          <t>NC4331 OCT.31/24 TRASLADO DE HOMER GREENLEAF/NANCY HALPERT A GUSTAVO GRIFFIN *ANTIC $25.000.000 *ARRAS $4'640</t>
        </is>
      </c>
    </row>
    <row r="92" ht="13.7" customHeight="1">
      <c r="A92" t="inlineStr" s="8">
        <is>
          <t>60007919088677</t>
        </is>
      </c>
      <c r="B92" s="8"/>
      <c r="C92" t="inlineStr" s="8">
        <is>
          <t>701</t>
        </is>
      </c>
      <c r="D92" s="9">
        <v>55.20</v>
      </c>
      <c r="E92" t="inlineStr" s="8">
        <is>
          <t>74267631</t>
        </is>
      </c>
      <c r="F92" t="inlineStr" s="8">
        <is>
          <t>GRANGER GUSTAVO</t>
        </is>
      </c>
      <c r="G92" t="inlineStr" s="8">
        <is>
          <t>*CESION/ARRAS</t>
        </is>
      </c>
      <c r="H92" t="inlineStr" s="8">
        <is>
          <t>BANCO DAVIVIENDA</t>
        </is>
      </c>
      <c r="I92" s="9">
        <v>192172500.00</v>
      </c>
      <c r="J92" t="inlineStr" s="8">
        <is>
          <t>NC4585CESION - NCR4591 - NCR4595CR</t>
        </is>
      </c>
      <c r="K92" t="inlineStr" s="8">
        <is>
          <t>NCR4593 - NCR4592 - NCR4594 - NCR4590 - NCR4589 - NCR4587 - NCR4588 - NCR4586</t>
        </is>
      </c>
      <c r="L92" t="inlineStr" s="8">
        <is>
          <t>2025-01-18</t>
        </is>
      </c>
      <c r="M92" s="9">
        <v>7200000</v>
      </c>
      <c r="N92" s="9">
        <v>15000000</v>
      </c>
      <c r="O92" t="inlineStr" s="8">
        <is>
          <t>OCT.29/24</t>
        </is>
      </c>
      <c r="P92" s="8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>
        <f>7148000+15913000+1356000+2296000</f>
      </c>
      <c r="AJ92" s="10">
        <v>3965000</v>
      </c>
      <c r="AK92" s="10">
        <v>6155500</v>
      </c>
      <c r="AL92" s="10">
        <v>2504000</v>
      </c>
      <c r="AM92" s="10"/>
      <c r="AN92" s="10"/>
      <c r="AO92" s="10">
        <v>5635000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9">
        <v>125000000</v>
      </c>
      <c r="BF92" s="9"/>
      <c r="BG92" s="9"/>
      <c r="BH92" s="9"/>
      <c r="BI92" s="9">
        <f>SUM(M92,N92,Q92,R92,S92,T92,U92,V92,W92,X92,Y92,Z92,AA92,AB92,AC92,AD92,AE92,AF92,AG92,AH92,AI92,AJ92,AK92,AL92,AM92,AN92,AO92,AP92,AQ92,AR92,AS92,AT92,AU92,AV92,AW92,AX92,AY92,AZ92,BA92,BB92,BC92,BD92,BE92,BF92,BG92,BH92)</f>
      </c>
      <c r="BJ92" s="9">
        <f>I92-BI92</f>
      </c>
      <c r="BK92" s="9">
        <f>BJ92-BL92-BM92-BN92-BO92</f>
      </c>
      <c r="BL92" s="9"/>
      <c r="BM92" s="9"/>
      <c r="BN92" s="9"/>
      <c r="BO92" s="9"/>
      <c r="BP92" s="8"/>
      <c r="BQ92" t="inlineStr" s="8">
        <is>
          <t>2023-08-26</t>
        </is>
      </c>
      <c r="BR92" t="inlineStr" s="8">
        <is>
          <t>2023-11-24</t>
        </is>
      </c>
      <c r="BS92" s="8"/>
      <c r="BT92" s="8"/>
      <c r="BU92" s="8"/>
      <c r="BV92" s="8"/>
      <c r="BW92" s="8"/>
      <c r="BX92" s="8"/>
      <c r="BY92" s="8"/>
      <c r="BZ92" s="9"/>
      <c r="CA92" s="9"/>
      <c r="CB92" t="inlineStr" s="8">
        <is>
          <t>3166276042</t>
        </is>
      </c>
      <c r="CC92" t="inlineStr" s="8">
        <is>
          <t>granger.gustavo.74267631@example.com</t>
        </is>
      </c>
      <c r="CD92" t="inlineStr" s="8">
        <is>
          <t>PANTHER PINK CEL: 3166277449</t>
        </is>
      </c>
      <c r="CE92" t="inlineStr" s="8">
        <is>
          <t>NC4585 ENE.18/25 CESION DE GUSTAVO GRANGER/ARYA PARKER A HERMIONE HOLMES *ANTIC $15.000.000 *ARRAS $4'640</t>
        </is>
      </c>
    </row>
    <row r="93" ht="13.7" customHeight="1">
      <c r="A93" t="inlineStr" s="8">
        <is>
          <t>60007919088677</t>
        </is>
      </c>
      <c r="B93" s="8"/>
      <c r="C93" t="inlineStr" s="8">
        <is>
          <t>701</t>
        </is>
      </c>
      <c r="D93" s="9">
        <v>55.20</v>
      </c>
      <c r="E93" t="inlineStr" s="8">
        <is>
          <t>74277662</t>
        </is>
      </c>
      <c r="F93" t="inlineStr" s="8">
        <is>
          <t>HOLMES HERMIONE</t>
        </is>
      </c>
      <c r="G93" t="inlineStr" s="8">
        <is>
          <t>*CESION/ARRAS</t>
        </is>
      </c>
      <c r="H93" t="inlineStr" s="8">
        <is>
          <t>BANCO DAVIVIENDA</t>
        </is>
      </c>
      <c r="I93" s="9">
        <v>192172500.00</v>
      </c>
      <c r="J93" t="inlineStr" s="8">
        <is>
          <t>NC4585CESION - NCR4591 - NCR4595CR</t>
        </is>
      </c>
      <c r="K93" t="inlineStr" s="8">
        <is>
          <t>NCR4593 - NCR4592 - NCR4594 - NCR4590 - NCR4589 - NCR4587 - NCR4588 - NCR4586</t>
        </is>
      </c>
      <c r="L93" t="inlineStr" s="8">
        <is>
          <t>2025-01-18</t>
        </is>
      </c>
      <c r="M93" s="9">
        <v>7200000</v>
      </c>
      <c r="N93" s="9">
        <v>15000000</v>
      </c>
      <c r="O93" t="inlineStr" s="8">
        <is>
          <t>OCT.29/24</t>
        </is>
      </c>
      <c r="P93" s="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>
        <f>7148000+15913000+1356000+2296000</f>
      </c>
      <c r="AJ93" s="10">
        <v>3965000</v>
      </c>
      <c r="AK93" s="10">
        <v>6155500</v>
      </c>
      <c r="AL93" s="10">
        <v>2504000</v>
      </c>
      <c r="AM93" s="10"/>
      <c r="AN93" s="10"/>
      <c r="AO93" s="10">
        <v>5635000</v>
      </c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9">
        <v>125000000</v>
      </c>
      <c r="BF93" s="9"/>
      <c r="BG93" s="9"/>
      <c r="BH93" s="9"/>
      <c r="BI93" s="9">
        <f>SUM(M93,N93,Q93,R93,S93,T93,U93,V93,W93,X93,Y93,Z93,AA93,AB93,AC93,AD93,AE93,AF93,AG93,AH93,AI93,AJ93,AK93,AL93,AM93,AN93,AO93,AP93,AQ93,AR93,AS93,AT93,AU93,AV93,AW93,AX93,AY93,AZ93,BA93,BB93,BC93,BD93,BE93,BF93,BG93,BH93)</f>
      </c>
      <c r="BJ93" s="9">
        <f>I93-BI93</f>
      </c>
      <c r="BK93" s="9">
        <f>BJ93-BL93-BM93-BN93-BO93</f>
      </c>
      <c r="BL93" s="9"/>
      <c r="BM93" s="9"/>
      <c r="BN93" s="9"/>
      <c r="BO93" s="9"/>
      <c r="BP93" s="8"/>
      <c r="BQ93" t="inlineStr" s="8">
        <is>
          <t>2023-08-26</t>
        </is>
      </c>
      <c r="BR93" t="inlineStr" s="8">
        <is>
          <t>2023-11-24</t>
        </is>
      </c>
      <c r="BS93" s="8"/>
      <c r="BT93" s="8"/>
      <c r="BU93" s="8"/>
      <c r="BV93" s="8"/>
      <c r="BW93" s="8"/>
      <c r="BX93" s="8"/>
      <c r="BY93" s="8"/>
      <c r="BZ93" s="9"/>
      <c r="CA93" s="9"/>
      <c r="CB93" t="inlineStr" s="8">
        <is>
          <t>3166277386</t>
        </is>
      </c>
      <c r="CC93" t="inlineStr" s="8">
        <is>
          <t>holmes.hermione.74277662@example.com</t>
        </is>
      </c>
      <c r="CD93" t="inlineStr" s="8">
        <is>
          <t>PANTHER PINK CEL: 3166277449</t>
        </is>
      </c>
      <c r="CE93" t="inlineStr" s="8">
        <is>
          <t>NC4585 ENE.18/25 CESION DE GUSTAVO GRANGER/ARYA PARKER A HERMIONE HOLMES *ANTIC $15.000.000 *ARRAS $4'640</t>
        </is>
      </c>
    </row>
    <row r="94" ht="13.7" customHeight="1">
      <c r="A94" t="inlineStr" s="8">
        <is>
          <t>60007919086152</t>
        </is>
      </c>
      <c r="B94" s="8"/>
      <c r="C94" t="inlineStr" s="8">
        <is>
          <t>305</t>
        </is>
      </c>
      <c r="D94" s="9">
        <v>55.20</v>
      </c>
      <c r="E94" t="inlineStr" s="8">
        <is>
          <t>74065030</t>
        </is>
      </c>
      <c r="F94" t="inlineStr" s="8">
        <is>
          <t>LANNISTER DAENERYS</t>
        </is>
      </c>
      <c r="G94" t="inlineStr" s="8">
        <is>
          <t>*INCLUSION</t>
        </is>
      </c>
      <c r="H94" t="inlineStr" s="8">
        <is>
          <t>BANCOLOMBIA</t>
        </is>
      </c>
      <c r="I94" s="9">
        <v>192172500.00</v>
      </c>
      <c r="J94" s="8"/>
      <c r="K94" s="8"/>
      <c r="L94" t="inlineStr" s="8">
        <is>
          <t>2025-02-06</t>
        </is>
      </c>
      <c r="M94" s="9"/>
      <c r="N94" s="9"/>
      <c r="O94" s="8"/>
      <c r="P94" s="8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9"/>
      <c r="BF94" s="9"/>
      <c r="BG94" s="9"/>
      <c r="BH94" s="9"/>
      <c r="BI94" s="9">
        <f>SUM(M94,N94,Q94,R94,S94,T94,U94,V94,W94,X94,Y94,Z94,AA94,AB94,AC94,AD94,AE94,AF94,AG94,AH94,AI94,AJ94,AK94,AL94,AM94,AN94,AO94,AP94,AQ94,AR94,AS94,AT94,AU94,AV94,AW94,AX94,AY94,AZ94,BA94,BB94,BC94,BD94,BE94,BF94,BG94,BH94)</f>
      </c>
      <c r="BJ94" s="9">
        <f>I94-BI94</f>
      </c>
      <c r="BK94" s="9">
        <f>BJ94-BL94-BM94-BN94-BO94</f>
      </c>
      <c r="BL94" s="9"/>
      <c r="BM94" s="9"/>
      <c r="BN94" s="9"/>
      <c r="BO94" s="9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9"/>
      <c r="CA94" s="9"/>
      <c r="CB94" t="inlineStr" s="8">
        <is>
          <t>3166245418</t>
        </is>
      </c>
      <c r="CC94" t="inlineStr" s="8">
        <is>
          <t>lannister.daenerys.74065030@example.com</t>
        </is>
      </c>
      <c r="CD94" t="inlineStr" s="8">
        <is>
          <t>PANTHER PINK CEL: 3166246299</t>
        </is>
      </c>
      <c r="CE94" t="inlineStr" s="8">
        <is>
          <t>NC4340 FEB.6/25 INCLUSION FERRIS COOPER</t>
        </is>
      </c>
    </row>
    <row r="95" ht="13.7" customHeight="1">
      <c r="A95" t="inlineStr" s="8">
        <is>
          <t>60007919085031</t>
        </is>
      </c>
      <c r="B95" s="8"/>
      <c r="C95" t="inlineStr" s="8">
        <is>
          <t>201</t>
        </is>
      </c>
      <c r="D95" s="9">
        <v>55.20</v>
      </c>
      <c r="E95" t="inlineStr" s="8">
        <is>
          <t>73975230</t>
        </is>
      </c>
      <c r="F95" t="inlineStr" s="8">
        <is>
          <t>BANNER STEWIE</t>
        </is>
      </c>
      <c r="G95" t="inlineStr" s="8">
        <is>
          <t>BANNER STEWIE</t>
        </is>
      </c>
      <c r="H95" t="inlineStr" s="8">
        <is>
          <t>BANCOLOMBIA</t>
        </is>
      </c>
      <c r="I95" s="9">
        <v>192172500.00</v>
      </c>
      <c r="J95" s="8"/>
      <c r="K95" s="8"/>
      <c r="L95" s="8"/>
      <c r="M95" s="9"/>
      <c r="N95" s="9"/>
      <c r="O95" s="8"/>
      <c r="P95" s="8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9"/>
      <c r="BF95" s="9"/>
      <c r="BG95" s="9"/>
      <c r="BH95" s="9"/>
      <c r="BI95" s="9">
        <f>SUM(M95,N95,Q95,R95,S95,T95,U95,V95,W95,X95,Y95,Z95,AA95,AB95,AC95,AD95,AE95,AF95,AG95,AH95,AI95,AJ95,AK95,AL95,AM95,AN95,AO95,AP95,AQ95,AR95,AS95,AT95,AU95,AV95,AW95,AX95,AY95,AZ95,BA95,BB95,BC95,BD95,BE95,BF95,BG95,BH95)</f>
      </c>
      <c r="BJ95" s="9">
        <f>I95-BI95</f>
      </c>
      <c r="BK95" s="9">
        <f>BJ95-BL95-BM95-BN95-BO95</f>
      </c>
      <c r="BL95" s="9"/>
      <c r="BM95" s="9"/>
      <c r="BN95" s="9"/>
      <c r="BO95" s="9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9"/>
      <c r="CA95" s="9"/>
      <c r="CB95" t="inlineStr" s="8">
        <is>
          <t>3166229095</t>
        </is>
      </c>
      <c r="CC95" t="inlineStr" s="8">
        <is>
          <t>banner.stewie.73975230@example.com</t>
        </is>
      </c>
      <c r="CD95" t="inlineStr" s="8">
        <is>
          <t>MOUSE MINNIE CEL: 3166229449</t>
        </is>
      </c>
      <c r="CE95" t="inlineStr" s="8">
        <is>
          <t>NC4236 SEP.6/22 TERMINACION UNILATERAL STEWIE BANNER</t>
        </is>
      </c>
    </row>
    <row r="96" ht="13.7" customHeight="1">
      <c r="A96" t="inlineStr" s="8">
        <is>
          <t>60007919089305</t>
        </is>
      </c>
      <c r="B96" s="8"/>
      <c r="C96" t="inlineStr" s="8">
        <is>
          <t>706</t>
        </is>
      </c>
      <c r="D96" s="9">
        <v>55.20</v>
      </c>
      <c r="E96" t="inlineStr" s="8">
        <is>
          <t>74310655</t>
        </is>
      </c>
      <c r="F96" t="inlineStr" s="8">
        <is>
          <t>FOWLER JIM</t>
        </is>
      </c>
      <c r="G96" t="inlineStr" s="8">
        <is>
          <t>FOWLER JIM</t>
        </is>
      </c>
      <c r="H96" s="8"/>
      <c r="I96" s="9">
        <v>192172500.00</v>
      </c>
      <c r="J96" s="8"/>
      <c r="K96" s="8"/>
      <c r="L96" s="8"/>
      <c r="M96" s="9"/>
      <c r="N96" s="9"/>
      <c r="O96" s="8"/>
      <c r="P96" s="8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9"/>
      <c r="BF96" s="9"/>
      <c r="BG96" s="9"/>
      <c r="BH96" s="9"/>
      <c r="BI96" s="9">
        <f>SUM(M96,N96,Q96,R96,S96,T96,U96,V96,W96,X96,Y96,Z96,AA96,AB96,AC96,AD96,AE96,AF96,AG96,AH96,AI96,AJ96,AK96,AL96,AM96,AN96,AO96,AP96,AQ96,AR96,AS96,AT96,AU96,AV96,AW96,AX96,AY96,AZ96,BA96,BB96,BC96,BD96,BE96,BF96,BG96,BH96)</f>
      </c>
      <c r="BJ96" s="9">
        <f>I96-BI96</f>
      </c>
      <c r="BK96" s="9">
        <f>BJ96-BL96-BM96-BN96-BO96</f>
      </c>
      <c r="BL96" s="9"/>
      <c r="BM96" s="9"/>
      <c r="BN96" s="9"/>
      <c r="BO96" s="9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9"/>
      <c r="CA96" s="9"/>
      <c r="CB96" t="inlineStr" s="8">
        <is>
          <t>3166282424</t>
        </is>
      </c>
      <c r="CC96" t="inlineStr" s="8">
        <is>
          <t>fowler.jim.74310655@example.com</t>
        </is>
      </c>
      <c r="CD96" t="inlineStr" s="8">
        <is>
          <t>PANTHER PINK CEL: 3166283270</t>
        </is>
      </c>
      <c r="CE96" t="inlineStr" s="8">
        <is>
          <t>NC4639 SEP.9/22 TERMINACION UNILATERAL JIM FOWLER</t>
        </is>
      </c>
    </row>
    <row r="97" ht="13.7" customHeight="1">
      <c r="A97" t="inlineStr" s="8">
        <is>
          <t>60007919088042</t>
        </is>
      </c>
      <c r="B97" s="8"/>
      <c r="C97" t="inlineStr" s="8">
        <is>
          <t>603</t>
        </is>
      </c>
      <c r="D97" s="9">
        <v>55.20</v>
      </c>
      <c r="E97" t="inlineStr" s="8">
        <is>
          <t>74231807</t>
        </is>
      </c>
      <c r="F97" t="inlineStr" s="8">
        <is>
          <t>GRANGER SHELDON</t>
        </is>
      </c>
      <c r="G97" t="inlineStr" s="8">
        <is>
          <t>GRANGER SHELDON</t>
        </is>
      </c>
      <c r="H97" t="inlineStr" s="8">
        <is>
          <t>BANCO DAVIVIENDA</t>
        </is>
      </c>
      <c r="I97" s="9">
        <v>192172500.00</v>
      </c>
      <c r="J97" s="8"/>
      <c r="K97" s="8"/>
      <c r="L97" s="8"/>
      <c r="M97" s="9"/>
      <c r="N97" s="9"/>
      <c r="O97" s="8"/>
      <c r="P97" s="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9"/>
      <c r="BF97" s="9"/>
      <c r="BG97" s="9"/>
      <c r="BH97" s="9"/>
      <c r="BI97" s="9">
        <f>SUM(M97,N97,Q97,R97,S97,T97,U97,V97,W97,X97,Y97,Z97,AA97,AB97,AC97,AD97,AE97,AF97,AG97,AH97,AI97,AJ97,AK97,AL97,AM97,AN97,AO97,AP97,AQ97,AR97,AS97,AT97,AU97,AV97,AW97,AX97,AY97,AZ97,BA97,BB97,BC97,BD97,BE97,BF97,BG97,BH97)</f>
      </c>
      <c r="BJ97" s="9">
        <f>I97-BI97</f>
      </c>
      <c r="BK97" s="9">
        <f>BJ97-BL97-BM97-BN97-BO97</f>
      </c>
      <c r="BL97" s="9"/>
      <c r="BM97" s="9"/>
      <c r="BN97" s="9"/>
      <c r="BO97" s="9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9"/>
      <c r="CA97" s="9"/>
      <c r="CB97" t="inlineStr" s="8">
        <is>
          <t>3166269420</t>
        </is>
      </c>
      <c r="CC97" t="inlineStr" s="8">
        <is>
          <t>granger.sheldon.74231807@example.com</t>
        </is>
      </c>
      <c r="CD97" t="inlineStr" s="8">
        <is>
          <t>BUNNY BUGS CEL: 3166269881</t>
        </is>
      </c>
      <c r="CE97" t="inlineStr" s="8">
        <is>
          <t>NC4530 OCT.18/24 TERMINACION UNILATERAL SHELDON GRANGER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3.0" customWidth="1"/>
    <col min="58" max="58" width="12.42578125" customWidth="1"/>
    <col min="59" max="59" width="15.5703125" customWidth="1"/>
    <col min="60" max="60" width="15.28515625" customWidth="1"/>
    <col min="61" max="61" width="14.140625" customWidth="1"/>
    <col min="62" max="62" width="15.28515625" customWidth="1"/>
    <col min="63" max="63" width="11.5703125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13.0" customWidth="1"/>
    <col min="73" max="73" width="8.1406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1.42578125" customWidth="1"/>
    <col min="81" max="81" width="13.0" customWidth="1"/>
    <col min="82" max="82" width="20.0" customWidth="1"/>
    <col min="83" max="83" width="24.0" customWidth="1"/>
    <col min="84" max="84" width="105.140625" customWidth="1"/>
  </cols>
  <sheetData>
    <row r="1">
      <c r="A1" t="inlineStr" s="1">
        <is>
          <t>CONJUNTO CERRADO KSMP T4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FEB/2022</t>
        </is>
      </c>
      <c r="S4" t="inlineStr" s="5">
        <is>
          <t>RECIBO FIDUCIA MAR/2022</t>
        </is>
      </c>
      <c r="T4" t="inlineStr" s="5">
        <is>
          <t>RECIBO FIDUCIA ABR/2022</t>
        </is>
      </c>
      <c r="U4" t="inlineStr" s="5">
        <is>
          <t>RECIBO FIDUCIA MAY/2022</t>
        </is>
      </c>
      <c r="V4" t="inlineStr" s="5">
        <is>
          <t>RECIBO FIDUCIA JUN/2022</t>
        </is>
      </c>
      <c r="W4" t="inlineStr" s="5">
        <is>
          <t>RECIBO FIDUCIA JUL/2022</t>
        </is>
      </c>
      <c r="X4" t="inlineStr" s="5">
        <is>
          <t>RECIBO FIDUCIA AGO/2022</t>
        </is>
      </c>
      <c r="Y4" t="inlineStr" s="5">
        <is>
          <t>RECIBO FIDUCIA SEP/2022</t>
        </is>
      </c>
      <c r="Z4" t="inlineStr" s="5">
        <is>
          <t>RECIBO FIDUCIA OCT/2022</t>
        </is>
      </c>
      <c r="AA4" t="inlineStr" s="5">
        <is>
          <t>RECIBO FIDUCIA NOV/2022</t>
        </is>
      </c>
      <c r="AB4" t="inlineStr" s="5">
        <is>
          <t>RECIBO FIDUCIA DIC/2022</t>
        </is>
      </c>
      <c r="AC4" t="inlineStr" s="5">
        <is>
          <t>RECIBO FIDUCIA ENE/2023</t>
        </is>
      </c>
      <c r="AD4" t="inlineStr" s="5">
        <is>
          <t>RECIBO FIDUCIA FEB/2023</t>
        </is>
      </c>
      <c r="AE4" t="inlineStr" s="5">
        <is>
          <t>RECIBO FIDUCIA MAR/2023</t>
        </is>
      </c>
      <c r="AF4" t="inlineStr" s="5">
        <is>
          <t>RECIBO FIDUCIA ABR/2023</t>
        </is>
      </c>
      <c r="AG4" t="inlineStr" s="5">
        <is>
          <t>RECIBO FIDUCIA MAY/2023</t>
        </is>
      </c>
      <c r="AH4" t="inlineStr" s="5">
        <is>
          <t>RECIBO FIDUCIA JUN/2023</t>
        </is>
      </c>
      <c r="AI4" t="inlineStr" s="5">
        <is>
          <t>RECIBO FIDUCIA JUL/2023</t>
        </is>
      </c>
      <c r="AJ4" t="inlineStr" s="5">
        <is>
          <t>RECIBO FIDUCIA AGO/2023</t>
        </is>
      </c>
      <c r="AK4" t="inlineStr" s="5">
        <is>
          <t>RECIBO FIDUCIA SEP/2023</t>
        </is>
      </c>
      <c r="AL4" t="inlineStr" s="5">
        <is>
          <t>RECIBO FIDUCIA OCT/2023</t>
        </is>
      </c>
      <c r="AM4" t="inlineStr" s="5">
        <is>
          <t>RECIBO FIDUCIA NOV/2023</t>
        </is>
      </c>
      <c r="AN4" t="inlineStr" s="5">
        <is>
          <t>RECIBO FIDUCIA DIC/2023</t>
        </is>
      </c>
      <c r="AO4" t="inlineStr" s="5">
        <is>
          <t>RECIBO FIDUCIA ENE/2024</t>
        </is>
      </c>
      <c r="AP4" t="inlineStr" s="5">
        <is>
          <t>RECIBO FIDUCIA FEB/2024</t>
        </is>
      </c>
      <c r="AQ4" t="inlineStr" s="5">
        <is>
          <t>RECIBO FIDUCIA MAR/2024</t>
        </is>
      </c>
      <c r="AR4" t="inlineStr" s="5">
        <is>
          <t>RECIBO FIDUCIA ABR/2024</t>
        </is>
      </c>
      <c r="AS4" t="inlineStr" s="5">
        <is>
          <t>RECIBO FIDUCIA MAY/2024</t>
        </is>
      </c>
      <c r="AT4" t="inlineStr" s="5">
        <is>
          <t>RECIBO FIDUCIA JUN/2024</t>
        </is>
      </c>
      <c r="AU4" t="inlineStr" s="5">
        <is>
          <t>RECIBO FIDUCIA JUL/2024</t>
        </is>
      </c>
      <c r="AV4" t="inlineStr" s="5">
        <is>
          <t>RECIBO FIDUCIA AGO/2024</t>
        </is>
      </c>
      <c r="AW4" t="inlineStr" s="5">
        <is>
          <t>RECIBO FIDUCIA SEP/2024</t>
        </is>
      </c>
      <c r="AX4" t="inlineStr" s="5">
        <is>
          <t>RECIBO FIDUCIA OCT/2024</t>
        </is>
      </c>
      <c r="AY4" t="inlineStr" s="5">
        <is>
          <t>RECIBO FIDUCIA NOV/2024</t>
        </is>
      </c>
      <c r="AZ4" t="inlineStr" s="5">
        <is>
          <t>RECIBO FIDUCIA DIC/2024</t>
        </is>
      </c>
      <c r="BA4" t="inlineStr" s="5">
        <is>
          <t>RECIBO FIDUCIA ENE/2025</t>
        </is>
      </c>
      <c r="BB4" t="inlineStr" s="5">
        <is>
          <t>RECIBO FIDUCIA FEB/2025</t>
        </is>
      </c>
      <c r="BC4" t="inlineStr" s="5">
        <is>
          <t>RECIBO FIDUCIA MAY/2025</t>
        </is>
      </c>
      <c r="BD4" t="inlineStr" s="5">
        <is>
          <t>RECIBO FIDUCIA JUN/2025</t>
        </is>
      </c>
      <c r="BE4" t="inlineStr" s="5">
        <is>
          <t>RECIBO FIDUCIA DIC/2025</t>
        </is>
      </c>
      <c r="BF4" t="inlineStr" s="4">
        <is>
          <t>ABONOS CR CONSTRUCTOR</t>
        </is>
      </c>
      <c r="BG4" t="inlineStr" s="4">
        <is>
          <t>DESEMBOLSO SUBSIDIO CAJAS DE COMPENSACION</t>
        </is>
      </c>
      <c r="BH4" t="inlineStr" s="4">
        <is>
          <t>DESEMBOLSO SUBSIDIOS GOBIERNO</t>
        </is>
      </c>
      <c r="BI4" t="inlineStr" s="2">
        <is>
          <t>AJUSTE</t>
        </is>
      </c>
      <c r="BJ4" t="inlineStr" s="2">
        <is>
          <t>TOTAL RECIBIDO</t>
        </is>
      </c>
      <c r="BK4" t="inlineStr" s="2">
        <is>
          <t>SALDO POR COBRAR</t>
        </is>
      </c>
      <c r="BL4" t="inlineStr" s="2">
        <is>
          <t>RECURSOS PROPIOS</t>
        </is>
      </c>
      <c r="BM4" t="inlineStr" s="2">
        <is>
          <t>CREDITO BANCARIO</t>
        </is>
      </c>
      <c r="BN4" t="inlineStr" s="2">
        <is>
          <t>CAJA HONOR</t>
        </is>
      </c>
      <c r="BO4" t="inlineStr" s="6">
        <is>
          <t>SUBSIDIOS MCY</t>
        </is>
      </c>
      <c r="BP4" t="inlineStr" s="6">
        <is>
          <t>SUBSIDIOS CAJA COMP</t>
        </is>
      </c>
      <c r="BQ4" t="inlineStr" s="6">
        <is>
          <t>ENTIDAD</t>
        </is>
      </c>
      <c r="BR4" t="inlineStr" s="2">
        <is>
          <t>FECHA CONTRATO DE ADHESION</t>
        </is>
      </c>
      <c r="BS4" t="inlineStr" s="2">
        <is>
          <t>FECHA DE PROMESA</t>
        </is>
      </c>
      <c r="BT4" t="inlineStr" s="7">
        <is>
          <t>ENTREGA REAL</t>
        </is>
      </c>
      <c r="BU4" t="inlineStr" s="6">
        <is>
          <t>MATRIC</t>
        </is>
      </c>
      <c r="BV4" t="inlineStr" s="6">
        <is>
          <t>FECHA ESC</t>
        </is>
      </c>
      <c r="BW4" t="inlineStr" s="6">
        <is>
          <t>ESC</t>
        </is>
      </c>
      <c r="BX4" t="inlineStr" s="6">
        <is>
          <t>NOT</t>
        </is>
      </c>
      <c r="BY4" t="inlineStr" s="6">
        <is>
          <t>FECHA C/TRADIC</t>
        </is>
      </c>
      <c r="BZ4" t="inlineStr" s="6">
        <is>
          <t>FE</t>
        </is>
      </c>
      <c r="CA4" t="inlineStr" s="2">
        <is>
          <t>INTERESES</t>
        </is>
      </c>
      <c r="CB4" t="inlineStr" s="2">
        <is>
          <t>VALOR</t>
        </is>
      </c>
      <c r="CC4" t="inlineStr" s="2">
        <is>
          <t>TELEFONO</t>
        </is>
      </c>
      <c r="CD4" t="inlineStr" s="2">
        <is>
          <t>E-MAIL</t>
        </is>
      </c>
      <c r="CE4" t="inlineStr" s="2">
        <is>
          <t>CONTACTO</t>
        </is>
      </c>
      <c r="CF4" t="inlineStr" s="2">
        <is>
          <t>OBSERVACIONES</t>
        </is>
      </c>
    </row>
    <row r="5" ht="12.75" customHeight="1">
      <c r="A5" t="inlineStr" s="8">
        <is>
          <t>60007919089571</t>
        </is>
      </c>
      <c r="B5" s="8"/>
      <c r="C5" t="inlineStr" s="8">
        <is>
          <t>101</t>
        </is>
      </c>
      <c r="D5" s="9">
        <v>55.20</v>
      </c>
      <c r="E5" t="inlineStr" s="8">
        <is>
          <t>74317961</t>
        </is>
      </c>
      <c r="F5" t="inlineStr" s="8">
        <is>
          <t>BYERS HERCULE</t>
        </is>
      </c>
      <c r="G5" t="inlineStr" s="8">
        <is>
          <t>POTTER GUSTAVO</t>
        </is>
      </c>
      <c r="H5" s="8"/>
      <c r="I5" s="9">
        <v>192172500.00</v>
      </c>
      <c r="J5" t="inlineStr" s="8">
        <is>
          <t>NCR4673 - NCR4678</t>
        </is>
      </c>
      <c r="K5" t="inlineStr" s="8">
        <is>
          <t>NCR4671 - NCR4672 - NCR4680 - NCR4675 - NCR4674 - NCR4669 - NCR4670 - NCR4668 - NCR4679 - NCR4676 - NCR4677</t>
        </is>
      </c>
      <c r="L5" t="inlineStr" s="8">
        <is>
          <t>JUL.15/23F - AGO.2/23 - AGO.13/23F - AGO.26/23F - OCT.27/23F - NOV.17/23 - DIC.19/23F - ENE.6/24F - ENE.14/24F - ENE.27/24F - FEB.14/24F - MAY.5/24F - MAY.25/24F</t>
        </is>
      </c>
      <c r="M5" s="9">
        <f>12084000+2717000</f>
      </c>
      <c r="N5" s="9"/>
      <c r="O5" s="8"/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>
        <v>1311000</v>
      </c>
      <c r="AJ5" s="10">
        <f>5246000+2335000</f>
      </c>
      <c r="AK5" s="10"/>
      <c r="AL5" s="10">
        <v>21358000</v>
      </c>
      <c r="AM5" s="10"/>
      <c r="AN5" s="10">
        <v>2904000</v>
      </c>
      <c r="AO5" s="10">
        <f>656000+8243000+31193000</f>
      </c>
      <c r="AP5" s="10">
        <v>2342000</v>
      </c>
      <c r="AQ5" s="10"/>
      <c r="AR5" s="10"/>
      <c r="AS5" s="10">
        <f>100000+3185000</f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9"/>
      <c r="BG5" s="9"/>
      <c r="BH5" s="9"/>
      <c r="BI5" s="9"/>
      <c r="BJ5" s="9">
        <f>SUM(M5,N5,Q5,R5,S5,T5,U5,V5,W5,X5,Y5,Z5,AA5,AB5,AC5,AD5,AE5,AF5,AG5,AH5,AI5,AJ5,AK5,AL5,AM5,AN5,AO5,AP5,AQ5,AR5,AS5,AT5,AU5,AV5,AW5,AX5,AY5,AZ5,BA5,BB5,BC5,BD5,BE5,BF5,BG5,BH5,BI5)</f>
      </c>
      <c r="BK5" s="9">
        <f>I5-BJ5</f>
      </c>
      <c r="BL5" s="9">
        <f>BK5-BM5-BN5-BO5-BP5</f>
      </c>
      <c r="BM5" s="9"/>
      <c r="BN5" s="9"/>
      <c r="BO5" s="9"/>
      <c r="BP5" s="9"/>
      <c r="BQ5" s="8"/>
      <c r="BR5" t="inlineStr" s="8">
        <is>
          <t>2023-07-20</t>
        </is>
      </c>
      <c r="BS5" t="inlineStr" s="8">
        <is>
          <t>2023-10-20</t>
        </is>
      </c>
      <c r="BT5" s="8"/>
      <c r="BU5" s="8"/>
      <c r="BV5" s="8"/>
      <c r="BW5" s="8"/>
      <c r="BX5" s="8"/>
      <c r="BY5" s="8"/>
      <c r="BZ5" s="8"/>
      <c r="CA5" s="9"/>
      <c r="CB5" s="9"/>
      <c r="CC5" t="inlineStr" s="8">
        <is>
          <t>3166284678</t>
        </is>
      </c>
      <c r="CD5" t="inlineStr" s="8">
        <is>
          <t>byers.hercule.74317961@example.com</t>
        </is>
      </c>
      <c r="CE5" t="inlineStr" s="8">
        <is>
          <t>DUCK DAFFY CEL: 3166285632</t>
        </is>
      </c>
      <c r="CF5" s="8"/>
    </row>
    <row r="6" ht="12.75" customHeight="1">
      <c r="A6" t="inlineStr" s="8">
        <is>
          <t>60007919089647</t>
        </is>
      </c>
      <c r="B6" s="8"/>
      <c r="C6" t="inlineStr" s="8">
        <is>
          <t>102</t>
        </is>
      </c>
      <c r="D6" s="9">
        <v>55.20</v>
      </c>
      <c r="E6" t="inlineStr" s="8">
        <is>
          <t>74338611</t>
        </is>
      </c>
      <c r="F6" t="inlineStr" s="8">
        <is>
          <t>POIROT CLINT</t>
        </is>
      </c>
      <c r="G6" t="inlineStr" s="8">
        <is>
          <t>LANNISTER DWIGHT</t>
        </is>
      </c>
      <c r="H6" t="inlineStr" s="8">
        <is>
          <t>BANCO DE BOGOTA</t>
        </is>
      </c>
      <c r="I6" s="9">
        <v>192172500.00</v>
      </c>
      <c r="J6" t="inlineStr" s="8">
        <is>
          <t>NCR4689 - NCR4683 - NC4682CESION - NCR4687 - NCR4690CR</t>
        </is>
      </c>
      <c r="K6" t="inlineStr" s="8">
        <is>
          <t>NCR4684 - NCR4686 - NCR4688 - NCR4685</t>
        </is>
      </c>
      <c r="L6" t="inlineStr" s="8">
        <is>
          <t>AGO.4/23 - AGO.15/23F - OCT.10/23 - (OCT.14/23CESION) - OCT.18/23F - OCT.20/23 - DIC.10/23F - FEB.19/24F</t>
        </is>
      </c>
      <c r="M6" s="9">
        <f>22546000+6731000+1368000</f>
      </c>
      <c r="N6" s="9">
        <v>15000000</v>
      </c>
      <c r="O6" t="inlineStr" s="8">
        <is>
          <t>FEB.11/24</t>
        </is>
      </c>
      <c r="P6" s="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>
        <v>8646000</v>
      </c>
      <c r="AK6" s="10"/>
      <c r="AL6" s="10">
        <v>6840000</v>
      </c>
      <c r="AM6" s="10"/>
      <c r="AN6" s="10">
        <v>1970000</v>
      </c>
      <c r="AO6" s="10"/>
      <c r="AP6" s="10">
        <v>6621000</v>
      </c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9">
        <v>80000000</v>
      </c>
      <c r="BG6" s="9"/>
      <c r="BH6" s="9"/>
      <c r="BI6" s="9"/>
      <c r="BJ6" s="9">
        <f>SUM(M6,N6,Q6,R6,S6,T6,U6,V6,W6,X6,Y6,Z6,AA6,AB6,AC6,AD6,AE6,AF6,AG6,AH6,AI6,AJ6,AK6,AL6,AM6,AN6,AO6,AP6,AQ6,AR6,AS6,AT6,AU6,AV6,AW6,AX6,AY6,AZ6,BA6,BB6,BC6,BD6,BE6,BF6,BG6,BH6,BI6)</f>
      </c>
      <c r="BK6" s="9">
        <f>I6-BJ6</f>
      </c>
      <c r="BL6" s="9">
        <f>BK6-BM6-BN6-BO6-BP6</f>
      </c>
      <c r="BM6" s="9"/>
      <c r="BN6" s="9"/>
      <c r="BO6" s="9"/>
      <c r="BP6" s="9"/>
      <c r="BQ6" s="8"/>
      <c r="BR6" t="inlineStr" s="8">
        <is>
          <t>2023-09-09</t>
        </is>
      </c>
      <c r="BS6" t="inlineStr" s="8">
        <is>
          <t>2023-12-17</t>
        </is>
      </c>
      <c r="BT6" s="8"/>
      <c r="BU6" s="8"/>
      <c r="BV6" s="8"/>
      <c r="BW6" s="8"/>
      <c r="BX6" s="8"/>
      <c r="BY6" s="8"/>
      <c r="BZ6" s="8"/>
      <c r="CA6" s="9"/>
      <c r="CB6" s="9"/>
      <c r="CC6" t="inlineStr" s="8">
        <is>
          <t>3166286666</t>
        </is>
      </c>
      <c r="CD6" t="inlineStr" s="8">
        <is>
          <t>poirot.clint.74338611@example.com</t>
        </is>
      </c>
      <c r="CE6" t="inlineStr" s="8">
        <is>
          <t>MOUSE MICKEY CEL: 3166287104</t>
        </is>
      </c>
      <c r="CF6" s="8"/>
    </row>
    <row r="7" ht="12.75" customHeight="1">
      <c r="A7" t="inlineStr" s="8">
        <is>
          <t>60007919089822</t>
        </is>
      </c>
      <c r="B7" s="8"/>
      <c r="C7" t="inlineStr" s="8">
        <is>
          <t>103</t>
        </is>
      </c>
      <c r="D7" s="9">
        <v>55.20</v>
      </c>
      <c r="E7" t="inlineStr" s="8">
        <is>
          <t>74345370</t>
        </is>
      </c>
      <c r="F7" t="inlineStr" s="8">
        <is>
          <t>HOLMES JESSE</t>
        </is>
      </c>
      <c r="G7" t="inlineStr" s="8">
        <is>
          <t>BEESLY SPONGEBOB</t>
        </is>
      </c>
      <c r="H7" t="inlineStr" s="8">
        <is>
          <t>BANCO DE BOGOTA</t>
        </is>
      </c>
      <c r="I7" s="9">
        <v>192172500.00</v>
      </c>
      <c r="J7" t="inlineStr" s="8">
        <is>
          <t>NCR4702 - NCR4694 - NCR4697 - NCR4691 - NCR4698 - NCR4693 - NCR4701 - NCR4703CR</t>
        </is>
      </c>
      <c r="K7" t="inlineStr" s="8">
        <is>
          <t>NCR4699 - NCR4696 - NCR4695 - NCR4692 - NCR4700</t>
        </is>
      </c>
      <c r="L7" t="inlineStr" s="8">
        <is>
          <t>FEB.4/23F - FEB.24/23F - JUL.5/23 - JUL.22/23 - SEP.23/23 - OCT.10/23F - NOV.3/23 - NOV.11/23 - NOV.20/23 - NOV.28/23 - MAR.3/24F - ABR.7/24F</t>
        </is>
      </c>
      <c r="M7" s="9">
        <f>8617000+1546334+4585000+1160000+7181000+1049000+3811000</f>
      </c>
      <c r="N7" s="9"/>
      <c r="O7" t="inlineStr" s="8">
        <is>
          <t>DIC.18/23</t>
        </is>
      </c>
      <c r="P7" s="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>
        <f>221000+442000</f>
      </c>
      <c r="AE7" s="10"/>
      <c r="AF7" s="10"/>
      <c r="AG7" s="10"/>
      <c r="AH7" s="10"/>
      <c r="AI7" s="10"/>
      <c r="AJ7" s="10"/>
      <c r="AK7" s="10"/>
      <c r="AL7" s="10">
        <v>12649000</v>
      </c>
      <c r="AM7" s="10"/>
      <c r="AN7" s="10"/>
      <c r="AO7" s="10"/>
      <c r="AP7" s="10"/>
      <c r="AQ7" s="10">
        <v>10108000</v>
      </c>
      <c r="AR7" s="10">
        <v>3866000</v>
      </c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9">
        <v>27617666</v>
      </c>
      <c r="BG7" s="9"/>
      <c r="BH7" s="9"/>
      <c r="BI7" s="9"/>
      <c r="BJ7" s="9">
        <f>SUM(M7,N7,Q7,R7,S7,T7,U7,V7,W7,X7,Y7,Z7,AA7,AB7,AC7,AD7,AE7,AF7,AG7,AH7,AI7,AJ7,AK7,AL7,AM7,AN7,AO7,AP7,AQ7,AR7,AS7,AT7,AU7,AV7,AW7,AX7,AY7,AZ7,BA7,BB7,BC7,BD7,BE7,BF7,BG7,BH7,BI7)</f>
      </c>
      <c r="BK7" s="9">
        <f>I7-BJ7</f>
      </c>
      <c r="BL7" s="9">
        <f>BK7-BM7-BN7-BO7-BP7</f>
      </c>
      <c r="BM7" s="9"/>
      <c r="BN7" s="9"/>
      <c r="BO7" s="9"/>
      <c r="BP7" s="9"/>
      <c r="BQ7" s="8"/>
      <c r="BR7" t="inlineStr" s="8">
        <is>
          <t>2023-05-07</t>
        </is>
      </c>
      <c r="BS7" t="inlineStr" s="8">
        <is>
          <t>2023-09-04</t>
        </is>
      </c>
      <c r="BT7" s="8"/>
      <c r="BU7" s="8"/>
      <c r="BV7" s="8"/>
      <c r="BW7" s="8"/>
      <c r="BX7" s="8"/>
      <c r="BY7" s="8"/>
      <c r="BZ7" s="8"/>
      <c r="CA7" s="9"/>
      <c r="CB7" s="9"/>
      <c r="CC7" t="inlineStr" s="8">
        <is>
          <t>3166287603</t>
        </is>
      </c>
      <c r="CD7" t="inlineStr" s="8">
        <is>
          <t>holmes.jesse.74345370@example.com</t>
        </is>
      </c>
      <c r="CE7" t="inlineStr" s="8">
        <is>
          <t>DUCK DAFFY CEL: 3166288321</t>
        </is>
      </c>
      <c r="CF7" s="8"/>
    </row>
    <row r="8" ht="12.75" customHeight="1">
      <c r="A8" t="inlineStr" s="8">
        <is>
          <t>60007919089911</t>
        </is>
      </c>
      <c r="B8" s="8"/>
      <c r="C8" t="inlineStr" s="8">
        <is>
          <t>104</t>
        </is>
      </c>
      <c r="D8" s="9">
        <v>55.20</v>
      </c>
      <c r="E8" t="inlineStr" s="8">
        <is>
          <t>74351332</t>
        </is>
      </c>
      <c r="F8" t="inlineStr" s="8">
        <is>
          <t>WAYNE RON</t>
        </is>
      </c>
      <c r="G8" s="8"/>
      <c r="H8" s="8"/>
      <c r="I8" s="9">
        <v>192172500.00</v>
      </c>
      <c r="J8" t="inlineStr" s="8">
        <is>
          <t>NCR4706</t>
        </is>
      </c>
      <c r="K8" t="inlineStr" s="8">
        <is>
          <t>NCR4704 - NCR4709 - NCR4710 - NCR4705 - NCR4707 - NCR4708</t>
        </is>
      </c>
      <c r="L8" t="inlineStr" s="8">
        <is>
          <t>MAY.6/23F - JUL.20/23F - AGO.7/23F - OCT.2/23F - NOV.24/23 - FEB.21/24F - JUL.16/24F</t>
        </is>
      </c>
      <c r="M8" s="9">
        <v>471000</v>
      </c>
      <c r="N8" s="9"/>
      <c r="O8" s="8"/>
      <c r="P8" s="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>
        <v>26963000</v>
      </c>
      <c r="AH8" s="10"/>
      <c r="AI8" s="10">
        <v>8595000</v>
      </c>
      <c r="AJ8" s="10">
        <v>25080000</v>
      </c>
      <c r="AK8" s="10"/>
      <c r="AL8" s="10">
        <v>824000</v>
      </c>
      <c r="AM8" s="10"/>
      <c r="AN8" s="10"/>
      <c r="AO8" s="10"/>
      <c r="AP8" s="10">
        <v>33674000</v>
      </c>
      <c r="AQ8" s="10"/>
      <c r="AR8" s="10"/>
      <c r="AS8" s="10"/>
      <c r="AT8" s="10"/>
      <c r="AU8" s="10">
        <v>22135000</v>
      </c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9"/>
      <c r="BG8" s="9"/>
      <c r="BH8" s="9"/>
      <c r="BI8" s="9"/>
      <c r="BJ8" s="9">
        <f>SUM(M8,N8,Q8,R8,S8,T8,U8,V8,W8,X8,Y8,Z8,AA8,AB8,AC8,AD8,AE8,AF8,AG8,AH8,AI8,AJ8,AK8,AL8,AM8,AN8,AO8,AP8,AQ8,AR8,AS8,AT8,AU8,AV8,AW8,AX8,AY8,AZ8,BA8,BB8,BC8,BD8,BE8,BF8,BG8,BH8,BI8)</f>
      </c>
      <c r="BK8" s="9">
        <f>I8-BJ8</f>
      </c>
      <c r="BL8" s="9">
        <f>BK8-BM8-BN8-BO8-BP8</f>
      </c>
      <c r="BM8" s="9"/>
      <c r="BN8" s="9"/>
      <c r="BO8" s="9"/>
      <c r="BP8" s="9"/>
      <c r="BQ8" s="8"/>
      <c r="BR8" t="inlineStr" s="8">
        <is>
          <t>2023-01-08</t>
        </is>
      </c>
      <c r="BS8" t="inlineStr" s="8">
        <is>
          <t>2023-03-01</t>
        </is>
      </c>
      <c r="BT8" s="8"/>
      <c r="BU8" s="8"/>
      <c r="BV8" s="8"/>
      <c r="BW8" s="8"/>
      <c r="BX8" s="8"/>
      <c r="BY8" s="8"/>
      <c r="BZ8" s="8"/>
      <c r="CA8" s="9"/>
      <c r="CB8" s="9"/>
      <c r="CC8" t="inlineStr" s="8">
        <is>
          <t>3166289199</t>
        </is>
      </c>
      <c r="CD8" t="inlineStr" s="8">
        <is>
          <t>wayne.ron.74351332@example.com</t>
        </is>
      </c>
      <c r="CE8" t="inlineStr" s="8">
        <is>
          <t>PANTHER PINK CEL: 3166289638</t>
        </is>
      </c>
      <c r="CF8" s="8"/>
    </row>
    <row r="9" ht="12.75" customHeight="1">
      <c r="A9" s="8"/>
      <c r="B9" s="8"/>
      <c r="C9" t="inlineStr" s="8">
        <is>
          <t>105</t>
        </is>
      </c>
      <c r="D9" s="9">
        <v>55.20</v>
      </c>
      <c r="E9" s="8"/>
      <c r="F9" s="8"/>
      <c r="G9" s="8"/>
      <c r="H9" t="inlineStr" s="8">
        <is>
          <t>BANCO CAJA SOCIAL</t>
        </is>
      </c>
      <c r="I9" s="9">
        <v>192172500.00</v>
      </c>
      <c r="J9" s="8"/>
      <c r="K9" s="8"/>
      <c r="L9" s="8"/>
      <c r="M9" s="9"/>
      <c r="N9" s="9"/>
      <c r="O9" s="8"/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8"/>
      <c r="BR9" s="8"/>
      <c r="BS9" s="8"/>
      <c r="BT9" s="8"/>
      <c r="BU9" s="8"/>
      <c r="BV9" s="8"/>
      <c r="BW9" s="8"/>
      <c r="BX9" s="8"/>
      <c r="BY9" s="8"/>
      <c r="BZ9" s="8"/>
      <c r="CA9" s="9"/>
      <c r="CB9" s="9"/>
      <c r="CC9" s="8"/>
      <c r="CD9" s="8"/>
      <c r="CE9" s="8"/>
      <c r="CF9" s="8"/>
    </row>
    <row r="10" ht="12.75" customHeight="1">
      <c r="A10" t="inlineStr" s="8">
        <is>
          <t>60007919090157</t>
        </is>
      </c>
      <c r="B10" s="8"/>
      <c r="C10" t="inlineStr" s="8">
        <is>
          <t>106</t>
        </is>
      </c>
      <c r="D10" s="9">
        <v>55.20</v>
      </c>
      <c r="E10" t="inlineStr" s="8">
        <is>
          <t>74366995</t>
        </is>
      </c>
      <c r="F10" t="inlineStr" s="8">
        <is>
          <t>MAYFIELD ARYA</t>
        </is>
      </c>
      <c r="G10" s="8"/>
      <c r="H10" t="inlineStr" s="8">
        <is>
          <t>BANCO DE OCCIDENTE</t>
        </is>
      </c>
      <c r="I10" s="9">
        <v>192172500.00</v>
      </c>
      <c r="J10" t="inlineStr" s="8">
        <is>
          <t>NCR4728 - NCR4727 - NCR4729 - NCR4724 - NCR4732CR</t>
        </is>
      </c>
      <c r="K10" t="inlineStr" s="8">
        <is>
          <t>NCR4730 - NCR4731 - NCR4726 - NCR4723 - NCR4722 - NCR4719 - NCR4720 - NCR4718 - NCR4721 - NCR4725</t>
        </is>
      </c>
      <c r="L10" t="inlineStr" s="8">
        <is>
          <t>JUL.11/23 - JUL.18/23 - SEP.21/23 - OCT.20/23F - NOV.10/23 - NOV.17/23F - DIC.3/23F - DIC.20/23F - DIC.23/23F - FEB.2/24F - FEB.18/24F - FEB.19/24F - FEB.20/24F - ABR.19/24F</t>
        </is>
      </c>
      <c r="M10" s="9">
        <f>4591000+209000+991000+1722000</f>
      </c>
      <c r="N10" s="9"/>
      <c r="O10" t="inlineStr" s="8">
        <is>
          <t>SEP.13/23</t>
        </is>
      </c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>
        <v>9704000</v>
      </c>
      <c r="AM10" s="10">
        <v>781500</v>
      </c>
      <c r="AN10" s="10">
        <f>6835000+2035000+3183000</f>
      </c>
      <c r="AO10" s="10"/>
      <c r="AP10" s="10">
        <f>8400000+1774000+2504000+9130000</f>
      </c>
      <c r="AQ10" s="10"/>
      <c r="AR10" s="10">
        <v>313000</v>
      </c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9">
        <v>125000000</v>
      </c>
      <c r="BG10" s="9"/>
      <c r="BH10" s="9"/>
      <c r="BI10" s="9"/>
      <c r="BJ10" s="9">
        <f>SUM(M10,N10,Q10,R10,S10,T10,U10,V10,W10,X10,Y10,Z10,AA10,AB10,AC10,AD10,AE10,AF10,AG10,AH10,AI10,AJ10,AK10,AL10,AM10,AN10,AO10,AP10,AQ10,AR10,AS10,AT10,AU10,AV10,AW10,AX10,AY10,AZ10,BA10,BB10,BC10,BD10,BE10,BF10,BG10,BH10,BI10)</f>
      </c>
      <c r="BK10" s="9">
        <f>I10-BJ10</f>
      </c>
      <c r="BL10" s="9">
        <f>BK10-BM10-BN10-BO10-BP10</f>
      </c>
      <c r="BM10" s="9"/>
      <c r="BN10" s="9"/>
      <c r="BO10" s="9"/>
      <c r="BP10" s="9"/>
      <c r="BQ10" s="8"/>
      <c r="BR10" t="inlineStr" s="8">
        <is>
          <t>2023-03-26</t>
        </is>
      </c>
      <c r="BS10" t="inlineStr" s="8">
        <is>
          <t>2023-04-22</t>
        </is>
      </c>
      <c r="BT10" s="8"/>
      <c r="BU10" s="8"/>
      <c r="BV10" s="8"/>
      <c r="BW10" s="8"/>
      <c r="BX10" s="8"/>
      <c r="BY10" s="8"/>
      <c r="BZ10" s="8"/>
      <c r="CA10" s="9"/>
      <c r="CB10" s="9"/>
      <c r="CC10" t="inlineStr" s="8">
        <is>
          <t>3166291012</t>
        </is>
      </c>
      <c r="CD10" t="inlineStr" s="8">
        <is>
          <t>mayfield.arya.74366995@example.com</t>
        </is>
      </c>
      <c r="CE10" t="inlineStr" s="8">
        <is>
          <t>JAKE CEL: 3166291448</t>
        </is>
      </c>
      <c r="CF10" s="8"/>
    </row>
    <row r="11" ht="12.75" customHeight="1">
      <c r="A11" t="inlineStr" s="8">
        <is>
          <t>60007919090191</t>
        </is>
      </c>
      <c r="B11" s="8"/>
      <c r="C11" t="inlineStr" s="8">
        <is>
          <t>107</t>
        </is>
      </c>
      <c r="D11" s="9">
        <v>55.20</v>
      </c>
      <c r="E11" t="inlineStr" s="8">
        <is>
          <t>74368984</t>
        </is>
      </c>
      <c r="F11" t="inlineStr" s="8">
        <is>
          <t>GREENLEAF HAN</t>
        </is>
      </c>
      <c r="G11" s="8"/>
      <c r="H11" t="inlineStr" s="8">
        <is>
          <t>BANCOLOMBIA</t>
        </is>
      </c>
      <c r="I11" s="9">
        <v>192172500.00</v>
      </c>
      <c r="J11" t="inlineStr" s="8">
        <is>
          <t>NCR4738 - NCR4739CR</t>
        </is>
      </c>
      <c r="K11" t="inlineStr" s="8">
        <is>
          <t>NCR4734 - NCR4735 - NCR4736 - NCR4737</t>
        </is>
      </c>
      <c r="L11" t="inlineStr" s="8">
        <is>
          <t>JUN.6/22F - JUN.24/22F - ABR.5/23F - OCT.5/23 - OCT.22/23F</t>
        </is>
      </c>
      <c r="M11" s="9">
        <v>13825500</v>
      </c>
      <c r="N11" s="9"/>
      <c r="O11" t="inlineStr" s="8">
        <is>
          <t>DIC.28/22</t>
        </is>
      </c>
      <c r="P11" s="8"/>
      <c r="Q11" s="10"/>
      <c r="R11" s="10"/>
      <c r="S11" s="10"/>
      <c r="T11" s="10"/>
      <c r="U11" s="10"/>
      <c r="V11" s="10">
        <f>157000+13408000</f>
      </c>
      <c r="W11" s="10"/>
      <c r="X11" s="10"/>
      <c r="Y11" s="10"/>
      <c r="Z11" s="10"/>
      <c r="AA11" s="10"/>
      <c r="AB11" s="10"/>
      <c r="AC11" s="10"/>
      <c r="AD11" s="10"/>
      <c r="AE11" s="10"/>
      <c r="AF11" s="10">
        <v>21808000</v>
      </c>
      <c r="AG11" s="10"/>
      <c r="AH11" s="10"/>
      <c r="AI11" s="10"/>
      <c r="AJ11" s="10"/>
      <c r="AK11" s="10"/>
      <c r="AL11" s="10">
        <v>2974000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9">
        <v>125000000</v>
      </c>
      <c r="BG11" s="9"/>
      <c r="BH11" s="9"/>
      <c r="BI11" s="9"/>
      <c r="BJ11" s="9">
        <f>SUM(M11,N11,Q11,R11,S11,T11,U11,V11,W11,X11,Y11,Z11,AA11,AB11,AC11,AD11,AE11,AF11,AG11,AH11,AI11,AJ11,AK11,AL11,AM11,AN11,AO11,AP11,AQ11,AR11,AS11,AT11,AU11,AV11,AW11,AX11,AY11,AZ11,BA11,BB11,BC11,BD11,BE11,BF11,BG11,BH11,BI11)</f>
      </c>
      <c r="BK11" s="9">
        <f>I11-BJ11</f>
      </c>
      <c r="BL11" s="9">
        <f>BK11-BM11-BN11-BO11-BP11</f>
      </c>
      <c r="BM11" s="9"/>
      <c r="BN11" s="9"/>
      <c r="BO11" s="9"/>
      <c r="BP11" s="9"/>
      <c r="BQ11" s="8"/>
      <c r="BR11" t="inlineStr" s="8">
        <is>
          <t>2022-06-16</t>
        </is>
      </c>
      <c r="BS11" t="inlineStr" s="8">
        <is>
          <t>2022-08-09</t>
        </is>
      </c>
      <c r="BT11" t="inlineStr" s="8">
        <is>
          <t>2023-11-17</t>
        </is>
      </c>
      <c r="BU11" s="8"/>
      <c r="BV11" s="8"/>
      <c r="BW11" s="8"/>
      <c r="BX11" s="8"/>
      <c r="BY11" s="8"/>
      <c r="BZ11" s="8"/>
      <c r="CA11" s="9"/>
      <c r="CB11" s="9"/>
      <c r="CC11" t="inlineStr" s="8">
        <is>
          <t>3166291885</t>
        </is>
      </c>
      <c r="CD11" t="inlineStr" s="8">
        <is>
          <t>greenleaf.han.74368984@example.com</t>
        </is>
      </c>
      <c r="CE11" t="inlineStr" s="8">
        <is>
          <t>MOUSE MICKEY CEL: 3166292617</t>
        </is>
      </c>
      <c r="CF11" s="8"/>
    </row>
    <row r="12" ht="12.75" customHeight="1">
      <c r="A12" t="inlineStr" s="8">
        <is>
          <t>60007919090284</t>
        </is>
      </c>
      <c r="B12" s="8"/>
      <c r="C12" t="inlineStr" s="8">
        <is>
          <t>201</t>
        </is>
      </c>
      <c r="D12" s="9">
        <v>55.20</v>
      </c>
      <c r="E12" t="inlineStr" s="8">
        <is>
          <t>74372935</t>
        </is>
      </c>
      <c r="F12" t="inlineStr" s="8">
        <is>
          <t>BUELLER HAN</t>
        </is>
      </c>
      <c r="G12" t="inlineStr" s="8">
        <is>
          <t>SMITH BETH</t>
        </is>
      </c>
      <c r="H12" s="8"/>
      <c r="I12" s="9">
        <v>192172500.00</v>
      </c>
      <c r="J12" t="inlineStr" s="8">
        <is>
          <t>NCR4745</t>
        </is>
      </c>
      <c r="K12" t="inlineStr" s="8">
        <is>
          <t>NCR4743 - NCR4742 - NCR4741 - NCR4744</t>
        </is>
      </c>
      <c r="L12" t="inlineStr" s="8">
        <is>
          <t>MAY.8/24F - MAY.15/24F - MAY.25/24F - JUN.4/24 - JUL.5/24F</t>
        </is>
      </c>
      <c r="M12" s="9">
        <v>14605500</v>
      </c>
      <c r="N12" s="9"/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>
        <f>57075000+9993000+53232000</f>
      </c>
      <c r="AT12" s="10"/>
      <c r="AU12" s="10">
        <v>57267000</v>
      </c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9"/>
      <c r="BG12" s="9"/>
      <c r="BH12" s="9"/>
      <c r="BI12" s="9"/>
      <c r="BJ12" s="9">
        <f>SUM(M12,N12,Q12,R12,S12,T12,U12,V12,W12,X12,Y12,Z12,AA12,AB12,AC12,AD12,AE12,AF12,AG12,AH12,AI12,AJ12,AK12,AL12,AM12,AN12,AO12,AP12,AQ12,AR12,AS12,AT12,AU12,AV12,AW12,AX12,AY12,AZ12,BA12,BB12,BC12,BD12,BE12,BF12,BG12,BH12,BI12)</f>
      </c>
      <c r="BK12" s="9">
        <f>I12-BJ12</f>
      </c>
      <c r="BL12" s="9">
        <f>BK12-BM12-BN12-BO12-BP12</f>
      </c>
      <c r="BM12" s="9"/>
      <c r="BN12" s="9"/>
      <c r="BO12" s="9"/>
      <c r="BP12" s="9"/>
      <c r="BQ12" s="8"/>
      <c r="BR12" t="inlineStr" s="8">
        <is>
          <t>2023-12-16</t>
        </is>
      </c>
      <c r="BS12" t="inlineStr" s="8">
        <is>
          <t>2023-12-27</t>
        </is>
      </c>
      <c r="BT12" s="8"/>
      <c r="BU12" s="8"/>
      <c r="BV12" s="8"/>
      <c r="BW12" s="8"/>
      <c r="BX12" s="8"/>
      <c r="BY12" s="8"/>
      <c r="BZ12" s="8"/>
      <c r="CA12" s="9"/>
      <c r="CB12" s="9"/>
      <c r="CC12" t="inlineStr" s="8">
        <is>
          <t>3166292713</t>
        </is>
      </c>
      <c r="CD12" t="inlineStr" s="8">
        <is>
          <t>bueller.han.74372935@example.com</t>
        </is>
      </c>
      <c r="CE12" t="inlineStr" s="8">
        <is>
          <t>DUCK DAFFY CEL: 3166293675</t>
        </is>
      </c>
      <c r="CF12" s="8"/>
    </row>
    <row r="13" ht="12.75" customHeight="1">
      <c r="A13" t="inlineStr" s="8">
        <is>
          <t>60007919090466</t>
        </is>
      </c>
      <c r="B13" s="8"/>
      <c r="C13" t="inlineStr" s="8">
        <is>
          <t>202</t>
        </is>
      </c>
      <c r="D13" s="9">
        <v>55.20</v>
      </c>
      <c r="E13" t="inlineStr" s="8">
        <is>
          <t>74385366</t>
        </is>
      </c>
      <c r="F13" t="inlineStr" s="8">
        <is>
          <t>GRANGER LUNA</t>
        </is>
      </c>
      <c r="G13" s="8"/>
      <c r="H13" t="inlineStr" s="8">
        <is>
          <t>BANCO CAJA SOCIAL</t>
        </is>
      </c>
      <c r="I13" s="9">
        <v>192172500.00</v>
      </c>
      <c r="J13" t="inlineStr" s="8">
        <is>
          <t>NCR4748 - NCR4747 - NCR4753 - NCR4750 - NC4746TRASLADO - NCR4754CR</t>
        </is>
      </c>
      <c r="K13" t="inlineStr" s="8">
        <is>
          <t>NCR4752 - NCR4749 - NCR4751</t>
        </is>
      </c>
      <c r="L13" t="inlineStr" s="8">
        <is>
          <t>DIC.13/22F - JUL.8/23 - AGO.6/23 - OCT.11/23F - OCT.12/23F - DIC.10/23 - DIC.22/23 - (DIC.25/23TRASLADO)</t>
        </is>
      </c>
      <c r="M13" s="9">
        <f>7254000+5904000+2741500+10627000</f>
      </c>
      <c r="N13" s="9">
        <v>25000000</v>
      </c>
      <c r="O13" t="inlineStr" s="8">
        <is>
          <t>SEP.3/23</t>
        </is>
      </c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2319000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>
        <f>8266000+5061000</f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9">
        <v>95000000</v>
      </c>
      <c r="BG13" s="9"/>
      <c r="BH13" s="9"/>
      <c r="BI13" s="9"/>
      <c r="BJ13" s="9">
        <f>SUM(M13,N13,Q13,R13,S13,T13,U13,V13,W13,X13,Y13,Z13,AA13,AB13,AC13,AD13,AE13,AF13,AG13,AH13,AI13,AJ13,AK13,AL13,AM13,AN13,AO13,AP13,AQ13,AR13,AS13,AT13,AU13,AV13,AW13,AX13,AY13,AZ13,BA13,BB13,BC13,BD13,BE13,BF13,BG13,BH13,BI13)</f>
      </c>
      <c r="BK13" s="9">
        <f>I13-BJ13</f>
      </c>
      <c r="BL13" s="9">
        <f>BK13-BM13-BN13-BO13-BP13</f>
      </c>
      <c r="BM13" s="9"/>
      <c r="BN13" s="9"/>
      <c r="BO13" s="9"/>
      <c r="BP13" s="9"/>
      <c r="BQ13" s="8"/>
      <c r="BR13" t="inlineStr" s="8">
        <is>
          <t>2022-10-15</t>
        </is>
      </c>
      <c r="BS13" t="inlineStr" s="8">
        <is>
          <t>2023-01-07</t>
        </is>
      </c>
      <c r="BT13" t="inlineStr" s="8">
        <is>
          <t>2024-08-10</t>
        </is>
      </c>
      <c r="BU13" s="8"/>
      <c r="BV13" s="8"/>
      <c r="BW13" s="8"/>
      <c r="BX13" s="8"/>
      <c r="BY13" s="8"/>
      <c r="BZ13" s="8"/>
      <c r="CA13" s="9"/>
      <c r="CB13" s="9"/>
      <c r="CC13" t="inlineStr" s="8">
        <is>
          <t>3166294703</t>
        </is>
      </c>
      <c r="CD13" t="inlineStr" s="8">
        <is>
          <t>granger.luna.74385366@example.com</t>
        </is>
      </c>
      <c r="CE13" t="inlineStr" s="8">
        <is>
          <t>BUNNY BUGS CEL: 3166295026</t>
        </is>
      </c>
      <c r="CF13" t="inlineStr" s="8">
        <is>
          <t>NC4746 DIC.25/23 TRASLADO DE SHERLOCK COOPER A LUNA GRANGER *ANTIC $25.000.000 *ARRAS $4'640</t>
        </is>
      </c>
    </row>
    <row r="14" ht="12.75" customHeight="1">
      <c r="A14" t="inlineStr" s="8">
        <is>
          <t>60007919090526</t>
        </is>
      </c>
      <c r="B14" s="8"/>
      <c r="C14" t="inlineStr" s="8">
        <is>
          <t>203</t>
        </is>
      </c>
      <c r="D14" s="9">
        <v>55.20</v>
      </c>
      <c r="E14" t="inlineStr" s="8">
        <is>
          <t>74386324</t>
        </is>
      </c>
      <c r="F14" t="inlineStr" s="8">
        <is>
          <t>SANCHEZ CLINT</t>
        </is>
      </c>
      <c r="G14" s="8"/>
      <c r="H14" s="8"/>
      <c r="I14" s="9">
        <v>192172500.00</v>
      </c>
      <c r="J14" t="inlineStr" s="8">
        <is>
          <t>NCR4761 - NCR4763 - NCR4765</t>
        </is>
      </c>
      <c r="K14" t="inlineStr" s="8">
        <is>
          <t>NCR4764 - NCR4766 - NCR4762 - NCR4758 - NCR4760 - NCR4759 - NCR4757</t>
        </is>
      </c>
      <c r="L14" t="inlineStr" s="8">
        <is>
          <t>ENE.7/24F - JUN.17/24F - SEP.5/24F - NOV.5/24F - NOV.7/24F - NOV.17/24F - NOV.27/24F - DIC.3/24 - DIC.14/24 - DIC.20/24</t>
        </is>
      </c>
      <c r="M14" s="9">
        <f>17515000+31786000+6163000</f>
      </c>
      <c r="N14" s="9"/>
      <c r="O14" s="8"/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>
        <v>12974000</v>
      </c>
      <c r="AP14" s="10"/>
      <c r="AQ14" s="10"/>
      <c r="AR14" s="10"/>
      <c r="AS14" s="10"/>
      <c r="AT14" s="10">
        <v>5188500</v>
      </c>
      <c r="AU14" s="10"/>
      <c r="AV14" s="10"/>
      <c r="AW14" s="10">
        <v>38273000</v>
      </c>
      <c r="AX14" s="10"/>
      <c r="AY14" s="10">
        <f>7946000+12001000+19947000+10379000</f>
      </c>
      <c r="AZ14" s="10"/>
      <c r="BA14" s="10"/>
      <c r="BB14" s="10"/>
      <c r="BC14" s="10"/>
      <c r="BD14" s="10"/>
      <c r="BE14" s="10"/>
      <c r="BF14" s="9"/>
      <c r="BG14" s="9"/>
      <c r="BH14" s="9"/>
      <c r="BI14" s="9"/>
      <c r="BJ14" s="9">
        <f>SUM(M14,N14,Q14,R14,S14,T14,U14,V14,W14,X14,Y14,Z14,AA14,AB14,AC14,AD14,AE14,AF14,AG14,AH14,AI14,AJ14,AK14,AL14,AM14,AN14,AO14,AP14,AQ14,AR14,AS14,AT14,AU14,AV14,AW14,AX14,AY14,AZ14,BA14,BB14,BC14,BD14,BE14,BF14,BG14,BH14,BI14)</f>
      </c>
      <c r="BK14" s="9">
        <f>I14-BJ14</f>
      </c>
      <c r="BL14" s="9">
        <f>BK14-BM14-BN14-BO14-BP14</f>
      </c>
      <c r="BM14" s="9"/>
      <c r="BN14" s="9"/>
      <c r="BO14" s="9"/>
      <c r="BP14" s="9"/>
      <c r="BQ14" s="8"/>
      <c r="BR14" t="inlineStr" s="8">
        <is>
          <t>2024-01-26</t>
        </is>
      </c>
      <c r="BS14" t="inlineStr" s="8">
        <is>
          <t>2024-04-12</t>
        </is>
      </c>
      <c r="BT14" t="inlineStr" s="8">
        <is>
          <t>2025-04-14</t>
        </is>
      </c>
      <c r="BU14" s="8"/>
      <c r="BV14" s="8"/>
      <c r="BW14" s="8"/>
      <c r="BX14" s="8"/>
      <c r="BY14" s="8"/>
      <c r="BZ14" s="8"/>
      <c r="CA14" s="9"/>
      <c r="CB14" s="9"/>
      <c r="CC14" t="inlineStr" s="8">
        <is>
          <t>3166295344</t>
        </is>
      </c>
      <c r="CD14" t="inlineStr" s="8">
        <is>
          <t>sanchez.clint.74386324@example.com</t>
        </is>
      </c>
      <c r="CE14" t="inlineStr" s="8">
        <is>
          <t>FINN CEL: 3166296220</t>
        </is>
      </c>
      <c r="CF14" s="8"/>
    </row>
    <row r="15" ht="12.75" customHeight="1">
      <c r="A15" t="inlineStr" s="8">
        <is>
          <t>60007919090555</t>
        </is>
      </c>
      <c r="B15" s="8"/>
      <c r="C15" t="inlineStr" s="8">
        <is>
          <t>204</t>
        </is>
      </c>
      <c r="D15" s="9">
        <v>55.20</v>
      </c>
      <c r="E15" t="inlineStr" s="8">
        <is>
          <t>74395311</t>
        </is>
      </c>
      <c r="F15" t="inlineStr" s="8">
        <is>
          <t>BARTON MIKE</t>
        </is>
      </c>
      <c r="G15" s="8"/>
      <c r="H15" t="inlineStr" s="8">
        <is>
          <t>BANCOLOMBIA</t>
        </is>
      </c>
      <c r="I15" s="9">
        <v>192172500.00</v>
      </c>
      <c r="J15" t="inlineStr" s="8">
        <is>
          <t>NCR4781CR</t>
        </is>
      </c>
      <c r="K15" t="inlineStr" s="8">
        <is>
          <t>NCR4776 - NCR4773 - NCR4778 - NCR4774 - NCR4771 - NCR4770 - NCR4775 - NCR4769 - NCR4768 - NCR4772 - NCR4780 - NCR4779 - NCR4777</t>
        </is>
      </c>
      <c r="L15" t="inlineStr" s="8">
        <is>
          <t>MAR.5/22F - MAR.11/22F - ABR.28/22F - MAY.14/22F - MAY.19/22F - SEP.22/22F - NOV.10/22F - DIC.1/22F - DIC.16/22F - DIC.18/22F - ENE.4/23F - ENE.5/23F - FEB.1/23F</t>
        </is>
      </c>
      <c r="M15" s="9"/>
      <c r="N15" s="9"/>
      <c r="O15" t="inlineStr" s="8">
        <is>
          <t>NOV.18/22</t>
        </is>
      </c>
      <c r="P15" s="8"/>
      <c r="Q15" s="10"/>
      <c r="R15" s="10"/>
      <c r="S15" s="10">
        <f>100000+3788000</f>
      </c>
      <c r="T15" s="10">
        <v>3582000</v>
      </c>
      <c r="U15" s="10">
        <f>2388000+2717000</f>
      </c>
      <c r="V15" s="10"/>
      <c r="W15" s="10"/>
      <c r="X15" s="10"/>
      <c r="Y15" s="10">
        <v>5311000</v>
      </c>
      <c r="Z15" s="10"/>
      <c r="AA15" s="10">
        <v>8770000</v>
      </c>
      <c r="AB15" s="10">
        <f>2512000+5970000+1565000</f>
      </c>
      <c r="AC15" s="10">
        <f>2411500+535000</f>
      </c>
      <c r="AD15" s="10">
        <v>1523000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9">
        <v>125000000</v>
      </c>
      <c r="BG15" s="9"/>
      <c r="BH15" s="9"/>
      <c r="BI15" s="9"/>
      <c r="BJ15" s="9">
        <f>SUM(M15,N15,Q15,R15,S15,T15,U15,V15,W15,X15,Y15,Z15,AA15,AB15,AC15,AD15,AE15,AF15,AG15,AH15,AI15,AJ15,AK15,AL15,AM15,AN15,AO15,AP15,AQ15,AR15,AS15,AT15,AU15,AV15,AW15,AX15,AY15,AZ15,BA15,BB15,BC15,BD15,BE15,BF15,BG15,BH15,BI15)</f>
      </c>
      <c r="BK15" s="9">
        <f>I15-BJ15</f>
      </c>
      <c r="BL15" s="9">
        <f>BK15-BM15-BN15-BO15-BP15</f>
      </c>
      <c r="BM15" s="9"/>
      <c r="BN15" s="9"/>
      <c r="BO15" s="9"/>
      <c r="BP15" s="9"/>
      <c r="BQ15" s="8"/>
      <c r="BR15" t="inlineStr" s="8">
        <is>
          <t>2022-03-27</t>
        </is>
      </c>
      <c r="BS15" t="inlineStr" s="8">
        <is>
          <t>2022-07-19</t>
        </is>
      </c>
      <c r="BT15" t="inlineStr" s="8">
        <is>
          <t>2023-03-06</t>
        </is>
      </c>
      <c r="BU15" s="8"/>
      <c r="BV15" s="8"/>
      <c r="BW15" s="8"/>
      <c r="BX15" s="8"/>
      <c r="BY15" s="8"/>
      <c r="BZ15" s="8"/>
      <c r="CA15" s="9"/>
      <c r="CB15" s="9"/>
      <c r="CC15" t="inlineStr" s="8">
        <is>
          <t>3166296988</t>
        </is>
      </c>
      <c r="CD15" t="inlineStr" s="8">
        <is>
          <t>barton.mike.74395311@example.com</t>
        </is>
      </c>
      <c r="CE15" t="inlineStr" s="8">
        <is>
          <t>MOUSE MINNIE CEL: 3166297146</t>
        </is>
      </c>
      <c r="CF15" s="8"/>
    </row>
    <row r="16" ht="12.75" customHeight="1">
      <c r="A16" t="inlineStr" s="8">
        <is>
          <t>60007919090594</t>
        </is>
      </c>
      <c r="B16" s="8"/>
      <c r="C16" t="inlineStr" s="8">
        <is>
          <t>205</t>
        </is>
      </c>
      <c r="D16" s="9">
        <v>55.20</v>
      </c>
      <c r="E16" t="inlineStr" s="8">
        <is>
          <t>74404761</t>
        </is>
      </c>
      <c r="F16" t="inlineStr" s="8">
        <is>
          <t>GOODMAN LEONARD</t>
        </is>
      </c>
      <c r="G16" s="8"/>
      <c r="H16" s="8"/>
      <c r="I16" s="9">
        <v>192172500.00</v>
      </c>
      <c r="J16" t="inlineStr" s="8">
        <is>
          <t>NCR4796 - NCR4785 - NCR4795 - NCR4794 - NC4783CESION</t>
        </is>
      </c>
      <c r="K16" t="inlineStr" s="8">
        <is>
          <t>NCR4786 - NCR4787 - NCR4788 - NCR4793 - NCR4791 - NCR4789 - NCR4792 - NCR4790 - NCR4784 - NCR4797</t>
        </is>
      </c>
      <c r="L16" t="inlineStr" s="8">
        <is>
          <t>AGO.17/23 - AGO.27/23 - OCT.11/23 - NOV.21/23F - NOV.24/23F - DIC.25/23F - JUN.16/24 - JUL.6/24F - (JUL.31/24CESION) - AGO.19/24F - AGO.20/24F - NOV.6/24F - DIC.4/24F - FEB.17/25F - FEB.17/25F</t>
        </is>
      </c>
      <c r="M16" s="9">
        <f>13686000+8068000+11235000+5004000</f>
      </c>
      <c r="N16" s="9">
        <v>20000000</v>
      </c>
      <c r="O16" s="8"/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>
        <f>5209000+1123000</f>
      </c>
      <c r="AN16" s="10">
        <v>1123000</v>
      </c>
      <c r="AO16" s="10"/>
      <c r="AP16" s="10"/>
      <c r="AQ16" s="10"/>
      <c r="AR16" s="10"/>
      <c r="AS16" s="10"/>
      <c r="AT16" s="10"/>
      <c r="AU16" s="10">
        <v>4085000</v>
      </c>
      <c r="AV16" s="10">
        <f>11030000+11541000</f>
      </c>
      <c r="AW16" s="10"/>
      <c r="AX16" s="10"/>
      <c r="AY16" s="10">
        <v>2553000</v>
      </c>
      <c r="AZ16" s="10">
        <v>16648000</v>
      </c>
      <c r="BA16" s="10"/>
      <c r="BB16" s="10">
        <f>9192000+1635000</f>
      </c>
      <c r="BC16" s="10"/>
      <c r="BD16" s="10"/>
      <c r="BE16" s="10"/>
      <c r="BF16" s="9"/>
      <c r="BG16" s="9"/>
      <c r="BH16" s="9"/>
      <c r="BI16" s="9"/>
      <c r="BJ16" s="9">
        <f>SUM(M16,N16,Q16,R16,S16,T16,U16,V16,W16,X16,Y16,Z16,AA16,AB16,AC16,AD16,AE16,AF16,AG16,AH16,AI16,AJ16,AK16,AL16,AM16,AN16,AO16,AP16,AQ16,AR16,AS16,AT16,AU16,AV16,AW16,AX16,AY16,AZ16,BA16,BB16,BC16,BD16,BE16,BF16,BG16,BH16,BI16)</f>
      </c>
      <c r="BK16" s="9">
        <f>I16-BJ16</f>
      </c>
      <c r="BL16" s="9">
        <f>BK16-BM16-BN16-BO16-BP16</f>
      </c>
      <c r="BM16" s="9"/>
      <c r="BN16" s="9"/>
      <c r="BO16" s="9"/>
      <c r="BP16" s="9"/>
      <c r="BQ16" s="8"/>
      <c r="BR16" t="inlineStr" s="8">
        <is>
          <t>2023-09-25</t>
        </is>
      </c>
      <c r="BS16" t="inlineStr" s="8">
        <is>
          <t>2023-12-14</t>
        </is>
      </c>
      <c r="BT16" s="8"/>
      <c r="BU16" s="8"/>
      <c r="BV16" s="8"/>
      <c r="BW16" s="8"/>
      <c r="BX16" s="8"/>
      <c r="BY16" s="8"/>
      <c r="BZ16" s="8"/>
      <c r="CA16" s="9"/>
      <c r="CB16" s="9"/>
      <c r="CC16" t="inlineStr" s="8">
        <is>
          <t>3166298309</t>
        </is>
      </c>
      <c r="CD16" t="inlineStr" s="8">
        <is>
          <t>goodman.leonard.74404761@example.com</t>
        </is>
      </c>
      <c r="CE16" t="inlineStr" s="8">
        <is>
          <t>PANTHER PINK CEL: 3166299226</t>
        </is>
      </c>
      <c r="CF16" t="inlineStr" s="8">
        <is>
          <t>NC4783 JUL.31/24 CESION DE JOHN WHEELER A LEONARD GOODMAN *ANTIC $20.000.000 *ARRAS $4'640</t>
        </is>
      </c>
    </row>
    <row r="17" ht="12.75" customHeight="1">
      <c r="A17" s="8"/>
      <c r="B17" s="8"/>
      <c r="C17" t="inlineStr" s="8">
        <is>
          <t>206</t>
        </is>
      </c>
      <c r="D17" s="9">
        <v>55.20</v>
      </c>
      <c r="E17" s="8"/>
      <c r="F17" s="8"/>
      <c r="G17" s="8"/>
      <c r="H17" t="inlineStr" s="8">
        <is>
          <t>BANCO CAJA SOCIAL</t>
        </is>
      </c>
      <c r="I17" s="9">
        <v>192172500.00</v>
      </c>
      <c r="J17" s="8"/>
      <c r="K17" s="8"/>
      <c r="L17" s="8"/>
      <c r="M17" s="9"/>
      <c r="N17" s="9"/>
      <c r="O17" s="8"/>
      <c r="P17" s="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9"/>
      <c r="CB17" s="9"/>
      <c r="CC17" s="8"/>
      <c r="CD17" s="8"/>
      <c r="CE17" s="8"/>
      <c r="CF17" s="8"/>
    </row>
    <row r="18" ht="12.75" customHeight="1">
      <c r="A18" t="inlineStr" s="8">
        <is>
          <t>60007919090751</t>
        </is>
      </c>
      <c r="B18" s="8"/>
      <c r="C18" t="inlineStr" s="8">
        <is>
          <t>207</t>
        </is>
      </c>
      <c r="D18" s="9">
        <v>55.20</v>
      </c>
      <c r="E18" t="inlineStr" s="8">
        <is>
          <t>74414937</t>
        </is>
      </c>
      <c r="F18" t="inlineStr" s="8">
        <is>
          <t>GOODMAN GUSTAVO</t>
        </is>
      </c>
      <c r="G18" s="8"/>
      <c r="H18" t="inlineStr" s="8">
        <is>
          <t>BANCO CAJA SOCIAL</t>
        </is>
      </c>
      <c r="I18" s="9">
        <v>192172500.00</v>
      </c>
      <c r="J18" t="inlineStr" s="8">
        <is>
          <t>NCR4818CR</t>
        </is>
      </c>
      <c r="K18" t="inlineStr" s="8">
        <is>
          <t>NCR4814 - NCR4815 - NCR4811 - NCR4817 - NCR4813 - NCR4812 - NCR4810 - NCR4816</t>
        </is>
      </c>
      <c r="L18" t="inlineStr" s="8">
        <is>
          <t>SEP.7/23F - SEP.28/23F - NOV.7/23F - MAR.26/24F - JUN.4/24F - AGO.12/24F - SEP.7/24F - OCT.8/24F</t>
        </is>
      </c>
      <c r="M18" s="9"/>
      <c r="N18" s="9"/>
      <c r="O18" t="inlineStr" s="8">
        <is>
          <t>MAR.14/24</t>
        </is>
      </c>
      <c r="P18" s="8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>
        <f>2243000+16852000</f>
      </c>
      <c r="AL18" s="10"/>
      <c r="AM18" s="10">
        <v>10278000</v>
      </c>
      <c r="AN18" s="10"/>
      <c r="AO18" s="10"/>
      <c r="AP18" s="10"/>
      <c r="AQ18" s="10">
        <v>5113500</v>
      </c>
      <c r="AR18" s="10"/>
      <c r="AS18" s="10"/>
      <c r="AT18" s="10">
        <v>2452000</v>
      </c>
      <c r="AU18" s="10"/>
      <c r="AV18" s="10">
        <v>1409000</v>
      </c>
      <c r="AW18" s="10">
        <v>10434000</v>
      </c>
      <c r="AX18" s="10">
        <v>3391000</v>
      </c>
      <c r="AY18" s="10"/>
      <c r="AZ18" s="10"/>
      <c r="BA18" s="10"/>
      <c r="BB18" s="10"/>
      <c r="BC18" s="10"/>
      <c r="BD18" s="10"/>
      <c r="BE18" s="10"/>
      <c r="BF18" s="9">
        <v>125000000</v>
      </c>
      <c r="BG18" s="9"/>
      <c r="BH18" s="9"/>
      <c r="BI18" s="9"/>
      <c r="BJ18" s="9">
        <f>SUM(M18,N18,Q18,R18,S18,T18,U18,V18,W18,X18,Y18,Z18,AA18,AB18,AC18,AD18,AE18,AF18,AG18,AH18,AI18,AJ18,AK18,AL18,AM18,AN18,AO18,AP18,AQ18,AR18,AS18,AT18,AU18,AV18,AW18,AX18,AY18,AZ18,BA18,BB18,BC18,BD18,BE18,BF18,BG18,BH18,BI18)</f>
      </c>
      <c r="BK18" s="9">
        <f>I18-BJ18</f>
      </c>
      <c r="BL18" s="9">
        <f>BK18-BM18-BN18-BO18-BP18</f>
      </c>
      <c r="BM18" s="9"/>
      <c r="BN18" s="9"/>
      <c r="BO18" s="9"/>
      <c r="BP18" s="9"/>
      <c r="BQ18" s="8"/>
      <c r="BR18" t="inlineStr" s="8">
        <is>
          <t>2023-09-30</t>
        </is>
      </c>
      <c r="BS18" t="inlineStr" s="8">
        <is>
          <t>2024-01-02</t>
        </is>
      </c>
      <c r="BT18" s="8"/>
      <c r="BU18" s="8"/>
      <c r="BV18" s="8"/>
      <c r="BW18" s="8"/>
      <c r="BX18" s="8"/>
      <c r="BY18" s="8"/>
      <c r="BZ18" s="8"/>
      <c r="CA18" s="9"/>
      <c r="CB18" s="9"/>
      <c r="CC18" t="inlineStr" s="8">
        <is>
          <t>3166300785</t>
        </is>
      </c>
      <c r="CD18" t="inlineStr" s="8">
        <is>
          <t>goodman.gustavo.74414937@example.com</t>
        </is>
      </c>
      <c r="CE18" t="inlineStr" s="8">
        <is>
          <t>MOUSE MICKEY CEL: 3166300964</t>
        </is>
      </c>
      <c r="CF18" s="8"/>
    </row>
    <row r="19" ht="12.75" customHeight="1">
      <c r="A19" t="inlineStr" s="8">
        <is>
          <t>60007919090815</t>
        </is>
      </c>
      <c r="B19" s="8"/>
      <c r="C19" t="inlineStr" s="8">
        <is>
          <t>301</t>
        </is>
      </c>
      <c r="D19" s="9">
        <v>55.20</v>
      </c>
      <c r="E19" t="inlineStr" s="8">
        <is>
          <t>74425872</t>
        </is>
      </c>
      <c r="F19" t="inlineStr" s="8">
        <is>
          <t>POTTER SAUL</t>
        </is>
      </c>
      <c r="G19" s="8"/>
      <c r="H19" t="inlineStr" s="8">
        <is>
          <t>BBVA</t>
        </is>
      </c>
      <c r="I19" s="9">
        <v>192172500.00</v>
      </c>
      <c r="J19" t="inlineStr" s="8">
        <is>
          <t>NC4821CESION - NCR4833CR</t>
        </is>
      </c>
      <c r="K19" t="inlineStr" s="8">
        <is>
          <t>NCR4829 - NCR4832 - NCR4827 - NCR4826 - NCR4825 - NCR4831 - NCR4822 - NCR4828 - NCR4823 - NCR4830 - NCR4824</t>
        </is>
      </c>
      <c r="L19" t="inlineStr" s="8">
        <is>
          <t>SEP.7/22F - OCT.15/22F - NOV.1/22F - NOV.22/22F - ENE.24/23F - ENE.25/23F - (FEB.2/23CESION) - FEB.6/23F - MAR.20/23F - JUN.15/23F - JUN.18/23F - AGO.20/23F</t>
        </is>
      </c>
      <c r="M19" s="9"/>
      <c r="N19" s="9">
        <v>18000000</v>
      </c>
      <c r="O19" t="inlineStr" s="8">
        <is>
          <t>JUL.20/23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>
        <v>9112000</v>
      </c>
      <c r="Z19" s="10">
        <v>3274500</v>
      </c>
      <c r="AA19" s="10">
        <f>1604000+17583000</f>
      </c>
      <c r="AB19" s="10"/>
      <c r="AC19" s="10">
        <f>257000+4107000</f>
      </c>
      <c r="AD19" s="10">
        <v>3016000</v>
      </c>
      <c r="AE19" s="10">
        <v>1861000</v>
      </c>
      <c r="AF19" s="10"/>
      <c r="AG19" s="10"/>
      <c r="AH19" s="10">
        <f>16043000+3529000</f>
      </c>
      <c r="AI19" s="10"/>
      <c r="AJ19" s="10">
        <v>3786000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9">
        <v>110000000</v>
      </c>
      <c r="BG19" s="9"/>
      <c r="BH19" s="9"/>
      <c r="BI19" s="9"/>
      <c r="BJ19" s="9">
        <f>SUM(M19,N19,Q19,R19,S19,T19,U19,V19,W19,X19,Y19,Z19,AA19,AB19,AC19,AD19,AE19,AF19,AG19,AH19,AI19,AJ19,AK19,AL19,AM19,AN19,AO19,AP19,AQ19,AR19,AS19,AT19,AU19,AV19,AW19,AX19,AY19,AZ19,BA19,BB19,BC19,BD19,BE19,BF19,BG19,BH19,BI19)</f>
      </c>
      <c r="BK19" s="9">
        <f>I19-BJ19</f>
      </c>
      <c r="BL19" s="9">
        <f>BK19-BM19-BN19-BO19-BP19</f>
      </c>
      <c r="BM19" s="9"/>
      <c r="BN19" s="9"/>
      <c r="BO19" s="9"/>
      <c r="BP19" s="9"/>
      <c r="BQ19" s="8"/>
      <c r="BR19" t="inlineStr" s="8">
        <is>
          <t>2022-09-24</t>
        </is>
      </c>
      <c r="BS19" t="inlineStr" s="8">
        <is>
          <t>2022-12-24</t>
        </is>
      </c>
      <c r="BT19" t="inlineStr" s="8">
        <is>
          <t>2023-11-14</t>
        </is>
      </c>
      <c r="BU19" s="8"/>
      <c r="BV19" s="8"/>
      <c r="BW19" s="8"/>
      <c r="BX19" s="8"/>
      <c r="BY19" s="8"/>
      <c r="BZ19" s="8"/>
      <c r="CA19" s="9"/>
      <c r="CB19" s="9"/>
      <c r="CC19" t="inlineStr" s="8">
        <is>
          <t>3166302102</t>
        </is>
      </c>
      <c r="CD19" t="inlineStr" s="8">
        <is>
          <t>potter.saul.74425872@example.com</t>
        </is>
      </c>
      <c r="CE19" t="inlineStr" s="8">
        <is>
          <t>MOUSE MINNIE CEL: 3166302699</t>
        </is>
      </c>
      <c r="CF19" t="inlineStr" s="8">
        <is>
          <t>NC4821 FEB.2/23 CESION DE JON BARTON A SAUL POTTER *ANTIC $18.000.000 *ARRAS $4'640</t>
        </is>
      </c>
    </row>
    <row r="20" ht="12.75" customHeight="1">
      <c r="A20" t="inlineStr" s="8">
        <is>
          <t>60007919090999</t>
        </is>
      </c>
      <c r="B20" s="8"/>
      <c r="C20" t="inlineStr" s="8">
        <is>
          <t>302</t>
        </is>
      </c>
      <c r="D20" s="9">
        <v>55.20</v>
      </c>
      <c r="E20" t="inlineStr" s="8">
        <is>
          <t>74431802</t>
        </is>
      </c>
      <c r="F20" t="inlineStr" s="8">
        <is>
          <t>TENTACLES MAX</t>
        </is>
      </c>
      <c r="G20" s="8"/>
      <c r="H20" t="inlineStr" s="8">
        <is>
          <t>BBVA</t>
        </is>
      </c>
      <c r="I20" s="9">
        <v>192172500.00</v>
      </c>
      <c r="J20" t="inlineStr" s="8">
        <is>
          <t>NC4834TRASLADO - NCR4842 - NCR4845CR</t>
        </is>
      </c>
      <c r="K20" t="inlineStr" s="8">
        <is>
          <t>NCR4840 - NCR4843 - NCR4837 - NCR4835 - NCR4839 - NCR4844 - NCR4836 - NCR4838 - NCR4841</t>
        </is>
      </c>
      <c r="L20" t="inlineStr" s="8">
        <is>
          <t>FEB.26/24F - (ABR.28/24TRASLADO) - MAY.19/24F - MAY.21/24F - JUN.5/24 - DIC.22/24F - ENE.4/25F - FEB.16/25F - MAY.8/25F - MAY.11/25F - MAY.20/25F</t>
        </is>
      </c>
      <c r="M20" s="9">
        <v>10286000</v>
      </c>
      <c r="N20" s="9">
        <v>25000000</v>
      </c>
      <c r="O20" t="inlineStr" s="8">
        <is>
          <t>AGO.18/24</t>
        </is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>
        <v>6799000</v>
      </c>
      <c r="AQ20" s="10"/>
      <c r="AR20" s="10"/>
      <c r="AS20" s="10">
        <f>18219000+5056000</f>
      </c>
      <c r="AT20" s="10"/>
      <c r="AU20" s="10"/>
      <c r="AV20" s="10"/>
      <c r="AW20" s="10"/>
      <c r="AX20" s="10"/>
      <c r="AY20" s="10"/>
      <c r="AZ20" s="10">
        <v>5056000</v>
      </c>
      <c r="BA20" s="10">
        <v>14383000</v>
      </c>
      <c r="BB20" s="10">
        <v>2703500</v>
      </c>
      <c r="BC20" s="10">
        <f>10897000+2092000+11681101</f>
      </c>
      <c r="BD20" s="10"/>
      <c r="BE20" s="10"/>
      <c r="BF20" s="9">
        <v>80000000</v>
      </c>
      <c r="BG20" s="9"/>
      <c r="BH20" s="9"/>
      <c r="BI20" s="9"/>
      <c r="BJ20" s="9">
        <f>SUM(M20,N20,Q20,R20,S20,T20,U20,V20,W20,X20,Y20,Z20,AA20,AB20,AC20,AD20,AE20,AF20,AG20,AH20,AI20,AJ20,AK20,AL20,AM20,AN20,AO20,AP20,AQ20,AR20,AS20,AT20,AU20,AV20,AW20,AX20,AY20,AZ20,BA20,BB20,BC20,BD20,BE20,BF20,BG20,BH20,BI20)</f>
      </c>
      <c r="BK20" s="9">
        <f>I20-BJ20</f>
      </c>
      <c r="BL20" s="9">
        <f>BK20-BM20-BN20-BO20-BP20</f>
      </c>
      <c r="BM20" s="9"/>
      <c r="BN20" s="9"/>
      <c r="BO20" s="9"/>
      <c r="BP20" s="9"/>
      <c r="BQ20" s="8"/>
      <c r="BR20" t="inlineStr" s="8">
        <is>
          <t>2024-04-28</t>
        </is>
      </c>
      <c r="BS20" t="inlineStr" s="8">
        <is>
          <t>2024-06-29</t>
        </is>
      </c>
      <c r="BT20" s="8"/>
      <c r="BU20" s="8"/>
      <c r="BV20" s="8"/>
      <c r="BW20" s="8"/>
      <c r="BX20" s="8"/>
      <c r="BY20" s="8"/>
      <c r="BZ20" s="8"/>
      <c r="CA20" s="9"/>
      <c r="CB20" s="9"/>
      <c r="CC20" t="inlineStr" s="8">
        <is>
          <t>3166303182</t>
        </is>
      </c>
      <c r="CD20" t="inlineStr" s="8">
        <is>
          <t>tentacles.max.74431802@example.com</t>
        </is>
      </c>
      <c r="CE20" t="inlineStr" s="8">
        <is>
          <t>DUCK DAFFY CEL: 3166303425</t>
        </is>
      </c>
      <c r="CF20" t="inlineStr" s="8">
        <is>
          <t>NC4834 ABR.28/24 TRASLADO DE LUNA BUFFAY A MAX TENTACLES *ANTIC $25.000.000 *ARRAS $4'640</t>
        </is>
      </c>
    </row>
    <row r="21" ht="12.75" customHeight="1">
      <c r="A21" t="inlineStr" s="8">
        <is>
          <t>60007919091147</t>
        </is>
      </c>
      <c r="B21" s="8"/>
      <c r="C21" t="inlineStr" s="8">
        <is>
          <t>303</t>
        </is>
      </c>
      <c r="D21" s="9">
        <v>55.20</v>
      </c>
      <c r="E21" t="inlineStr" s="8">
        <is>
          <t>74446466</t>
        </is>
      </c>
      <c r="F21" t="inlineStr" s="8">
        <is>
          <t>PINKMAN ANGELA</t>
        </is>
      </c>
      <c r="G21" s="8"/>
      <c r="H21" s="8"/>
      <c r="I21" s="9">
        <v>192172500.00</v>
      </c>
      <c r="J21" t="inlineStr" s="8">
        <is>
          <t>NC4847TRASLADO - NCR4850</t>
        </is>
      </c>
      <c r="K21" t="inlineStr" s="8">
        <is>
          <t>NCR4849 - NCR4853 - NCR4851 - NCR4852 - NCR4855 - NCR4854 - NCR4848</t>
        </is>
      </c>
      <c r="L21" t="inlineStr" s="8">
        <is>
          <t>NOV.11/23F - DIC.18/23F - FEB.12/24F - (MAR.1/24TRASLADO) - MAY.21/24F - JUN.24/24 - OCT.27/24F - JUN.6/25F - JUN.11/25F</t>
        </is>
      </c>
      <c r="M21" s="9">
        <v>502000</v>
      </c>
      <c r="N21" s="9">
        <v>25000000</v>
      </c>
      <c r="O21" s="8"/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>
        <v>24574000</v>
      </c>
      <c r="AN21" s="10">
        <v>18723000</v>
      </c>
      <c r="AO21" s="10"/>
      <c r="AP21" s="10">
        <v>10699000</v>
      </c>
      <c r="AQ21" s="10"/>
      <c r="AR21" s="10"/>
      <c r="AS21" s="10">
        <v>10699000</v>
      </c>
      <c r="AT21" s="10"/>
      <c r="AU21" s="10"/>
      <c r="AV21" s="10"/>
      <c r="AW21" s="10"/>
      <c r="AX21" s="10">
        <v>19726500</v>
      </c>
      <c r="AY21" s="10"/>
      <c r="AZ21" s="10"/>
      <c r="BA21" s="10"/>
      <c r="BB21" s="10"/>
      <c r="BC21" s="10"/>
      <c r="BD21" s="10">
        <f>42963000+39286000</f>
      </c>
      <c r="BE21" s="10"/>
      <c r="BF21" s="9"/>
      <c r="BG21" s="9"/>
      <c r="BH21" s="9"/>
      <c r="BI21" s="9"/>
      <c r="BJ21" s="9">
        <f>SUM(M21,N21,Q21,R21,S21,T21,U21,V21,W21,X21,Y21,Z21,AA21,AB21,AC21,AD21,AE21,AF21,AG21,AH21,AI21,AJ21,AK21,AL21,AM21,AN21,AO21,AP21,AQ21,AR21,AS21,AT21,AU21,AV21,AW21,AX21,AY21,AZ21,BA21,BB21,BC21,BD21,BE21,BF21,BG21,BH21,BI21)</f>
      </c>
      <c r="BK21" s="9">
        <f>I21-BJ21</f>
      </c>
      <c r="BL21" s="9">
        <f>BK21-BM21-BN21-BO21-BP21</f>
      </c>
      <c r="BM21" s="9"/>
      <c r="BN21" s="9"/>
      <c r="BO21" s="9"/>
      <c r="BP21" s="9"/>
      <c r="BQ21" s="8"/>
      <c r="BR21" t="inlineStr" s="8">
        <is>
          <t>2023-12-27</t>
        </is>
      </c>
      <c r="BS21" t="inlineStr" s="8">
        <is>
          <t>2024-03-04</t>
        </is>
      </c>
      <c r="BT21" t="inlineStr" s="8">
        <is>
          <t>2025-07-04</t>
        </is>
      </c>
      <c r="BU21" s="8"/>
      <c r="BV21" s="8"/>
      <c r="BW21" s="8"/>
      <c r="BX21" s="8"/>
      <c r="BY21" s="8"/>
      <c r="BZ21" s="8"/>
      <c r="CA21" s="9"/>
      <c r="CB21" s="9"/>
      <c r="CC21" t="inlineStr" s="8">
        <is>
          <t>3166305419</t>
        </is>
      </c>
      <c r="CD21" t="inlineStr" s="8">
        <is>
          <t>pinkman.angela.74446466@example.com</t>
        </is>
      </c>
      <c r="CE21" t="inlineStr" s="8">
        <is>
          <t>JETSON GEORGE CEL: 3166306247</t>
        </is>
      </c>
      <c r="CF21" t="inlineStr" s="8">
        <is>
          <t>NC4847 MAR.1/24 TRASLADO DE RAJ SOLO/EUGENE ROMANOFF A ANGELA PINKMAN *ANTIC $25.000.000 *ARRAS $4'640</t>
        </is>
      </c>
    </row>
    <row r="22" ht="12.75" customHeight="1">
      <c r="A22" t="inlineStr" s="8">
        <is>
          <t>60007919091319</t>
        </is>
      </c>
      <c r="B22" s="8"/>
      <c r="C22" t="inlineStr" s="8">
        <is>
          <t>304</t>
        </is>
      </c>
      <c r="D22" s="9">
        <v>55.20</v>
      </c>
      <c r="E22" t="inlineStr" s="8">
        <is>
          <t>74455177</t>
        </is>
      </c>
      <c r="F22" t="inlineStr" s="8">
        <is>
          <t>STARK DUSTIN</t>
        </is>
      </c>
      <c r="G22" s="8"/>
      <c r="H22" t="inlineStr" s="8">
        <is>
          <t>BANCO DE BOGOTA</t>
        </is>
      </c>
      <c r="I22" s="9">
        <v>192172500.00</v>
      </c>
      <c r="J22" t="inlineStr" s="8">
        <is>
          <t>NCR4856CR</t>
        </is>
      </c>
      <c r="K22" s="8"/>
      <c r="L22" s="8"/>
      <c r="M22" s="9"/>
      <c r="N22" s="9"/>
      <c r="O22" t="inlineStr" s="8">
        <is>
          <t>JUN.30/24</t>
        </is>
      </c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9">
        <v>73618000</v>
      </c>
      <c r="BG22" s="9"/>
      <c r="BH22" s="9"/>
      <c r="BI22" s="9"/>
      <c r="BJ22" s="9">
        <f>SUM(M22,N22,Q22,R22,S22,T22,U22,V22,W22,X22,Y22,Z22,AA22,AB22,AC22,AD22,AE22,AF22,AG22,AH22,AI22,AJ22,AK22,AL22,AM22,AN22,AO22,AP22,AQ22,AR22,AS22,AT22,AU22,AV22,AW22,AX22,AY22,AZ22,BA22,BB22,BC22,BD22,BE22,BF22,BG22,BH22,BI22)</f>
      </c>
      <c r="BK22" s="9">
        <f>I22-BJ22</f>
      </c>
      <c r="BL22" s="9">
        <f>BK22-BM22-BN22-BO22-BP22</f>
      </c>
      <c r="BM22" s="9"/>
      <c r="BN22" s="9"/>
      <c r="BO22" s="9"/>
      <c r="BP22" s="9"/>
      <c r="BQ22" s="8"/>
      <c r="BR22" t="inlineStr" s="8">
        <is>
          <t>2023-10-21</t>
        </is>
      </c>
      <c r="BS22" t="inlineStr" s="8">
        <is>
          <t>2023-12-18</t>
        </is>
      </c>
      <c r="BT22" s="8"/>
      <c r="BU22" s="8"/>
      <c r="BV22" s="8"/>
      <c r="BW22" s="8"/>
      <c r="BX22" s="8"/>
      <c r="BY22" s="8"/>
      <c r="BZ22" s="8"/>
      <c r="CA22" s="9"/>
      <c r="CB22" s="9"/>
      <c r="CC22" t="inlineStr" s="8">
        <is>
          <t>3166307024</t>
        </is>
      </c>
      <c r="CD22" t="inlineStr" s="8">
        <is>
          <t>stark.dustin.74455177@example.com</t>
        </is>
      </c>
      <c r="CE22" t="inlineStr" s="8">
        <is>
          <t>MOUSE MICKEY CEL: 3166307891</t>
        </is>
      </c>
      <c r="CF22" s="8"/>
    </row>
    <row r="23" ht="12.75" customHeight="1">
      <c r="A23" t="inlineStr" s="8">
        <is>
          <t>60007919091405</t>
        </is>
      </c>
      <c r="B23" s="8"/>
      <c r="C23" t="inlineStr" s="8">
        <is>
          <t>305</t>
        </is>
      </c>
      <c r="D23" s="9">
        <v>55.20</v>
      </c>
      <c r="E23" t="inlineStr" s="8">
        <is>
          <t>74459305</t>
        </is>
      </c>
      <c r="F23" t="inlineStr" s="8">
        <is>
          <t>GREEN NATASHA</t>
        </is>
      </c>
      <c r="G23" t="inlineStr" s="8">
        <is>
          <t>WHEELER DIANA</t>
        </is>
      </c>
      <c r="H23" s="8"/>
      <c r="I23" s="9">
        <v>192172500.00</v>
      </c>
      <c r="J23" t="inlineStr" s="8">
        <is>
          <t>NCR4859 - NCR4861 - NCR4860 - NC4858CESION</t>
        </is>
      </c>
      <c r="K23" t="inlineStr" s="8">
        <is>
          <t>NCR4862</t>
        </is>
      </c>
      <c r="L23" t="inlineStr" s="8">
        <is>
          <t>DIC.5/23 - DIC.16/23 - DIC.18/23 - ENE.17/24F - (MAR.2/24CESION)</t>
        </is>
      </c>
      <c r="M23" s="9">
        <f>5291000+27750000+20192000</f>
      </c>
      <c r="N23" s="9">
        <v>20000000</v>
      </c>
      <c r="O23" s="8"/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>
        <v>755000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9"/>
      <c r="BG23" s="9"/>
      <c r="BH23" s="9"/>
      <c r="BI23" s="9"/>
      <c r="BJ23" s="9">
        <f>SUM(M23,N23,Q23,R23,S23,T23,U23,V23,W23,X23,Y23,Z23,AA23,AB23,AC23,AD23,AE23,AF23,AG23,AH23,AI23,AJ23,AK23,AL23,AM23,AN23,AO23,AP23,AQ23,AR23,AS23,AT23,AU23,AV23,AW23,AX23,AY23,AZ23,BA23,BB23,BC23,BD23,BE23,BF23,BG23,BH23,BI23)</f>
      </c>
      <c r="BK23" s="9">
        <f>I23-BJ23</f>
      </c>
      <c r="BL23" s="9">
        <f>BK23-BM23-BN23-BO23-BP23</f>
      </c>
      <c r="BM23" s="9"/>
      <c r="BN23" s="9"/>
      <c r="BO23" s="9"/>
      <c r="BP23" s="9"/>
      <c r="BQ23" s="8"/>
      <c r="BR23" t="inlineStr" s="8">
        <is>
          <t>2022-12-15</t>
        </is>
      </c>
      <c r="BS23" t="inlineStr" s="8">
        <is>
          <t>2023-01-27</t>
        </is>
      </c>
      <c r="BT23" s="8"/>
      <c r="BU23" s="8"/>
      <c r="BV23" s="8"/>
      <c r="BW23" s="8"/>
      <c r="BX23" s="8"/>
      <c r="BY23" s="8"/>
      <c r="BZ23" s="8"/>
      <c r="CA23" s="9"/>
      <c r="CB23" s="9"/>
      <c r="CC23" t="inlineStr" s="8">
        <is>
          <t>3166308899</t>
        </is>
      </c>
      <c r="CD23" t="inlineStr" s="8">
        <is>
          <t>green.natasha.74459305@example.com</t>
        </is>
      </c>
      <c r="CE23" t="inlineStr" s="8">
        <is>
          <t>MOUSE MINNIE CEL: 3166309991</t>
        </is>
      </c>
      <c r="CF23" s="8"/>
    </row>
    <row r="24" ht="12.75" customHeight="1">
      <c r="A24" t="inlineStr" s="8">
        <is>
          <t>60007919091579</t>
        </is>
      </c>
      <c r="B24" s="8"/>
      <c r="C24" t="inlineStr" s="8">
        <is>
          <t>306</t>
        </is>
      </c>
      <c r="D24" s="9">
        <v>55.20</v>
      </c>
      <c r="E24" t="inlineStr" s="8">
        <is>
          <t>74472671</t>
        </is>
      </c>
      <c r="F24" t="inlineStr" s="8">
        <is>
          <t>CHEEKS LISA</t>
        </is>
      </c>
      <c r="G24" t="inlineStr" s="8">
        <is>
          <t>ORGANA CHLOE</t>
        </is>
      </c>
      <c r="H24" s="8"/>
      <c r="I24" s="9">
        <v>192172500.00</v>
      </c>
      <c r="J24" t="inlineStr" s="8">
        <is>
          <t>NCR4870 - NCR4872 - NCR4868 - NCR4873 - NCR4865 - NCR4867 - NCR4866</t>
        </is>
      </c>
      <c r="K24" t="inlineStr" s="8">
        <is>
          <t>NCR4871 - NCR4869 - NCR4874 - NCR4875</t>
        </is>
      </c>
      <c r="L24" t="inlineStr" s="8">
        <is>
          <t>AGO.23/23F - OCT.2/23 - DIC.17/23 - FEB.3/24F - MAR.27/24F - JUN.5/24 - JUN.11/24 - JUN.19/24 - JUN.21/24 - JUN.25/24 - SEP.21/24F</t>
        </is>
      </c>
      <c r="M24" s="9">
        <f>1729000+3457000+14405000+25737000+2977000+2785000+14309000</f>
      </c>
      <c r="N24" s="9"/>
      <c r="O24" s="8"/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v>12292000</v>
      </c>
      <c r="AK24" s="10"/>
      <c r="AL24" s="10"/>
      <c r="AM24" s="10"/>
      <c r="AN24" s="10"/>
      <c r="AO24" s="10"/>
      <c r="AP24" s="10">
        <v>4321000</v>
      </c>
      <c r="AQ24" s="10">
        <v>13829000</v>
      </c>
      <c r="AR24" s="10"/>
      <c r="AS24" s="10"/>
      <c r="AT24" s="10"/>
      <c r="AU24" s="10"/>
      <c r="AV24" s="10"/>
      <c r="AW24" s="10">
        <v>191000</v>
      </c>
      <c r="AX24" s="10"/>
      <c r="AY24" s="10"/>
      <c r="AZ24" s="10"/>
      <c r="BA24" s="10"/>
      <c r="BB24" s="10"/>
      <c r="BC24" s="10"/>
      <c r="BD24" s="10"/>
      <c r="BE24" s="10"/>
      <c r="BF24" s="9"/>
      <c r="BG24" s="9"/>
      <c r="BH24" s="9"/>
      <c r="BI24" s="9"/>
      <c r="BJ24" s="9">
        <f>SUM(M24,N24,Q24,R24,S24,T24,U24,V24,W24,X24,Y24,Z24,AA24,AB24,AC24,AD24,AE24,AF24,AG24,AH24,AI24,AJ24,AK24,AL24,AM24,AN24,AO24,AP24,AQ24,AR24,AS24,AT24,AU24,AV24,AW24,AX24,AY24,AZ24,BA24,BB24,BC24,BD24,BE24,BF24,BG24,BH24,BI24)</f>
      </c>
      <c r="BK24" s="9">
        <f>I24-BJ24</f>
      </c>
      <c r="BL24" s="9">
        <f>BK24-BM24-BN24-BO24-BP24</f>
      </c>
      <c r="BM24" s="9"/>
      <c r="BN24" s="9"/>
      <c r="BO24" s="9"/>
      <c r="BP24" s="9"/>
      <c r="BQ24" s="8"/>
      <c r="BR24" t="inlineStr" s="8">
        <is>
          <t>2023-09-05</t>
        </is>
      </c>
      <c r="BS24" t="inlineStr" s="8">
        <is>
          <t>2023-10-08</t>
        </is>
      </c>
      <c r="BT24" s="8"/>
      <c r="BU24" s="8"/>
      <c r="BV24" s="8"/>
      <c r="BW24" s="8"/>
      <c r="BX24" s="8"/>
      <c r="BY24" s="8"/>
      <c r="BZ24" s="8"/>
      <c r="CA24" s="9"/>
      <c r="CB24" s="9"/>
      <c r="CC24" t="inlineStr" s="8">
        <is>
          <t>3166310211</t>
        </is>
      </c>
      <c r="CD24" t="inlineStr" s="8">
        <is>
          <t>cheeks.lisa.74472671@example.com</t>
        </is>
      </c>
      <c r="CE24" t="inlineStr" s="8">
        <is>
          <t>PANTHER PINK CEL: 3166310713</t>
        </is>
      </c>
      <c r="CF24" s="8"/>
    </row>
    <row r="25" ht="12.75" customHeight="1">
      <c r="A25" t="inlineStr" s="8">
        <is>
          <t>60007919091640</t>
        </is>
      </c>
      <c r="B25" s="8"/>
      <c r="C25" t="inlineStr" s="8">
        <is>
          <t>307</t>
        </is>
      </c>
      <c r="D25" s="9">
        <v>55.20</v>
      </c>
      <c r="E25" t="inlineStr" s="8">
        <is>
          <t>74488189</t>
        </is>
      </c>
      <c r="F25" t="inlineStr" s="8">
        <is>
          <t>SCHRUTE TONY</t>
        </is>
      </c>
      <c r="G25" s="8"/>
      <c r="H25" t="inlineStr" s="8">
        <is>
          <t>BANCO DE BOGOTA</t>
        </is>
      </c>
      <c r="I25" s="9">
        <v>192172500.00</v>
      </c>
      <c r="J25" t="inlineStr" s="8">
        <is>
          <t>NC4876TRASLADO - NCR4881CR</t>
        </is>
      </c>
      <c r="K25" t="inlineStr" s="8">
        <is>
          <t>NCR4878 - NCR4879 - NCR4880 - NCR4877</t>
        </is>
      </c>
      <c r="L25" t="inlineStr" s="8">
        <is>
          <t>SEP.10/22F - OCT.14/22F - DIC.7/22F - FEB.24/23F - (MAR.15/23TRASLADO)</t>
        </is>
      </c>
      <c r="M25" s="9"/>
      <c r="N25" s="9">
        <v>15000000</v>
      </c>
      <c r="O25" t="inlineStr" s="8">
        <is>
          <t>MAY.6/23</t>
        </is>
      </c>
      <c r="P25" s="8"/>
      <c r="Q25" s="10"/>
      <c r="R25" s="10"/>
      <c r="S25" s="10"/>
      <c r="T25" s="10"/>
      <c r="U25" s="10"/>
      <c r="V25" s="10"/>
      <c r="W25" s="10"/>
      <c r="X25" s="10"/>
      <c r="Y25" s="10">
        <v>6608000</v>
      </c>
      <c r="Z25" s="10">
        <v>6899000</v>
      </c>
      <c r="AA25" s="10"/>
      <c r="AB25" s="10">
        <v>83471500</v>
      </c>
      <c r="AC25" s="10"/>
      <c r="AD25" s="10">
        <v>194000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9">
        <v>65000000</v>
      </c>
      <c r="BG25" s="9"/>
      <c r="BH25" s="9"/>
      <c r="BI25" s="9"/>
      <c r="BJ25" s="9">
        <f>SUM(M25,N25,Q25,R25,S25,T25,U25,V25,W25,X25,Y25,Z25,AA25,AB25,AC25,AD25,AE25,AF25,AG25,AH25,AI25,AJ25,AK25,AL25,AM25,AN25,AO25,AP25,AQ25,AR25,AS25,AT25,AU25,AV25,AW25,AX25,AY25,AZ25,BA25,BB25,BC25,BD25,BE25,BF25,BG25,BH25,BI25)</f>
      </c>
      <c r="BK25" s="9">
        <f>I25-BJ25</f>
      </c>
      <c r="BL25" s="9">
        <f>BK25-BM25-BN25-BO25-BP25</f>
      </c>
      <c r="BM25" s="9"/>
      <c r="BN25" s="9"/>
      <c r="BO25" s="9"/>
      <c r="BP25" s="9"/>
      <c r="BQ25" s="8"/>
      <c r="BR25" t="inlineStr" s="8">
        <is>
          <t>2022-05-21</t>
        </is>
      </c>
      <c r="BS25" t="inlineStr" s="8">
        <is>
          <t>2022-09-16</t>
        </is>
      </c>
      <c r="BT25" t="inlineStr" s="8">
        <is>
          <t>2023-06-11</t>
        </is>
      </c>
      <c r="BU25" s="8"/>
      <c r="BV25" s="8"/>
      <c r="BW25" s="8"/>
      <c r="BX25" s="8"/>
      <c r="BY25" s="8"/>
      <c r="BZ25" s="8"/>
      <c r="CA25" s="9"/>
      <c r="CB25" s="9"/>
      <c r="CC25" t="inlineStr" s="8">
        <is>
          <t>3166311739</t>
        </is>
      </c>
      <c r="CD25" t="inlineStr" s="8">
        <is>
          <t>schrute.tony.74488189@example.com</t>
        </is>
      </c>
      <c r="CE25" t="inlineStr" s="8">
        <is>
          <t>MOUSE MICKEY CEL: 3166312211</t>
        </is>
      </c>
      <c r="CF25" t="inlineStr" s="8">
        <is>
          <t>NC4876 MAR.15/23 TRASLADO DE BRUCE WATSON A TONY SCHRUTE *ANTIC $15.000.000 *ARRAS $4'640</t>
        </is>
      </c>
    </row>
    <row r="26" ht="12.75" customHeight="1">
      <c r="A26" t="inlineStr" s="8">
        <is>
          <t>60007919091813</t>
        </is>
      </c>
      <c r="B26" s="8"/>
      <c r="C26" t="inlineStr" s="8">
        <is>
          <t>401</t>
        </is>
      </c>
      <c r="D26" s="9">
        <v>55.20</v>
      </c>
      <c r="E26" t="inlineStr" s="8">
        <is>
          <t>74500289</t>
        </is>
      </c>
      <c r="F26" t="inlineStr" s="8">
        <is>
          <t>HENDERSON LUNA</t>
        </is>
      </c>
      <c r="G26" s="8"/>
      <c r="H26" t="inlineStr" s="8">
        <is>
          <t>BANCO DE BOGOTA</t>
        </is>
      </c>
      <c r="I26" s="9">
        <v>192172500.00</v>
      </c>
      <c r="J26" t="inlineStr" s="8">
        <is>
          <t>NC4883CESION - NCR4896CR</t>
        </is>
      </c>
      <c r="K26" t="inlineStr" s="8">
        <is>
          <t>NCR4891 - NCR4888 - NCR4894 - NCR4895 - NCR4892 - NCR4884 - NCR4885 - NCR4889 - NCR4890 - NCR4887 - NCR4886 - NCR4893</t>
        </is>
      </c>
      <c r="L26" t="inlineStr" s="8">
        <is>
          <t>ENE.5/22F - FEB.23/22F - MAR.23/22F - MAR.27/22F - ABR.7/22F - JUN.7/22F - JUN.25/22F - (AGO.25/22CESION) - SEP.1/22F - SEP.12/22F - OCT.3/22F - OCT.17/22F - NOV.16/22F</t>
        </is>
      </c>
      <c r="M26" s="9"/>
      <c r="N26" s="9">
        <v>20000000</v>
      </c>
      <c r="O26" t="inlineStr" s="8">
        <is>
          <t>OCT.1/22</t>
        </is>
      </c>
      <c r="P26" s="8"/>
      <c r="Q26" s="10">
        <v>3249000</v>
      </c>
      <c r="R26" s="10">
        <v>1705000</v>
      </c>
      <c r="S26" s="10">
        <f>3153000+4085500</f>
      </c>
      <c r="T26" s="10">
        <v>4955000</v>
      </c>
      <c r="U26" s="10"/>
      <c r="V26" s="10">
        <f>1834000+2252000</f>
      </c>
      <c r="W26" s="10"/>
      <c r="X26" s="10"/>
      <c r="Y26" s="10">
        <f>869000+1512000</f>
      </c>
      <c r="Z26" s="10">
        <f>2091000+5727000</f>
      </c>
      <c r="AA26" s="10">
        <v>740000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9">
        <v>110000000</v>
      </c>
      <c r="BG26" s="9"/>
      <c r="BH26" s="9"/>
      <c r="BI26" s="9"/>
      <c r="BJ26" s="9">
        <f>SUM(M26,N26,Q26,R26,S26,T26,U26,V26,W26,X26,Y26,Z26,AA26,AB26,AC26,AD26,AE26,AF26,AG26,AH26,AI26,AJ26,AK26,AL26,AM26,AN26,AO26,AP26,AQ26,AR26,AS26,AT26,AU26,AV26,AW26,AX26,AY26,AZ26,BA26,BB26,BC26,BD26,BE26,BF26,BG26,BH26,BI26)</f>
      </c>
      <c r="BK26" s="9">
        <f>I26-BJ26</f>
      </c>
      <c r="BL26" s="9">
        <f>BK26-BM26-BN26-BO26-BP26</f>
      </c>
      <c r="BM26" s="9"/>
      <c r="BN26" s="9"/>
      <c r="BO26" s="9"/>
      <c r="BP26" s="9"/>
      <c r="BQ26" s="8"/>
      <c r="BR26" t="inlineStr" s="8">
        <is>
          <t>2022-02-11</t>
        </is>
      </c>
      <c r="BS26" t="inlineStr" s="8">
        <is>
          <t>2022-03-16</t>
        </is>
      </c>
      <c r="BT26" t="inlineStr" s="8">
        <is>
          <t>2023-01-13</t>
        </is>
      </c>
      <c r="BU26" s="8"/>
      <c r="BV26" s="8"/>
      <c r="BW26" s="8"/>
      <c r="BX26" s="8"/>
      <c r="BY26" s="8"/>
      <c r="BZ26" s="8"/>
      <c r="CA26" s="9"/>
      <c r="CB26" s="9"/>
      <c r="CC26" t="inlineStr" s="8">
        <is>
          <t>3166312869</t>
        </is>
      </c>
      <c r="CD26" t="inlineStr" s="8">
        <is>
          <t>henderson.luna.74500289@example.com</t>
        </is>
      </c>
      <c r="CE26" t="inlineStr" s="8">
        <is>
          <t>MOUSE MINNIE CEL: 3166313521</t>
        </is>
      </c>
      <c r="CF26" t="inlineStr" s="8">
        <is>
          <t>NC4883 AGO.25/22 CESION DE DUSTIN TANO A LUNA HENDERSON *ANTIC $20.000.000 *ARRAS $4'640</t>
        </is>
      </c>
    </row>
    <row r="27" ht="12.75" customHeight="1">
      <c r="A27" t="inlineStr" s="8">
        <is>
          <t>60007919092014</t>
        </is>
      </c>
      <c r="B27" s="8"/>
      <c r="C27" t="inlineStr" s="8">
        <is>
          <t>402</t>
        </is>
      </c>
      <c r="D27" s="9">
        <v>55.20</v>
      </c>
      <c r="E27" t="inlineStr" s="8">
        <is>
          <t>74518712</t>
        </is>
      </c>
      <c r="F27" t="inlineStr" s="8">
        <is>
          <t>WEASLEY NATASHA</t>
        </is>
      </c>
      <c r="G27" t="inlineStr" s="8">
        <is>
          <t>FOWLER NATASHA</t>
        </is>
      </c>
      <c r="H27" t="inlineStr" s="8">
        <is>
          <t>BANCO DAVIVIENDA</t>
        </is>
      </c>
      <c r="I27" s="9">
        <v>192172500.00</v>
      </c>
      <c r="J27" t="inlineStr" s="8">
        <is>
          <t>NC4898CESION - NCR4903CR</t>
        </is>
      </c>
      <c r="K27" t="inlineStr" s="8">
        <is>
          <t>NCR4900 - NCR4901 - NCR4899 - NCR4902</t>
        </is>
      </c>
      <c r="L27" t="inlineStr" s="8">
        <is>
          <t>JUL.12/22F - JUL.23/22F - JUL.28/22F - AGO.14/22F - (MAR.4/23CESION)</t>
        </is>
      </c>
      <c r="M27" s="9"/>
      <c r="N27" s="9">
        <v>12000000</v>
      </c>
      <c r="O27" t="inlineStr" s="8">
        <is>
          <t>DIC.12/22</t>
        </is>
      </c>
      <c r="P27" s="8"/>
      <c r="Q27" s="10"/>
      <c r="R27" s="10"/>
      <c r="S27" s="10"/>
      <c r="T27" s="10"/>
      <c r="U27" s="10"/>
      <c r="V27" s="10"/>
      <c r="W27" s="10">
        <f>15553000+1042000+34635000</f>
      </c>
      <c r="X27" s="10">
        <v>28942500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9">
        <v>80000000</v>
      </c>
      <c r="BG27" s="9"/>
      <c r="BH27" s="9"/>
      <c r="BI27" s="9"/>
      <c r="BJ27" s="9">
        <f>SUM(M27,N27,Q27,R27,S27,T27,U27,V27,W27,X27,Y27,Z27,AA27,AB27,AC27,AD27,AE27,AF27,AG27,AH27,AI27,AJ27,AK27,AL27,AM27,AN27,AO27,AP27,AQ27,AR27,AS27,AT27,AU27,AV27,AW27,AX27,AY27,AZ27,BA27,BB27,BC27,BD27,BE27,BF27,BG27,BH27,BI27)</f>
      </c>
      <c r="BK27" s="9">
        <f>I27-BJ27</f>
      </c>
      <c r="BL27" s="9">
        <f>BK27-BM27-BN27-BO27-BP27</f>
      </c>
      <c r="BM27" s="9"/>
      <c r="BN27" s="9"/>
      <c r="BO27" s="9"/>
      <c r="BP27" s="9"/>
      <c r="BQ27" s="8"/>
      <c r="BR27" t="inlineStr" s="8">
        <is>
          <t>2022-08-20</t>
        </is>
      </c>
      <c r="BS27" t="inlineStr" s="8">
        <is>
          <t>2022-09-02</t>
        </is>
      </c>
      <c r="BT27" t="inlineStr" s="8">
        <is>
          <t>2023-06-07</t>
        </is>
      </c>
      <c r="BU27" s="8"/>
      <c r="BV27" s="8"/>
      <c r="BW27" s="8"/>
      <c r="BX27" s="8"/>
      <c r="BY27" s="8"/>
      <c r="BZ27" s="8"/>
      <c r="CA27" s="9"/>
      <c r="CB27" s="9"/>
      <c r="CC27" t="inlineStr" s="8">
        <is>
          <t>3166315773</t>
        </is>
      </c>
      <c r="CD27" t="inlineStr" s="8">
        <is>
          <t>weasley.natasha.74518712@example.com</t>
        </is>
      </c>
      <c r="CE27" t="inlineStr" s="8">
        <is>
          <t>BUNNY BUGS CEL: 3166317099</t>
        </is>
      </c>
      <c r="CF27" s="8"/>
    </row>
    <row r="28" ht="12.75" customHeight="1">
      <c r="A28" t="inlineStr" s="8">
        <is>
          <t>60007919092158</t>
        </is>
      </c>
      <c r="B28" s="8"/>
      <c r="C28" t="inlineStr" s="8">
        <is>
          <t>403</t>
        </is>
      </c>
      <c r="D28" s="9">
        <v>55.20</v>
      </c>
      <c r="E28" t="inlineStr" s="8">
        <is>
          <t>74534704</t>
        </is>
      </c>
      <c r="F28" t="inlineStr" s="8">
        <is>
          <t>DECKER LUCAS</t>
        </is>
      </c>
      <c r="G28" s="8"/>
      <c r="H28" t="inlineStr" s="8">
        <is>
          <t>BANCOLOMBIA</t>
        </is>
      </c>
      <c r="I28" s="9">
        <v>192172500.00</v>
      </c>
      <c r="J28" t="inlineStr" s="8">
        <is>
          <t>NC4905CESION - NCR4914 - NCR4918CR</t>
        </is>
      </c>
      <c r="K28" t="inlineStr" s="8">
        <is>
          <t>NCR4917 - NCR4916 - NCR4913 - NCR4908 - NCR4912 - NCR4907 - NCR4909 - NCR4906 - NCR4910 - NCR4911 - NCR4915</t>
        </is>
      </c>
      <c r="L28" t="inlineStr" s="8">
        <is>
          <t>ENE.17/22F - ABR.12/22F - (MAY.2/22CESION) - OCT.17/22F - FEB.2/23F - FEB.13/23F - FEB.20/23F - MAY.2/23F - JUN.16/23F - JUN.28/23F - JUL.4/23F - AGO.12/23F - OCT.18/23</t>
        </is>
      </c>
      <c r="M28" s="9">
        <v>347000</v>
      </c>
      <c r="N28" s="9">
        <v>12000000</v>
      </c>
      <c r="O28" t="inlineStr" s="8">
        <is>
          <t>AGO.21/23</t>
        </is>
      </c>
      <c r="P28" s="8"/>
      <c r="Q28" s="10">
        <v>800000</v>
      </c>
      <c r="R28" s="10"/>
      <c r="S28" s="10"/>
      <c r="T28" s="10">
        <v>100000</v>
      </c>
      <c r="U28" s="10"/>
      <c r="V28" s="10"/>
      <c r="W28" s="10"/>
      <c r="X28" s="10"/>
      <c r="Y28" s="10"/>
      <c r="Z28" s="10">
        <v>617000</v>
      </c>
      <c r="AA28" s="10"/>
      <c r="AB28" s="10"/>
      <c r="AC28" s="10"/>
      <c r="AD28" s="10">
        <f>1673000+100000+489000</f>
      </c>
      <c r="AE28" s="10"/>
      <c r="AF28" s="10"/>
      <c r="AG28" s="10">
        <v>1361000</v>
      </c>
      <c r="AH28" s="10">
        <f>489000+440000</f>
      </c>
      <c r="AI28" s="10">
        <v>574000</v>
      </c>
      <c r="AJ28" s="10">
        <v>100000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9">
        <v>110000000</v>
      </c>
      <c r="BG28" s="9"/>
      <c r="BH28" s="9"/>
      <c r="BI28" s="9"/>
      <c r="BJ28" s="9">
        <f>SUM(M28,N28,Q28,R28,S28,T28,U28,V28,W28,X28,Y28,Z28,AA28,AB28,AC28,AD28,AE28,AF28,AG28,AH28,AI28,AJ28,AK28,AL28,AM28,AN28,AO28,AP28,AQ28,AR28,AS28,AT28,AU28,AV28,AW28,AX28,AY28,AZ28,BA28,BB28,BC28,BD28,BE28,BF28,BG28,BH28,BI28)</f>
      </c>
      <c r="BK28" s="9">
        <f>I28-BJ28</f>
      </c>
      <c r="BL28" s="9">
        <f>BK28-BM28-BN28-BO28-BP28</f>
      </c>
      <c r="BM28" s="9"/>
      <c r="BN28" s="9"/>
      <c r="BO28" s="9"/>
      <c r="BP28" s="9"/>
      <c r="BQ28" s="8"/>
      <c r="BR28" t="inlineStr" s="8">
        <is>
          <t>2022-03-15</t>
        </is>
      </c>
      <c r="BS28" t="inlineStr" s="8">
        <is>
          <t>2022-07-07</t>
        </is>
      </c>
      <c r="BT28" s="8"/>
      <c r="BU28" s="8"/>
      <c r="BV28" s="8"/>
      <c r="BW28" s="8"/>
      <c r="BX28" s="8"/>
      <c r="BY28" s="8"/>
      <c r="BZ28" s="8"/>
      <c r="CA28" s="9"/>
      <c r="CB28" s="9"/>
      <c r="CC28" t="inlineStr" s="8">
        <is>
          <t>3166317707</t>
        </is>
      </c>
      <c r="CD28" t="inlineStr" s="8">
        <is>
          <t>decker.lucas.74534704@example.com</t>
        </is>
      </c>
      <c r="CE28" t="inlineStr" s="8">
        <is>
          <t>FLINTSTONE FRED CEL: 3166317813</t>
        </is>
      </c>
      <c r="CF28" t="inlineStr" s="8">
        <is>
          <t>NC4905 MAY.2/22 CESION DE STEVE MARTIN/SAMWISE EHRMANTRAUT A LUCAS DECKER *ANTIC $12.000.000 *ARRAS $4'640</t>
        </is>
      </c>
    </row>
    <row r="29" ht="12.75" customHeight="1">
      <c r="A29" t="inlineStr" s="8">
        <is>
          <t>60007919092300</t>
        </is>
      </c>
      <c r="B29" s="8"/>
      <c r="C29" t="inlineStr" s="8">
        <is>
          <t>404</t>
        </is>
      </c>
      <c r="D29" s="9">
        <v>55.20</v>
      </c>
      <c r="E29" t="inlineStr" s="8">
        <is>
          <t>74543831</t>
        </is>
      </c>
      <c r="F29" t="inlineStr" s="8">
        <is>
          <t>PARKER BART</t>
        </is>
      </c>
      <c r="G29" s="8"/>
      <c r="H29" t="inlineStr" s="8">
        <is>
          <t>BBVA</t>
        </is>
      </c>
      <c r="I29" s="9">
        <v>192172500.00</v>
      </c>
      <c r="J29" t="inlineStr" s="8">
        <is>
          <t>NCR4930 - NCR4923 - NCR4922 - NCR4924 - NCR4931CR</t>
        </is>
      </c>
      <c r="K29" t="inlineStr" s="8">
        <is>
          <t>NCR4926 - NCR4929 - NCR4928 - NCR4920 - NCR4927 - NCR4921 - NCR4925</t>
        </is>
      </c>
      <c r="L29" t="inlineStr" s="8">
        <is>
          <t>NOV.17/22F - DIC.6/22F - ABR.3/23F - JUN.3/23F - JUL.7/23F - JUL.11/23F - SEP.13/23 - SEP.19/23F - SEP.28/23 - OCT.7/23 - DIC.20/23</t>
        </is>
      </c>
      <c r="M29" s="9">
        <f>7964000+7516000+673000+28492000</f>
      </c>
      <c r="N29" s="9"/>
      <c r="O29" t="inlineStr" s="8">
        <is>
          <t>SEP.24/23</t>
        </is>
      </c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17162000</v>
      </c>
      <c r="AB29" s="10">
        <v>5384000</v>
      </c>
      <c r="AC29" s="10"/>
      <c r="AD29" s="10"/>
      <c r="AE29" s="10"/>
      <c r="AF29" s="10">
        <v>1458000</v>
      </c>
      <c r="AG29" s="10"/>
      <c r="AH29" s="10">
        <v>18508000</v>
      </c>
      <c r="AI29" s="10">
        <f>10881000+12115000</f>
      </c>
      <c r="AJ29" s="10"/>
      <c r="AK29" s="10">
        <v>2019500</v>
      </c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9">
        <v>80000000</v>
      </c>
      <c r="BG29" s="9"/>
      <c r="BH29" s="9"/>
      <c r="BI29" s="9"/>
      <c r="BJ29" s="9">
        <f>SUM(M29,N29,Q29,R29,S29,T29,U29,V29,W29,X29,Y29,Z29,AA29,AB29,AC29,AD29,AE29,AF29,AG29,AH29,AI29,AJ29,AK29,AL29,AM29,AN29,AO29,AP29,AQ29,AR29,AS29,AT29,AU29,AV29,AW29,AX29,AY29,AZ29,BA29,BB29,BC29,BD29,BE29,BF29,BG29,BH29,BI29)</f>
      </c>
      <c r="BK29" s="9">
        <f>I29-BJ29</f>
      </c>
      <c r="BL29" s="9">
        <f>BK29-BM29-BN29-BO29-BP29</f>
      </c>
      <c r="BM29" s="9"/>
      <c r="BN29" s="9"/>
      <c r="BO29" s="9"/>
      <c r="BP29" s="9"/>
      <c r="BQ29" s="8"/>
      <c r="BR29" t="inlineStr" s="8">
        <is>
          <t>2023-02-28</t>
        </is>
      </c>
      <c r="BS29" t="inlineStr" s="8">
        <is>
          <t>2023-04-26</t>
        </is>
      </c>
      <c r="BT29" s="8"/>
      <c r="BU29" s="8"/>
      <c r="BV29" s="8"/>
      <c r="BW29" s="8"/>
      <c r="BX29" s="8"/>
      <c r="BY29" s="8"/>
      <c r="BZ29" s="8"/>
      <c r="CA29" s="9"/>
      <c r="CB29" s="9"/>
      <c r="CC29" t="inlineStr" s="8">
        <is>
          <t>3166318141</t>
        </is>
      </c>
      <c r="CD29" t="inlineStr" s="8">
        <is>
          <t>parker.bart.74543831@example.com</t>
        </is>
      </c>
      <c r="CE29" t="inlineStr" s="8">
        <is>
          <t>PANTHER PINK CEL: 3166318236</t>
        </is>
      </c>
      <c r="CF29" s="8"/>
    </row>
    <row r="30" ht="12.75" customHeight="1">
      <c r="A30" t="inlineStr" s="8">
        <is>
          <t>60007919092453</t>
        </is>
      </c>
      <c r="B30" s="8"/>
      <c r="C30" t="inlineStr" s="8">
        <is>
          <t>405</t>
        </is>
      </c>
      <c r="D30" s="9">
        <v>55.20</v>
      </c>
      <c r="E30" t="inlineStr" s="8">
        <is>
          <t>74548692</t>
        </is>
      </c>
      <c r="F30" t="inlineStr" s="8">
        <is>
          <t>CHEEKS MIKE</t>
        </is>
      </c>
      <c r="G30" s="8"/>
      <c r="H30" t="inlineStr" s="8">
        <is>
          <t>BANCO CAJA SOCIAL</t>
        </is>
      </c>
      <c r="I30" s="9">
        <v>192172500.00</v>
      </c>
      <c r="J30" t="inlineStr" s="8">
        <is>
          <t>NCR4942CR</t>
        </is>
      </c>
      <c r="K30" t="inlineStr" s="8">
        <is>
          <t>NCR4934 - NCR4932 - NCR4938 - NCR4939 - NCR4935 - NCR4933 - NCR4937 - NCR4936 - NCR4940 - NCR4941</t>
        </is>
      </c>
      <c r="L30" t="inlineStr" s="8">
        <is>
          <t>MAR.5/22F - MAR.9/22F - MAY.2/22F - AGO.13/22F - SEP.1/22F - SEP.15/22F - OCT.1/22F - OCT.6/22F - OCT.21/22F - DIC.14/22F</t>
        </is>
      </c>
      <c r="M30" s="9"/>
      <c r="N30" s="9"/>
      <c r="O30" t="inlineStr" s="8">
        <is>
          <t>JUN.29/22</t>
        </is>
      </c>
      <c r="P30" s="8"/>
      <c r="Q30" s="10"/>
      <c r="R30" s="10"/>
      <c r="S30" s="10">
        <f>10436000+2383000</f>
      </c>
      <c r="T30" s="10"/>
      <c r="U30" s="10">
        <v>11833000</v>
      </c>
      <c r="V30" s="10"/>
      <c r="W30" s="10"/>
      <c r="X30" s="10">
        <v>3698000</v>
      </c>
      <c r="Y30" s="10">
        <f>247000+5095000</f>
      </c>
      <c r="Z30" s="10">
        <f>9614000+1233000+37060000</f>
      </c>
      <c r="AA30" s="10"/>
      <c r="AB30" s="10">
        <v>573500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9">
        <v>80000000</v>
      </c>
      <c r="BG30" s="9"/>
      <c r="BH30" s="9"/>
      <c r="BI30" s="9"/>
      <c r="BJ30" s="9">
        <f>SUM(M30,N30,Q30,R30,S30,T30,U30,V30,W30,X30,Y30,Z30,AA30,AB30,AC30,AD30,AE30,AF30,AG30,AH30,AI30,AJ30,AK30,AL30,AM30,AN30,AO30,AP30,AQ30,AR30,AS30,AT30,AU30,AV30,AW30,AX30,AY30,AZ30,BA30,BB30,BC30,BD30,BE30,BF30,BG30,BH30,BI30)</f>
      </c>
      <c r="BK30" s="9">
        <f>I30-BJ30</f>
      </c>
      <c r="BL30" s="9">
        <f>BK30-BM30-BN30-BO30-BP30</f>
      </c>
      <c r="BM30" s="9"/>
      <c r="BN30" s="9"/>
      <c r="BO30" s="9"/>
      <c r="BP30" s="9"/>
      <c r="BQ30" s="8"/>
      <c r="BR30" t="inlineStr" s="8">
        <is>
          <t>2022-04-27</t>
        </is>
      </c>
      <c r="BS30" t="inlineStr" s="8">
        <is>
          <t>2022-05-25</t>
        </is>
      </c>
      <c r="BT30" s="8"/>
      <c r="BU30" s="8"/>
      <c r="BV30" s="8"/>
      <c r="BW30" s="8"/>
      <c r="BX30" s="8"/>
      <c r="BY30" s="8"/>
      <c r="BZ30" s="8"/>
      <c r="CA30" s="9"/>
      <c r="CB30" s="9"/>
      <c r="CC30" t="inlineStr" s="8">
        <is>
          <t>3166318563</t>
        </is>
      </c>
      <c r="CD30" t="inlineStr" s="8">
        <is>
          <t>cheeks.mike.74548692@example.com</t>
        </is>
      </c>
      <c r="CE30" t="inlineStr" s="8">
        <is>
          <t>JETSON GEORGE CEL: 3166318937</t>
        </is>
      </c>
      <c r="CF30" s="8"/>
    </row>
    <row r="31" ht="12.75" customHeight="1">
      <c r="A31" s="8"/>
      <c r="B31" s="8"/>
      <c r="C31" t="inlineStr" s="8">
        <is>
          <t>406</t>
        </is>
      </c>
      <c r="D31" s="9">
        <v>55.20</v>
      </c>
      <c r="E31" s="8"/>
      <c r="F31" s="8"/>
      <c r="G31" s="8"/>
      <c r="H31" t="inlineStr" s="8">
        <is>
          <t>BBVA</t>
        </is>
      </c>
      <c r="I31" s="9">
        <v>192172500.00</v>
      </c>
      <c r="J31" s="8"/>
      <c r="K31" s="8"/>
      <c r="L31" s="8"/>
      <c r="M31" s="9"/>
      <c r="N31" s="9"/>
      <c r="O31" s="8"/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9"/>
      <c r="CB31" s="9"/>
      <c r="CC31" s="8"/>
      <c r="CD31" s="8"/>
      <c r="CE31" s="8"/>
      <c r="CF31" s="8"/>
    </row>
    <row r="32" ht="12.75" customHeight="1">
      <c r="A32" t="inlineStr" s="8">
        <is>
          <t>60007919092625</t>
        </is>
      </c>
      <c r="B32" s="8"/>
      <c r="C32" t="inlineStr" s="8">
        <is>
          <t>407</t>
        </is>
      </c>
      <c r="D32" s="9">
        <v>55.20</v>
      </c>
      <c r="E32" t="inlineStr" s="8">
        <is>
          <t>74563255</t>
        </is>
      </c>
      <c r="F32" t="inlineStr" s="8">
        <is>
          <t>MARPLE SPONGEBOB</t>
        </is>
      </c>
      <c r="G32" s="8"/>
      <c r="H32" t="inlineStr" s="8">
        <is>
          <t>BANCO DAVIVIENDA</t>
        </is>
      </c>
      <c r="I32" s="9">
        <v>192172500.00</v>
      </c>
      <c r="J32" t="inlineStr" s="8">
        <is>
          <t>NCR4963CR</t>
        </is>
      </c>
      <c r="K32" t="inlineStr" s="8">
        <is>
          <t>NCR4962 - NCR4959 - NCR4960 - NCR4958 - NCR4957 - NCR4961 - NCR4956</t>
        </is>
      </c>
      <c r="L32" t="inlineStr" s="8">
        <is>
          <t>JUN.17/22F - SEP.22/22F - SEP.25/22F - DIC.4/22F - ENE.17/23F - ENE.20/23F - FEB.11/23F</t>
        </is>
      </c>
      <c r="M32" s="9"/>
      <c r="N32" s="9"/>
      <c r="O32" t="inlineStr" s="8">
        <is>
          <t>ENE.12/23</t>
        </is>
      </c>
      <c r="P32" s="8"/>
      <c r="Q32" s="10"/>
      <c r="R32" s="10"/>
      <c r="S32" s="10"/>
      <c r="T32" s="10"/>
      <c r="U32" s="10"/>
      <c r="V32" s="10">
        <v>21293500</v>
      </c>
      <c r="W32" s="10"/>
      <c r="X32" s="10"/>
      <c r="Y32" s="10">
        <f>4702000+8195000</f>
      </c>
      <c r="Z32" s="10"/>
      <c r="AA32" s="10"/>
      <c r="AB32" s="10">
        <v>15181000</v>
      </c>
      <c r="AC32" s="10">
        <f>3694000+13905000</f>
      </c>
      <c r="AD32" s="10">
        <v>202000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9">
        <v>125000000</v>
      </c>
      <c r="BG32" s="9"/>
      <c r="BH32" s="9"/>
      <c r="BI32" s="9"/>
      <c r="BJ32" s="9">
        <f>SUM(M32,N32,Q32,R32,S32,T32,U32,V32,W32,X32,Y32,Z32,AA32,AB32,AC32,AD32,AE32,AF32,AG32,AH32,AI32,AJ32,AK32,AL32,AM32,AN32,AO32,AP32,AQ32,AR32,AS32,AT32,AU32,AV32,AW32,AX32,AY32,AZ32,BA32,BB32,BC32,BD32,BE32,BF32,BG32,BH32,BI32)</f>
      </c>
      <c r="BK32" s="9">
        <f>I32-BJ32</f>
      </c>
      <c r="BL32" s="9">
        <f>BK32-BM32-BN32-BO32-BP32</f>
      </c>
      <c r="BM32" s="9"/>
      <c r="BN32" s="9"/>
      <c r="BO32" s="9"/>
      <c r="BP32" s="9"/>
      <c r="BQ32" s="8"/>
      <c r="BR32" t="inlineStr" s="8">
        <is>
          <t>2022-01-30</t>
        </is>
      </c>
      <c r="BS32" t="inlineStr" s="8">
        <is>
          <t>2022-03-29</t>
        </is>
      </c>
      <c r="BT32" t="inlineStr" s="8">
        <is>
          <t>2023-06-10</t>
        </is>
      </c>
      <c r="BU32" s="8"/>
      <c r="BV32" s="8"/>
      <c r="BW32" s="8"/>
      <c r="BX32" s="8"/>
      <c r="BY32" s="8"/>
      <c r="BZ32" s="8"/>
      <c r="CA32" s="9"/>
      <c r="CB32" s="9"/>
      <c r="CC32" t="inlineStr" s="8">
        <is>
          <t>3166320304</t>
        </is>
      </c>
      <c r="CD32" t="inlineStr" s="8">
        <is>
          <t>marple.spongebob.74563255@example.com</t>
        </is>
      </c>
      <c r="CE32" t="inlineStr" s="8">
        <is>
          <t>MOUSE MICKEY CEL: 3166320811</t>
        </is>
      </c>
      <c r="CF32" s="8"/>
    </row>
    <row r="33" ht="12.75" customHeight="1">
      <c r="A33" t="inlineStr" s="8">
        <is>
          <t>60007919092676</t>
        </is>
      </c>
      <c r="B33" s="8"/>
      <c r="C33" t="inlineStr" s="8">
        <is>
          <t>501</t>
        </is>
      </c>
      <c r="D33" s="9">
        <v>55.20</v>
      </c>
      <c r="E33" t="inlineStr" s="8">
        <is>
          <t>74570123</t>
        </is>
      </c>
      <c r="F33" t="inlineStr" s="8">
        <is>
          <t>GRIFFIN MAGGIE</t>
        </is>
      </c>
      <c r="G33" s="8"/>
      <c r="H33" t="inlineStr" s="8">
        <is>
          <t>BANCOLOMBIA</t>
        </is>
      </c>
      <c r="I33" s="9">
        <v>192172500.00</v>
      </c>
      <c r="J33" t="inlineStr" s="8">
        <is>
          <t>NCR4965 - NCR4969 - NCR4973 - NCR4974CR</t>
        </is>
      </c>
      <c r="K33" t="inlineStr" s="8">
        <is>
          <t>NCR4966 - NCR4970 - NCR4972 - NCR4968 - NCR4967 - NCR4971</t>
        </is>
      </c>
      <c r="L33" t="inlineStr" s="8">
        <is>
          <t>OCT.6/23 - OCT.16/23 - NOV.10/23 - DIC.27/23F - ENE.19/24F - ENE.22/24F - MAR.8/24F - AGO.17/24F - OCT.21/24F</t>
        </is>
      </c>
      <c r="M33" s="9">
        <f>2794000+21940000+15119500</f>
      </c>
      <c r="N33" s="9"/>
      <c r="O33" t="inlineStr" s="8">
        <is>
          <t>MAY.29/24</t>
        </is>
      </c>
      <c r="P33" s="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>
        <v>657000</v>
      </c>
      <c r="AO33" s="10">
        <f>8875000+6327000</f>
      </c>
      <c r="AP33" s="10"/>
      <c r="AQ33" s="10">
        <v>14298000</v>
      </c>
      <c r="AR33" s="10"/>
      <c r="AS33" s="10"/>
      <c r="AT33" s="10"/>
      <c r="AU33" s="10"/>
      <c r="AV33" s="10">
        <v>11833000</v>
      </c>
      <c r="AW33" s="10"/>
      <c r="AX33" s="10">
        <v>329000</v>
      </c>
      <c r="AY33" s="10"/>
      <c r="AZ33" s="10"/>
      <c r="BA33" s="10"/>
      <c r="BB33" s="10"/>
      <c r="BC33" s="10"/>
      <c r="BD33" s="10"/>
      <c r="BE33" s="10"/>
      <c r="BF33" s="9">
        <v>110000000</v>
      </c>
      <c r="BG33" s="9"/>
      <c r="BH33" s="9"/>
      <c r="BI33" s="9"/>
      <c r="BJ33" s="9">
        <f>SUM(M33,N33,Q33,R33,S33,T33,U33,V33,W33,X33,Y33,Z33,AA33,AB33,AC33,AD33,AE33,AF33,AG33,AH33,AI33,AJ33,AK33,AL33,AM33,AN33,AO33,AP33,AQ33,AR33,AS33,AT33,AU33,AV33,AW33,AX33,AY33,AZ33,BA33,BB33,BC33,BD33,BE33,BF33,BG33,BH33,BI33)</f>
      </c>
      <c r="BK33" s="9">
        <f>I33-BJ33</f>
      </c>
      <c r="BL33" s="9">
        <f>BK33-BM33-BN33-BO33-BP33</f>
      </c>
      <c r="BM33" s="9"/>
      <c r="BN33" s="9"/>
      <c r="BO33" s="9"/>
      <c r="BP33" s="9"/>
      <c r="BQ33" s="8"/>
      <c r="BR33" t="inlineStr" s="8">
        <is>
          <t>2024-01-24</t>
        </is>
      </c>
      <c r="BS33" t="inlineStr" s="8">
        <is>
          <t>2024-02-29</t>
        </is>
      </c>
      <c r="BT33" t="inlineStr" s="8">
        <is>
          <t>2025-01-10</t>
        </is>
      </c>
      <c r="BU33" s="8"/>
      <c r="BV33" s="8"/>
      <c r="BW33" s="8"/>
      <c r="BX33" s="8"/>
      <c r="BY33" s="8"/>
      <c r="BZ33" s="8"/>
      <c r="CA33" s="9"/>
      <c r="CB33" s="9"/>
      <c r="CC33" t="inlineStr" s="8">
        <is>
          <t>3166321428</t>
        </is>
      </c>
      <c r="CD33" t="inlineStr" s="8">
        <is>
          <t>griffin.maggie.74570123@example.com</t>
        </is>
      </c>
      <c r="CE33" t="inlineStr" s="8">
        <is>
          <t>FINN CEL: 3166321744</t>
        </is>
      </c>
      <c r="CF33" s="8"/>
    </row>
    <row r="34" ht="12.75" customHeight="1">
      <c r="A34" t="inlineStr" s="8">
        <is>
          <t>60007919092682</t>
        </is>
      </c>
      <c r="B34" s="8"/>
      <c r="C34" t="inlineStr" s="8">
        <is>
          <t>502</t>
        </is>
      </c>
      <c r="D34" s="9">
        <v>55.20</v>
      </c>
      <c r="E34" t="inlineStr" s="8">
        <is>
          <t>74574322</t>
        </is>
      </c>
      <c r="F34" t="inlineStr" s="8">
        <is>
          <t>SKYWALKER NANCY</t>
        </is>
      </c>
      <c r="G34" s="8"/>
      <c r="H34" t="inlineStr" s="8">
        <is>
          <t>BANCOLOMBIA</t>
        </is>
      </c>
      <c r="I34" s="9">
        <v>192172500.00</v>
      </c>
      <c r="J34" t="inlineStr" s="8">
        <is>
          <t>NCR4984CR</t>
        </is>
      </c>
      <c r="K34" t="inlineStr" s="8">
        <is>
          <t>NCR4983 - NCR4976 - NCR4977 - NCR4979 - NCR4975 - NCR4981 - NCR4980 - NCR4978 - NCR4982</t>
        </is>
      </c>
      <c r="L34" t="inlineStr" s="8">
        <is>
          <t>ABR.18/22F - JUL.15/22F - JUL.16/22F - AGO.6/22F - SEP.13/22F - SEP.19/22F - SEP.21/22F - DIC.12/22F - DIC.19/22F</t>
        </is>
      </c>
      <c r="M34" s="9"/>
      <c r="N34" s="9"/>
      <c r="O34" t="inlineStr" s="8">
        <is>
          <t>OCT.8/22</t>
        </is>
      </c>
      <c r="P34" s="8"/>
      <c r="Q34" s="10"/>
      <c r="R34" s="10"/>
      <c r="S34" s="10"/>
      <c r="T34" s="10">
        <v>1605334</v>
      </c>
      <c r="U34" s="10"/>
      <c r="V34" s="10"/>
      <c r="W34" s="10">
        <f>646000+428000</f>
      </c>
      <c r="X34" s="10">
        <v>646000</v>
      </c>
      <c r="Y34" s="10">
        <f>742000+2645000+175000</f>
      </c>
      <c r="Z34" s="10"/>
      <c r="AA34" s="10"/>
      <c r="AB34" s="10">
        <f>908000+934000</f>
      </c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9">
        <v>19364666</v>
      </c>
      <c r="BG34" s="9"/>
      <c r="BH34" s="9"/>
      <c r="BI34" s="9"/>
      <c r="BJ34" s="9">
        <f>SUM(M34,N34,Q34,R34,S34,T34,U34,V34,W34,X34,Y34,Z34,AA34,AB34,AC34,AD34,AE34,AF34,AG34,AH34,AI34,AJ34,AK34,AL34,AM34,AN34,AO34,AP34,AQ34,AR34,AS34,AT34,AU34,AV34,AW34,AX34,AY34,AZ34,BA34,BB34,BC34,BD34,BE34,BF34,BG34,BH34,BI34)</f>
      </c>
      <c r="BK34" s="9">
        <f>I34-BJ34</f>
      </c>
      <c r="BL34" s="9">
        <f>BK34-BM34-BN34-BO34-BP34</f>
      </c>
      <c r="BM34" s="9"/>
      <c r="BN34" s="9"/>
      <c r="BO34" s="9"/>
      <c r="BP34" s="9"/>
      <c r="BQ34" s="8"/>
      <c r="BR34" t="inlineStr" s="8">
        <is>
          <t>2022-04-18</t>
        </is>
      </c>
      <c r="BS34" t="inlineStr" s="8">
        <is>
          <t>2022-07-09</t>
        </is>
      </c>
      <c r="BT34" s="8"/>
      <c r="BU34" s="8"/>
      <c r="BV34" s="8"/>
      <c r="BW34" s="8"/>
      <c r="BX34" s="8"/>
      <c r="BY34" s="8"/>
      <c r="BZ34" s="8"/>
      <c r="CA34" s="9"/>
      <c r="CB34" s="9"/>
      <c r="CC34" t="inlineStr" s="8">
        <is>
          <t>3166321776</t>
        </is>
      </c>
      <c r="CD34" t="inlineStr" s="8">
        <is>
          <t>skywalker.nancy.74574322@example.com</t>
        </is>
      </c>
      <c r="CE34" t="inlineStr" s="8">
        <is>
          <t>JETSON GEORGE CEL: 3166321941</t>
        </is>
      </c>
      <c r="CF34" s="8"/>
    </row>
    <row r="35" ht="12.75" customHeight="1">
      <c r="A35" t="inlineStr" s="8">
        <is>
          <t>60007919092761</t>
        </is>
      </c>
      <c r="B35" s="8"/>
      <c r="C35" t="inlineStr" s="8">
        <is>
          <t>503</t>
        </is>
      </c>
      <c r="D35" s="9">
        <v>55.20</v>
      </c>
      <c r="E35" t="inlineStr" s="8">
        <is>
          <t>74582471</t>
        </is>
      </c>
      <c r="F35" t="inlineStr" s="8">
        <is>
          <t>WHITE HOWARD</t>
        </is>
      </c>
      <c r="G35" s="8"/>
      <c r="H35" s="8"/>
      <c r="I35" s="9">
        <v>192172500.00</v>
      </c>
      <c r="J35" t="inlineStr" s="8">
        <is>
          <t>NCR4987 - NCR4988 - NCR4986 - NCR4989</t>
        </is>
      </c>
      <c r="K35" s="8"/>
      <c r="L35" t="inlineStr" s="8">
        <is>
          <t>AGO.5/23 - AGO.19/23 - AGO.21/23 - SEP.13/23</t>
        </is>
      </c>
      <c r="M35" s="9">
        <f>110115000+32093000+2883000+47081500</f>
      </c>
      <c r="N35" s="9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9"/>
      <c r="BG35" s="9"/>
      <c r="BH35" s="9"/>
      <c r="BI35" s="9"/>
      <c r="BJ35" s="9">
        <f>SUM(M35,N35,Q35,R35,S35,T35,U35,V35,W35,X35,Y35,Z35,AA35,AB35,AC35,AD35,AE35,AF35,AG35,AH35,AI35,AJ35,AK35,AL35,AM35,AN35,AO35,AP35,AQ35,AR35,AS35,AT35,AU35,AV35,AW35,AX35,AY35,AZ35,BA35,BB35,BC35,BD35,BE35,BF35,BG35,BH35,BI35)</f>
      </c>
      <c r="BK35" s="9">
        <f>I35-BJ35</f>
      </c>
      <c r="BL35" s="9">
        <f>BK35-BM35-BN35-BO35-BP35</f>
      </c>
      <c r="BM35" s="9"/>
      <c r="BN35" s="9"/>
      <c r="BO35" s="9"/>
      <c r="BP35" s="9"/>
      <c r="BQ35" s="8"/>
      <c r="BR35" t="inlineStr" s="8">
        <is>
          <t>2023-03-18</t>
        </is>
      </c>
      <c r="BS35" t="inlineStr" s="8">
        <is>
          <t>2023-05-20</t>
        </is>
      </c>
      <c r="BT35" t="inlineStr" s="8">
        <is>
          <t>2024-08-19</t>
        </is>
      </c>
      <c r="BU35" s="8"/>
      <c r="BV35" s="8"/>
      <c r="BW35" s="8"/>
      <c r="BX35" s="8"/>
      <c r="BY35" s="8"/>
      <c r="BZ35" s="8"/>
      <c r="CA35" s="9"/>
      <c r="CB35" s="9"/>
      <c r="CC35" t="inlineStr" s="8">
        <is>
          <t>3166322848</t>
        </is>
      </c>
      <c r="CD35" t="inlineStr" s="8">
        <is>
          <t>white.howard.74582471@example.com</t>
        </is>
      </c>
      <c r="CE35" t="inlineStr" s="8">
        <is>
          <t>BUNNY BUGS CEL: 3166322947</t>
        </is>
      </c>
      <c r="CF35" s="8"/>
    </row>
    <row r="36" ht="12.75" customHeight="1">
      <c r="A36" t="inlineStr" s="8">
        <is>
          <t>60007919092841</t>
        </is>
      </c>
      <c r="B36" s="8"/>
      <c r="C36" t="inlineStr" s="8">
        <is>
          <t>504</t>
        </is>
      </c>
      <c r="D36" s="9">
        <v>55.20</v>
      </c>
      <c r="E36" t="inlineStr" s="8">
        <is>
          <t>74590244</t>
        </is>
      </c>
      <c r="F36" t="inlineStr" s="8">
        <is>
          <t>SINCLAIR HOWARD</t>
        </is>
      </c>
      <c r="G36" s="8"/>
      <c r="H36" t="inlineStr" s="8">
        <is>
          <t>BANCO CAJA SOCIAL</t>
        </is>
      </c>
      <c r="I36" s="9">
        <v>192172500.00</v>
      </c>
      <c r="J36" t="inlineStr" s="8">
        <is>
          <t>NCR4990CR</t>
        </is>
      </c>
      <c r="K36" s="8"/>
      <c r="L36" s="8"/>
      <c r="M36" s="9"/>
      <c r="N36" s="9"/>
      <c r="O36" t="inlineStr" s="8">
        <is>
          <t>MAR.12/24</t>
        </is>
      </c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9">
        <v>97250000</v>
      </c>
      <c r="BG36" s="9"/>
      <c r="BH36" s="9"/>
      <c r="BI36" s="9"/>
      <c r="BJ36" s="9">
        <f>SUM(M36,N36,Q36,R36,S36,T36,U36,V36,W36,X36,Y36,Z36,AA36,AB36,AC36,AD36,AE36,AF36,AG36,AH36,AI36,AJ36,AK36,AL36,AM36,AN36,AO36,AP36,AQ36,AR36,AS36,AT36,AU36,AV36,AW36,AX36,AY36,AZ36,BA36,BB36,BC36,BD36,BE36,BF36,BG36,BH36,BI36)</f>
      </c>
      <c r="BK36" s="9">
        <f>I36-BJ36</f>
      </c>
      <c r="BL36" s="9">
        <f>BK36-BM36-BN36-BO36-BP36</f>
      </c>
      <c r="BM36" s="9"/>
      <c r="BN36" s="9"/>
      <c r="BO36" s="9"/>
      <c r="BP36" s="9"/>
      <c r="BQ36" s="8"/>
      <c r="BR36" t="inlineStr" s="8">
        <is>
          <t>2023-01-19</t>
        </is>
      </c>
      <c r="BS36" t="inlineStr" s="8">
        <is>
          <t>2023-05-14</t>
        </is>
      </c>
      <c r="BT36" s="8"/>
      <c r="BU36" s="8"/>
      <c r="BV36" s="8"/>
      <c r="BW36" s="8"/>
      <c r="BX36" s="8"/>
      <c r="BY36" s="8"/>
      <c r="BZ36" s="8"/>
      <c r="CA36" s="9"/>
      <c r="CB36" s="9"/>
      <c r="CC36" t="inlineStr" s="8">
        <is>
          <t>3166323075</t>
        </is>
      </c>
      <c r="CD36" t="inlineStr" s="8">
        <is>
          <t>sinclair.howard.74590244@example.com</t>
        </is>
      </c>
      <c r="CE36" t="inlineStr" s="8">
        <is>
          <t>JAKE CEL: 3166323700</t>
        </is>
      </c>
      <c r="CF36" s="8"/>
    </row>
    <row r="37" ht="12.75" customHeight="1">
      <c r="A37" t="inlineStr" s="8">
        <is>
          <t>60007919092893</t>
        </is>
      </c>
      <c r="B37" s="8"/>
      <c r="C37" t="inlineStr" s="8">
        <is>
          <t>505</t>
        </is>
      </c>
      <c r="D37" s="9">
        <v>55.20</v>
      </c>
      <c r="E37" t="inlineStr" s="8">
        <is>
          <t>74592834</t>
        </is>
      </c>
      <c r="F37" t="inlineStr" s="8">
        <is>
          <t>SQUAREPANTS MORTY</t>
        </is>
      </c>
      <c r="G37" s="8"/>
      <c r="H37" t="inlineStr" s="8">
        <is>
          <t>BANCO DAVIVIENDA</t>
        </is>
      </c>
      <c r="I37" s="9">
        <v>192172500.00</v>
      </c>
      <c r="J37" t="inlineStr" s="8">
        <is>
          <t>NCR4997CR</t>
        </is>
      </c>
      <c r="K37" t="inlineStr" s="8">
        <is>
          <t>NCR4995 - NCR4994 - NCR4996 - NCR4993 - NCR4992</t>
        </is>
      </c>
      <c r="L37" t="inlineStr" s="8">
        <is>
          <t>FEB.7/22F - JUL.28/22F - SEP.13/22F - NOV.3/22F - NOV.15/22F</t>
        </is>
      </c>
      <c r="M37" s="9"/>
      <c r="N37" s="9"/>
      <c r="O37" t="inlineStr" s="8">
        <is>
          <t>AGO.29/22</t>
        </is>
      </c>
      <c r="P37" s="8"/>
      <c r="Q37" s="10"/>
      <c r="R37" s="10">
        <v>20639000</v>
      </c>
      <c r="S37" s="10"/>
      <c r="T37" s="10"/>
      <c r="U37" s="10"/>
      <c r="V37" s="10"/>
      <c r="W37" s="10">
        <v>19324000</v>
      </c>
      <c r="X37" s="10"/>
      <c r="Y37" s="10">
        <v>4249500</v>
      </c>
      <c r="Z37" s="10"/>
      <c r="AA37" s="10">
        <f>27721000+29239000</f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9">
        <v>65000000</v>
      </c>
      <c r="BG37" s="9"/>
      <c r="BH37" s="9"/>
      <c r="BI37" s="9"/>
      <c r="BJ37" s="9">
        <f>SUM(M37,N37,Q37,R37,S37,T37,U37,V37,W37,X37,Y37,Z37,AA37,AB37,AC37,AD37,AE37,AF37,AG37,AH37,AI37,AJ37,AK37,AL37,AM37,AN37,AO37,AP37,AQ37,AR37,AS37,AT37,AU37,AV37,AW37,AX37,AY37,AZ37,BA37,BB37,BC37,BD37,BE37,BF37,BG37,BH37,BI37)</f>
      </c>
      <c r="BK37" s="9">
        <f>I37-BJ37</f>
      </c>
      <c r="BL37" s="9">
        <f>BK37-BM37-BN37-BO37-BP37</f>
      </c>
      <c r="BM37" s="9"/>
      <c r="BN37" s="9"/>
      <c r="BO37" s="9"/>
      <c r="BP37" s="9"/>
      <c r="BQ37" s="8"/>
      <c r="BR37" t="inlineStr" s="8">
        <is>
          <t>2022-01-29</t>
        </is>
      </c>
      <c r="BS37" t="inlineStr" s="8">
        <is>
          <t>2022-05-22</t>
        </is>
      </c>
      <c r="BT37" t="inlineStr" s="8">
        <is>
          <t>2023-03-09</t>
        </is>
      </c>
      <c r="BU37" s="8"/>
      <c r="BV37" s="8"/>
      <c r="BW37" s="8"/>
      <c r="BX37" s="8"/>
      <c r="BY37" s="8"/>
      <c r="BZ37" s="8"/>
      <c r="CA37" s="9"/>
      <c r="CB37" s="9"/>
      <c r="CC37" t="inlineStr" s="8">
        <is>
          <t>3166324143</t>
        </is>
      </c>
      <c r="CD37" t="inlineStr" s="8">
        <is>
          <t>squarepants.morty.74592834@example.com</t>
        </is>
      </c>
      <c r="CE37" t="inlineStr" s="8">
        <is>
          <t>FINN CEL: 3166324793</t>
        </is>
      </c>
      <c r="CF37" s="8"/>
    </row>
    <row r="38" ht="12.75" customHeight="1">
      <c r="A38" t="inlineStr" s="8">
        <is>
          <t>60007919093007</t>
        </is>
      </c>
      <c r="B38" s="8"/>
      <c r="C38" t="inlineStr" s="8">
        <is>
          <t>506</t>
        </is>
      </c>
      <c r="D38" s="9">
        <v>55.20</v>
      </c>
      <c r="E38" t="inlineStr" s="8">
        <is>
          <t>74606135</t>
        </is>
      </c>
      <c r="F38" t="inlineStr" s="8">
        <is>
          <t>GRANGER TONY</t>
        </is>
      </c>
      <c r="G38" s="8"/>
      <c r="H38" s="8"/>
      <c r="I38" s="9">
        <v>192172500.00</v>
      </c>
      <c r="J38" t="inlineStr" s="8">
        <is>
          <t>NC4999CESION - NCR5004</t>
        </is>
      </c>
      <c r="K38" t="inlineStr" s="8">
        <is>
          <t>NCR5002 - NCR5000 - NCR5001 - NCR5003 - NCR5005 - NCR5006</t>
        </is>
      </c>
      <c r="L38" t="inlineStr" s="8">
        <is>
          <t>SEP.22/22F - ENE.24/23F - MAY.23/23F - JUN.17/23F - AGO.11/23F - (SEP.30/23CESION) - DIC.1/23 - FEB.27/24F</t>
        </is>
      </c>
      <c r="M38" s="9">
        <v>5647000</v>
      </c>
      <c r="N38" s="9">
        <v>25000000</v>
      </c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>
        <v>6212000</v>
      </c>
      <c r="Z38" s="10"/>
      <c r="AA38" s="10"/>
      <c r="AB38" s="10"/>
      <c r="AC38" s="10">
        <v>3529000</v>
      </c>
      <c r="AD38" s="10"/>
      <c r="AE38" s="10"/>
      <c r="AF38" s="10"/>
      <c r="AG38" s="10">
        <v>30352000</v>
      </c>
      <c r="AH38" s="10">
        <v>10729000</v>
      </c>
      <c r="AI38" s="10"/>
      <c r="AJ38" s="10">
        <v>78068000</v>
      </c>
      <c r="AK38" s="10"/>
      <c r="AL38" s="10"/>
      <c r="AM38" s="10"/>
      <c r="AN38" s="10"/>
      <c r="AO38" s="10"/>
      <c r="AP38" s="10">
        <v>6635500</v>
      </c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9"/>
      <c r="BG38" s="9"/>
      <c r="BH38" s="9"/>
      <c r="BI38" s="9"/>
      <c r="BJ38" s="9">
        <f>SUM(M38,N38,Q38,R38,S38,T38,U38,V38,W38,X38,Y38,Z38,AA38,AB38,AC38,AD38,AE38,AF38,AG38,AH38,AI38,AJ38,AK38,AL38,AM38,AN38,AO38,AP38,AQ38,AR38,AS38,AT38,AU38,AV38,AW38,AX38,AY38,AZ38,BA38,BB38,BC38,BD38,BE38,BF38,BG38,BH38,BI38)</f>
      </c>
      <c r="BK38" s="9">
        <f>I38-BJ38</f>
      </c>
      <c r="BL38" s="9">
        <f>BK38-BM38-BN38-BO38-BP38</f>
      </c>
      <c r="BM38" s="9"/>
      <c r="BN38" s="9"/>
      <c r="BO38" s="9"/>
      <c r="BP38" s="9"/>
      <c r="BQ38" s="8"/>
      <c r="BR38" t="inlineStr" s="8">
        <is>
          <t>2022-12-28</t>
        </is>
      </c>
      <c r="BS38" t="inlineStr" s="8">
        <is>
          <t>2023-01-12</t>
        </is>
      </c>
      <c r="BT38" s="8"/>
      <c r="BU38" s="8"/>
      <c r="BV38" s="8"/>
      <c r="BW38" s="8"/>
      <c r="BX38" s="8"/>
      <c r="BY38" s="8"/>
      <c r="BZ38" s="8"/>
      <c r="CA38" s="9"/>
      <c r="CB38" s="9"/>
      <c r="CC38" t="inlineStr" s="8">
        <is>
          <t>3166325753</t>
        </is>
      </c>
      <c r="CD38" t="inlineStr" s="8">
        <is>
          <t>granger.tony.74606135@example.com</t>
        </is>
      </c>
      <c r="CE38" t="inlineStr" s="8">
        <is>
          <t>FINN CEL: 3166326260</t>
        </is>
      </c>
      <c r="CF38" t="inlineStr" s="8">
        <is>
          <t>NC4999 SEP.30/23 CESION DE DUSTIN KENT/WALTER GOODMAN A TONY GRANGER *ANTIC $25.000.000 *ARRAS $4'640</t>
        </is>
      </c>
    </row>
    <row r="39" ht="12.75" customHeight="1">
      <c r="A39" t="inlineStr" s="8">
        <is>
          <t>60007919093116</t>
        </is>
      </c>
      <c r="B39" s="8"/>
      <c r="C39" t="inlineStr" s="8">
        <is>
          <t>507</t>
        </is>
      </c>
      <c r="D39" s="9">
        <v>55.20</v>
      </c>
      <c r="E39" t="inlineStr" s="8">
        <is>
          <t>74607047</t>
        </is>
      </c>
      <c r="F39" t="inlineStr" s="8">
        <is>
          <t>SKYWALKER HOWARD</t>
        </is>
      </c>
      <c r="G39" s="8"/>
      <c r="H39" t="inlineStr" s="8">
        <is>
          <t>BANCO DE BOGOTA</t>
        </is>
      </c>
      <c r="I39" s="9">
        <v>192172500.00</v>
      </c>
      <c r="J39" t="inlineStr" s="8">
        <is>
          <t>NCR5013 - NCR5010 - NCR5016CR</t>
        </is>
      </c>
      <c r="K39" t="inlineStr" s="8">
        <is>
          <t>NCR5009 - NCR5008 - NCR5011 - NCR5012 - NCR5015 - NCR5014</t>
        </is>
      </c>
      <c r="L39" t="inlineStr" s="8">
        <is>
          <t>AGO.25/22F - ENE.24/23F - ABR.21/23F - JUN.1/23F - JUL.23/23 - JUL.27/23F - SEP.12/23 - FEB.1/24F</t>
        </is>
      </c>
      <c r="M39" s="9">
        <f>389000+3498000</f>
      </c>
      <c r="N39" s="9"/>
      <c r="O39" t="inlineStr" s="8">
        <is>
          <t>JUN.27/23</t>
        </is>
      </c>
      <c r="P39" s="8"/>
      <c r="Q39" s="10"/>
      <c r="R39" s="10"/>
      <c r="S39" s="10"/>
      <c r="T39" s="10"/>
      <c r="U39" s="10"/>
      <c r="V39" s="10"/>
      <c r="W39" s="10"/>
      <c r="X39" s="10">
        <v>680000</v>
      </c>
      <c r="Y39" s="10"/>
      <c r="Z39" s="10"/>
      <c r="AA39" s="10"/>
      <c r="AB39" s="10"/>
      <c r="AC39" s="10">
        <v>37411000</v>
      </c>
      <c r="AD39" s="10"/>
      <c r="AE39" s="10"/>
      <c r="AF39" s="10">
        <v>30998000</v>
      </c>
      <c r="AG39" s="10"/>
      <c r="AH39" s="10">
        <v>18171000</v>
      </c>
      <c r="AI39" s="10">
        <v>97500</v>
      </c>
      <c r="AJ39" s="10"/>
      <c r="AK39" s="10"/>
      <c r="AL39" s="10"/>
      <c r="AM39" s="10"/>
      <c r="AN39" s="10"/>
      <c r="AO39" s="10"/>
      <c r="AP39" s="10">
        <v>5928000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9">
        <v>95000000</v>
      </c>
      <c r="BG39" s="9"/>
      <c r="BH39" s="9"/>
      <c r="BI39" s="9"/>
      <c r="BJ39" s="9">
        <f>SUM(M39,N39,Q39,R39,S39,T39,U39,V39,W39,X39,Y39,Z39,AA39,AB39,AC39,AD39,AE39,AF39,AG39,AH39,AI39,AJ39,AK39,AL39,AM39,AN39,AO39,AP39,AQ39,AR39,AS39,AT39,AU39,AV39,AW39,AX39,AY39,AZ39,BA39,BB39,BC39,BD39,BE39,BF39,BG39,BH39,BI39)</f>
      </c>
      <c r="BK39" s="9">
        <f>I39-BJ39</f>
      </c>
      <c r="BL39" s="9">
        <f>BK39-BM39-BN39-BO39-BP39</f>
      </c>
      <c r="BM39" s="9"/>
      <c r="BN39" s="9"/>
      <c r="BO39" s="9"/>
      <c r="BP39" s="9"/>
      <c r="BQ39" s="8"/>
      <c r="BR39" t="inlineStr" s="8">
        <is>
          <t>2022-09-19</t>
        </is>
      </c>
      <c r="BS39" t="inlineStr" s="8">
        <is>
          <t>2022-12-08</t>
        </is>
      </c>
      <c r="BT39" s="8"/>
      <c r="BU39" s="8"/>
      <c r="BV39" s="8"/>
      <c r="BW39" s="8"/>
      <c r="BX39" s="8"/>
      <c r="BY39" s="8"/>
      <c r="BZ39" s="8"/>
      <c r="CA39" s="9"/>
      <c r="CB39" s="9"/>
      <c r="CC39" t="inlineStr" s="8">
        <is>
          <t>3166326896</t>
        </is>
      </c>
      <c r="CD39" t="inlineStr" s="8">
        <is>
          <t>skywalker.howard.74607047@example.com</t>
        </is>
      </c>
      <c r="CE39" t="inlineStr" s="8">
        <is>
          <t>MOUSE MINNIE CEL: 3166327012</t>
        </is>
      </c>
      <c r="CF39" s="8"/>
    </row>
    <row r="40" ht="12.75" customHeight="1">
      <c r="A40" t="inlineStr" s="8">
        <is>
          <t>60007919093145</t>
        </is>
      </c>
      <c r="B40" s="8"/>
      <c r="C40" t="inlineStr" s="8">
        <is>
          <t>601</t>
        </is>
      </c>
      <c r="D40" s="9">
        <v>55.20</v>
      </c>
      <c r="E40" t="inlineStr" s="8">
        <is>
          <t>74615014</t>
        </is>
      </c>
      <c r="F40" t="inlineStr" s="8">
        <is>
          <t>DECKER MAX</t>
        </is>
      </c>
      <c r="G40" s="8"/>
      <c r="H40" t="inlineStr" s="8">
        <is>
          <t>BANCO DE BOGOTA</t>
        </is>
      </c>
      <c r="I40" s="9">
        <v>192172500.00</v>
      </c>
      <c r="J40" t="inlineStr" s="8">
        <is>
          <t>NCR5021 - NCR5018 - NCR5019 - NCR5024 - NCR5020 - NCR5025CR</t>
        </is>
      </c>
      <c r="K40" t="inlineStr" s="8">
        <is>
          <t>NCR5023 - NCR5022</t>
        </is>
      </c>
      <c r="L40" t="inlineStr" s="8">
        <is>
          <t>FEB.26/23F - AGO.22/23F - NOV.10/23 - NOV.15/23 - NOV.19/23 - NOV.19/23 - NOV.24/23</t>
        </is>
      </c>
      <c r="M40" s="9">
        <f>699000+4325000+798000+2046000+2577000</f>
      </c>
      <c r="N40" s="9"/>
      <c r="O40" t="inlineStr" s="8">
        <is>
          <t>NOV.20/23</t>
        </is>
      </c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4591000</v>
      </c>
      <c r="AE40" s="10"/>
      <c r="AF40" s="10"/>
      <c r="AG40" s="10"/>
      <c r="AH40" s="10"/>
      <c r="AI40" s="10"/>
      <c r="AJ40" s="10">
        <v>1597000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9">
        <v>80000000</v>
      </c>
      <c r="BG40" s="9"/>
      <c r="BH40" s="9"/>
      <c r="BI40" s="9"/>
      <c r="BJ40" s="9">
        <f>SUM(M40,N40,Q40,R40,S40,T40,U40,V40,W40,X40,Y40,Z40,AA40,AB40,AC40,AD40,AE40,AF40,AG40,AH40,AI40,AJ40,AK40,AL40,AM40,AN40,AO40,AP40,AQ40,AR40,AS40,AT40,AU40,AV40,AW40,AX40,AY40,AZ40,BA40,BB40,BC40,BD40,BE40,BF40,BG40,BH40,BI40)</f>
      </c>
      <c r="BK40" s="9">
        <f>I40-BJ40</f>
      </c>
      <c r="BL40" s="9">
        <f>BK40-BM40-BN40-BO40-BP40</f>
      </c>
      <c r="BM40" s="9"/>
      <c r="BN40" s="9"/>
      <c r="BO40" s="9"/>
      <c r="BP40" s="9"/>
      <c r="BQ40" s="8"/>
      <c r="BR40" t="inlineStr" s="8">
        <is>
          <t>2023-06-05</t>
        </is>
      </c>
      <c r="BS40" t="inlineStr" s="8">
        <is>
          <t>2023-07-12</t>
        </is>
      </c>
      <c r="BT40" s="8"/>
      <c r="BU40" s="8"/>
      <c r="BV40" s="8"/>
      <c r="BW40" s="8"/>
      <c r="BX40" s="8"/>
      <c r="BY40" s="8"/>
      <c r="BZ40" s="8"/>
      <c r="CA40" s="9"/>
      <c r="CB40" s="9"/>
      <c r="CC40" t="inlineStr" s="8">
        <is>
          <t>3166327730</t>
        </is>
      </c>
      <c r="CD40" t="inlineStr" s="8">
        <is>
          <t>decker.max.74615014@example.com</t>
        </is>
      </c>
      <c r="CE40" t="inlineStr" s="8">
        <is>
          <t>JAKE CEL: 3166327950</t>
        </is>
      </c>
      <c r="CF40" s="8"/>
    </row>
    <row r="41" ht="12.75" customHeight="1">
      <c r="A41" t="inlineStr" s="8">
        <is>
          <t>60007919093195</t>
        </is>
      </c>
      <c r="B41" s="8"/>
      <c r="C41" t="inlineStr" s="8">
        <is>
          <t>602</t>
        </is>
      </c>
      <c r="D41" s="9">
        <v>55.20</v>
      </c>
      <c r="E41" t="inlineStr" s="8">
        <is>
          <t>74623533</t>
        </is>
      </c>
      <c r="F41" t="inlineStr" s="8">
        <is>
          <t>WHEELER LEGOLAS</t>
        </is>
      </c>
      <c r="G41" t="inlineStr" s="8">
        <is>
          <t>SKYWALKER MICHAEL</t>
        </is>
      </c>
      <c r="H41" t="inlineStr" s="8">
        <is>
          <t>BANCOLOMBIA</t>
        </is>
      </c>
      <c r="I41" s="9">
        <v>192172500.00</v>
      </c>
      <c r="J41" t="inlineStr" s="8">
        <is>
          <t>NC5026TRASLADO - NCR5027CR</t>
        </is>
      </c>
      <c r="K41" s="8"/>
      <c r="L41" t="inlineStr" s="8">
        <is>
          <t>(OCT.8/23TRASLADO)</t>
        </is>
      </c>
      <c r="M41" s="9"/>
      <c r="N41" s="9">
        <v>25000000</v>
      </c>
      <c r="O41" t="inlineStr" s="8">
        <is>
          <t>MAR.7/24</t>
        </is>
      </c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9">
        <v>10811000</v>
      </c>
      <c r="BG41" s="9"/>
      <c r="BH41" s="9"/>
      <c r="BI41" s="9"/>
      <c r="BJ41" s="9">
        <f>SUM(M41,N41,Q41,R41,S41,T41,U41,V41,W41,X41,Y41,Z41,AA41,AB41,AC41,AD41,AE41,AF41,AG41,AH41,AI41,AJ41,AK41,AL41,AM41,AN41,AO41,AP41,AQ41,AR41,AS41,AT41,AU41,AV41,AW41,AX41,AY41,AZ41,BA41,BB41,BC41,BD41,BE41,BF41,BG41,BH41,BI41)</f>
      </c>
      <c r="BK41" s="9">
        <f>I41-BJ41</f>
      </c>
      <c r="BL41" s="9">
        <f>BK41-BM41-BN41-BO41-BP41</f>
      </c>
      <c r="BM41" s="9"/>
      <c r="BN41" s="9"/>
      <c r="BO41" s="9"/>
      <c r="BP41" s="9"/>
      <c r="BQ41" s="8"/>
      <c r="BR41" t="inlineStr" s="8">
        <is>
          <t>2023-05-24</t>
        </is>
      </c>
      <c r="BS41" t="inlineStr" s="8">
        <is>
          <t>2023-09-13</t>
        </is>
      </c>
      <c r="BT41" s="8"/>
      <c r="BU41" s="8"/>
      <c r="BV41" s="8"/>
      <c r="BW41" s="8"/>
      <c r="BX41" s="8"/>
      <c r="BY41" s="8"/>
      <c r="BZ41" s="8"/>
      <c r="CA41" s="9"/>
      <c r="CB41" s="9"/>
      <c r="CC41" t="inlineStr" s="8">
        <is>
          <t>3166329087</t>
        </is>
      </c>
      <c r="CD41" t="inlineStr" s="8">
        <is>
          <t>wheeler.legolas.74623533@example.com</t>
        </is>
      </c>
      <c r="CE41" t="inlineStr" s="8">
        <is>
          <t>MOUSE MICKEY CEL: 3166329666</t>
        </is>
      </c>
      <c r="CF41" s="8"/>
    </row>
    <row r="42" ht="12.75" customHeight="1">
      <c r="A42" t="inlineStr" s="8">
        <is>
          <t>60007919093374</t>
        </is>
      </c>
      <c r="B42" s="8"/>
      <c r="C42" t="inlineStr" s="8">
        <is>
          <t>603</t>
        </is>
      </c>
      <c r="D42" s="9">
        <v>55.20</v>
      </c>
      <c r="E42" t="inlineStr" s="8">
        <is>
          <t>74637343</t>
        </is>
      </c>
      <c r="F42" t="inlineStr" s="8">
        <is>
          <t>PRINCE PHOEBE</t>
        </is>
      </c>
      <c r="G42" t="inlineStr" s="8">
        <is>
          <t>HOPPER HOMER</t>
        </is>
      </c>
      <c r="H42" s="8"/>
      <c r="I42" s="9">
        <v>192172500.00</v>
      </c>
      <c r="J42" t="inlineStr" s="8">
        <is>
          <t>NCR5036 - NCR5034 - NCR5032 - NCR5029 - NCR5037</t>
        </is>
      </c>
      <c r="K42" t="inlineStr" s="8">
        <is>
          <t>NCR5035 - NCR5033 - NCR5028 - NCR5031 - NCR5030</t>
        </is>
      </c>
      <c r="L42" t="inlineStr" s="8">
        <is>
          <t>OCT.2/23 - OCT.8/23 - OCT.27/23 - ABR.24/24F - SEP.22/24F - DIC.1/24 - DIC.3/24F - DIC.6/24 - DIC.16/24F - DIC.24/24F</t>
        </is>
      </c>
      <c r="M42" s="9">
        <f>859000+1575000+34517000+2436000+286000</f>
      </c>
      <c r="N42" s="9"/>
      <c r="O42" s="8"/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>
        <v>1003000</v>
      </c>
      <c r="AS42" s="10"/>
      <c r="AT42" s="10"/>
      <c r="AU42" s="10"/>
      <c r="AV42" s="10"/>
      <c r="AW42" s="10">
        <v>15468000</v>
      </c>
      <c r="AX42" s="10"/>
      <c r="AY42" s="10"/>
      <c r="AZ42" s="10">
        <f>18906000+22773000+45403000</f>
      </c>
      <c r="BA42" s="10"/>
      <c r="BB42" s="10"/>
      <c r="BC42" s="10"/>
      <c r="BD42" s="10"/>
      <c r="BE42" s="10"/>
      <c r="BF42" s="9"/>
      <c r="BG42" s="9"/>
      <c r="BH42" s="9"/>
      <c r="BI42" s="9"/>
      <c r="BJ42" s="9">
        <f>SUM(M42,N42,Q42,R42,S42,T42,U42,V42,W42,X42,Y42,Z42,AA42,AB42,AC42,AD42,AE42,AF42,AG42,AH42,AI42,AJ42,AK42,AL42,AM42,AN42,AO42,AP42,AQ42,AR42,AS42,AT42,AU42,AV42,AW42,AX42,AY42,AZ42,BA42,BB42,BC42,BD42,BE42,BF42,BG42,BH42,BI42)</f>
      </c>
      <c r="BK42" s="9">
        <f>I42-BJ42</f>
      </c>
      <c r="BL42" s="9">
        <f>BK42-BM42-BN42-BO42-BP42</f>
      </c>
      <c r="BM42" s="9"/>
      <c r="BN42" s="9"/>
      <c r="BO42" s="9"/>
      <c r="BP42" s="9"/>
      <c r="BQ42" s="8"/>
      <c r="BR42" t="inlineStr" s="8">
        <is>
          <t>2023-11-25</t>
        </is>
      </c>
      <c r="BS42" t="inlineStr" s="8">
        <is>
          <t>2024-01-04</t>
        </is>
      </c>
      <c r="BT42" s="8"/>
      <c r="BU42" s="8"/>
      <c r="BV42" s="8"/>
      <c r="BW42" s="8"/>
      <c r="BX42" s="8"/>
      <c r="BY42" s="8"/>
      <c r="BZ42" s="8"/>
      <c r="CA42" s="9"/>
      <c r="CB42" s="9"/>
      <c r="CC42" t="inlineStr" s="8">
        <is>
          <t>3166329706</t>
        </is>
      </c>
      <c r="CD42" t="inlineStr" s="8">
        <is>
          <t>prince.phoebe.74637343@example.com</t>
        </is>
      </c>
      <c r="CE42" t="inlineStr" s="8">
        <is>
          <t>FINN CEL: 3166330317</t>
        </is>
      </c>
      <c r="CF42" s="8"/>
    </row>
    <row r="43" ht="12.75" customHeight="1">
      <c r="A43" t="inlineStr" s="8">
        <is>
          <t>60007919093485</t>
        </is>
      </c>
      <c r="B43" s="8"/>
      <c r="C43" t="inlineStr" s="8">
        <is>
          <t>604</t>
        </is>
      </c>
      <c r="D43" s="9">
        <v>55.20</v>
      </c>
      <c r="E43" t="inlineStr" s="8">
        <is>
          <t>74646660</t>
        </is>
      </c>
      <c r="F43" t="inlineStr" s="8">
        <is>
          <t>BROWN HERMIONE</t>
        </is>
      </c>
      <c r="G43" s="8"/>
      <c r="H43" t="inlineStr" s="8">
        <is>
          <t>BANCO DAVIVIENDA</t>
        </is>
      </c>
      <c r="I43" s="9">
        <v>192172500.00</v>
      </c>
      <c r="J43" t="inlineStr" s="8">
        <is>
          <t>NCR5039CR</t>
        </is>
      </c>
      <c r="K43" s="8"/>
      <c r="L43" s="8"/>
      <c r="M43" s="9"/>
      <c r="N43" s="9"/>
      <c r="O43" t="inlineStr" s="8">
        <is>
          <t>OCT.20/22</t>
        </is>
      </c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9">
        <v>2812000</v>
      </c>
      <c r="BG43" s="9"/>
      <c r="BH43" s="9"/>
      <c r="BI43" s="9"/>
      <c r="BJ43" s="9">
        <f>SUM(M43,N43,Q43,R43,S43,T43,U43,V43,W43,X43,Y43,Z43,AA43,AB43,AC43,AD43,AE43,AF43,AG43,AH43,AI43,AJ43,AK43,AL43,AM43,AN43,AO43,AP43,AQ43,AR43,AS43,AT43,AU43,AV43,AW43,AX43,AY43,AZ43,BA43,BB43,BC43,BD43,BE43,BF43,BG43,BH43,BI43)</f>
      </c>
      <c r="BK43" s="9">
        <f>I43-BJ43</f>
      </c>
      <c r="BL43" s="9">
        <f>BK43-BM43-BN43-BO43-BP43</f>
      </c>
      <c r="BM43" s="9"/>
      <c r="BN43" s="9"/>
      <c r="BO43" s="9"/>
      <c r="BP43" s="9"/>
      <c r="BQ43" s="8"/>
      <c r="BR43" t="inlineStr" s="8">
        <is>
          <t>2022-04-30</t>
        </is>
      </c>
      <c r="BS43" t="inlineStr" s="8">
        <is>
          <t>2022-08-23</t>
        </is>
      </c>
      <c r="BT43" s="8"/>
      <c r="BU43" s="8"/>
      <c r="BV43" s="8"/>
      <c r="BW43" s="8"/>
      <c r="BX43" s="8"/>
      <c r="BY43" s="8"/>
      <c r="BZ43" s="8"/>
      <c r="CA43" s="9"/>
      <c r="CB43" s="9"/>
      <c r="CC43" t="inlineStr" s="8">
        <is>
          <t>3166330972</t>
        </is>
      </c>
      <c r="CD43" t="inlineStr" s="8">
        <is>
          <t>brown.hermione.74646660@example.com</t>
        </is>
      </c>
      <c r="CE43" t="inlineStr" s="8">
        <is>
          <t>MOUSE MINNIE CEL: 3166331996</t>
        </is>
      </c>
      <c r="CF43" s="8"/>
    </row>
    <row r="44" ht="12.75" customHeight="1">
      <c r="A44" t="inlineStr" s="8">
        <is>
          <t>60007919093651</t>
        </is>
      </c>
      <c r="B44" s="8"/>
      <c r="C44" t="inlineStr" s="8">
        <is>
          <t>605</t>
        </is>
      </c>
      <c r="D44" s="9">
        <v>55.20</v>
      </c>
      <c r="E44" t="inlineStr" s="8">
        <is>
          <t>74649687</t>
        </is>
      </c>
      <c r="F44" t="inlineStr" s="8">
        <is>
          <t>SOLO SANDY</t>
        </is>
      </c>
      <c r="G44" s="8"/>
      <c r="H44" t="inlineStr" s="8">
        <is>
          <t>BANCO DE OCCIDENTE</t>
        </is>
      </c>
      <c r="I44" s="9">
        <v>192172500.00</v>
      </c>
      <c r="J44" t="inlineStr" s="8">
        <is>
          <t>NCR5043 - NCR5046 - NCR5045 - NCR5049CR</t>
        </is>
      </c>
      <c r="K44" t="inlineStr" s="8">
        <is>
          <t>NCR5048 - NCR5042 - NCR5044 - NCR5047 - NCR5041</t>
        </is>
      </c>
      <c r="L44" t="inlineStr" s="8">
        <is>
          <t>ABR.14/23F - JUN.7/23 - JUN.9/23F - JUL.1/23 - JUL.18/23F - OCT.14/23 - NOV.13/23F - DIC.6/23F</t>
        </is>
      </c>
      <c r="M44" s="9">
        <f>496000+195000+4023000</f>
      </c>
      <c r="N44" s="9"/>
      <c r="O44" t="inlineStr" s="8">
        <is>
          <t>JUL.27/23</t>
        </is>
      </c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4556000</v>
      </c>
      <c r="AG44" s="10"/>
      <c r="AH44" s="10">
        <v>1205000</v>
      </c>
      <c r="AI44" s="10">
        <v>2357000</v>
      </c>
      <c r="AJ44" s="10"/>
      <c r="AK44" s="10"/>
      <c r="AL44" s="10"/>
      <c r="AM44" s="10">
        <v>443000</v>
      </c>
      <c r="AN44" s="10">
        <v>4448000</v>
      </c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9">
        <v>80000000</v>
      </c>
      <c r="BG44" s="9"/>
      <c r="BH44" s="9"/>
      <c r="BI44" s="9"/>
      <c r="BJ44" s="9">
        <f>SUM(M44,N44,Q44,R44,S44,T44,U44,V44,W44,X44,Y44,Z44,AA44,AB44,AC44,AD44,AE44,AF44,AG44,AH44,AI44,AJ44,AK44,AL44,AM44,AN44,AO44,AP44,AQ44,AR44,AS44,AT44,AU44,AV44,AW44,AX44,AY44,AZ44,BA44,BB44,BC44,BD44,BE44,BF44,BG44,BH44,BI44)</f>
      </c>
      <c r="BK44" s="9">
        <f>I44-BJ44</f>
      </c>
      <c r="BL44" s="9">
        <f>BK44-BM44-BN44-BO44-BP44</f>
      </c>
      <c r="BM44" s="9"/>
      <c r="BN44" s="9"/>
      <c r="BO44" s="9"/>
      <c r="BP44" s="9"/>
      <c r="BQ44" s="8"/>
      <c r="BR44" t="inlineStr" s="8">
        <is>
          <t>2022-12-07</t>
        </is>
      </c>
      <c r="BS44" t="inlineStr" s="8">
        <is>
          <t>2022-12-21</t>
        </is>
      </c>
      <c r="BT44" s="8"/>
      <c r="BU44" s="8"/>
      <c r="BV44" s="8"/>
      <c r="BW44" s="8"/>
      <c r="BX44" s="8"/>
      <c r="BY44" s="8"/>
      <c r="BZ44" s="8"/>
      <c r="CA44" s="9"/>
      <c r="CB44" s="9"/>
      <c r="CC44" t="inlineStr" s="8">
        <is>
          <t>3166332502</t>
        </is>
      </c>
      <c r="CD44" t="inlineStr" s="8">
        <is>
          <t>solo.sandy.74649687@example.com</t>
        </is>
      </c>
      <c r="CE44" t="inlineStr" s="8">
        <is>
          <t>MOUSE MICKEY CEL: 3166332646</t>
        </is>
      </c>
      <c r="CF44" s="8"/>
    </row>
    <row r="45" ht="12.75" customHeight="1">
      <c r="A45" s="8"/>
      <c r="B45" s="8"/>
      <c r="C45" t="inlineStr" s="8">
        <is>
          <t>606</t>
        </is>
      </c>
      <c r="D45" s="9">
        <v>55.20</v>
      </c>
      <c r="E45" s="8"/>
      <c r="F45" s="8"/>
      <c r="G45" s="8"/>
      <c r="H45" t="inlineStr" s="8">
        <is>
          <t>BANCO CAJA SOCIAL</t>
        </is>
      </c>
      <c r="I45" s="9">
        <v>192172500.00</v>
      </c>
      <c r="J45" s="8"/>
      <c r="K45" s="8"/>
      <c r="L45" s="8"/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9"/>
      <c r="CB45" s="9"/>
      <c r="CC45" s="8"/>
      <c r="CD45" s="8"/>
      <c r="CE45" s="8"/>
      <c r="CF45" s="8"/>
    </row>
    <row r="46" ht="12.75" customHeight="1">
      <c r="A46" t="inlineStr" s="8">
        <is>
          <t>60007919093937</t>
        </is>
      </c>
      <c r="B46" s="8"/>
      <c r="C46" t="inlineStr" s="8">
        <is>
          <t>607</t>
        </is>
      </c>
      <c r="D46" s="9">
        <v>55.20</v>
      </c>
      <c r="E46" t="inlineStr" s="8">
        <is>
          <t>74665171</t>
        </is>
      </c>
      <c r="F46" t="inlineStr" s="8">
        <is>
          <t>GREENLEAF DRACO</t>
        </is>
      </c>
      <c r="G46" s="8"/>
      <c r="H46" t="inlineStr" s="8">
        <is>
          <t>BANCOLOMBIA</t>
        </is>
      </c>
      <c r="I46" s="9">
        <v>192172500.00</v>
      </c>
      <c r="J46" t="inlineStr" s="8">
        <is>
          <t>NCR5062 - NCR5069 - NCR5068 - NCR5070CR</t>
        </is>
      </c>
      <c r="K46" t="inlineStr" s="8">
        <is>
          <t>NCR5061 - NCR5064 - NCR5066 - NCR5063 - NCR5065 - NCR5067 - NCR5060</t>
        </is>
      </c>
      <c r="L46" t="inlineStr" s="8">
        <is>
          <t>AGO.18/22F - ABR.6/23F - AGO.18/23 - AGO.26/23F - SEP.4/23 - SEP.20/23F - SEP.21/23F - SEP.21/23 - ENE.24/24F - MAR.6/24F</t>
        </is>
      </c>
      <c r="M46" s="9">
        <f>12432000+2143000+15326000</f>
      </c>
      <c r="N46" s="9"/>
      <c r="O46" t="inlineStr" s="8">
        <is>
          <t>OCT.23/23</t>
        </is>
      </c>
      <c r="P46" s="8"/>
      <c r="Q46" s="10"/>
      <c r="R46" s="10"/>
      <c r="S46" s="10"/>
      <c r="T46" s="10"/>
      <c r="U46" s="10"/>
      <c r="V46" s="10"/>
      <c r="W46" s="10"/>
      <c r="X46" s="10">
        <v>857000</v>
      </c>
      <c r="Y46" s="10"/>
      <c r="Z46" s="10"/>
      <c r="AA46" s="10"/>
      <c r="AB46" s="10"/>
      <c r="AC46" s="10"/>
      <c r="AD46" s="10"/>
      <c r="AE46" s="10"/>
      <c r="AF46" s="10">
        <v>1072000</v>
      </c>
      <c r="AG46" s="10"/>
      <c r="AH46" s="10"/>
      <c r="AI46" s="10"/>
      <c r="AJ46" s="10">
        <v>13289000</v>
      </c>
      <c r="AK46" s="10">
        <f>21756500+16719000</f>
      </c>
      <c r="AL46" s="10"/>
      <c r="AM46" s="10"/>
      <c r="AN46" s="10"/>
      <c r="AO46" s="10">
        <v>4180000</v>
      </c>
      <c r="AP46" s="10"/>
      <c r="AQ46" s="10">
        <v>19398000</v>
      </c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9">
        <v>65000000</v>
      </c>
      <c r="BG46" s="9"/>
      <c r="BH46" s="9"/>
      <c r="BI46" s="9"/>
      <c r="BJ46" s="9">
        <f>SUM(M46,N46,Q46,R46,S46,T46,U46,V46,W46,X46,Y46,Z46,AA46,AB46,AC46,AD46,AE46,AF46,AG46,AH46,AI46,AJ46,AK46,AL46,AM46,AN46,AO46,AP46,AQ46,AR46,AS46,AT46,AU46,AV46,AW46,AX46,AY46,AZ46,BA46,BB46,BC46,BD46,BE46,BF46,BG46,BH46,BI46)</f>
      </c>
      <c r="BK46" s="9">
        <f>I46-BJ46</f>
      </c>
      <c r="BL46" s="9">
        <f>BK46-BM46-BN46-BO46-BP46</f>
      </c>
      <c r="BM46" s="9"/>
      <c r="BN46" s="9"/>
      <c r="BO46" s="9"/>
      <c r="BP46" s="9"/>
      <c r="BQ46" s="8"/>
      <c r="BR46" t="inlineStr" s="8">
        <is>
          <t>2022-10-03</t>
        </is>
      </c>
      <c r="BS46" t="inlineStr" s="8">
        <is>
          <t>2022-10-30</t>
        </is>
      </c>
      <c r="BT46" s="8"/>
      <c r="BU46" s="8"/>
      <c r="BV46" s="8"/>
      <c r="BW46" s="8"/>
      <c r="BX46" s="8"/>
      <c r="BY46" s="8"/>
      <c r="BZ46" s="8"/>
      <c r="CA46" s="9"/>
      <c r="CB46" s="9"/>
      <c r="CC46" t="inlineStr" s="8">
        <is>
          <t>3166334649</t>
        </is>
      </c>
      <c r="CD46" t="inlineStr" s="8">
        <is>
          <t>greenleaf.draco.74665171@example.com</t>
        </is>
      </c>
      <c r="CE46" t="inlineStr" s="8">
        <is>
          <t>PANTHER PINK CEL: 3166335257</t>
        </is>
      </c>
      <c r="CF46" s="8"/>
    </row>
    <row r="47" ht="12.75" customHeight="1">
      <c r="A47" t="inlineStr" s="8">
        <is>
          <t>60007919094001</t>
        </is>
      </c>
      <c r="B47" s="8"/>
      <c r="C47" t="inlineStr" s="8">
        <is>
          <t>701</t>
        </is>
      </c>
      <c r="D47" s="9">
        <v>55.20</v>
      </c>
      <c r="E47" t="inlineStr" s="8">
        <is>
          <t>74671987</t>
        </is>
      </c>
      <c r="F47" t="inlineStr" s="8">
        <is>
          <t>SKYWALKER OBI WAN</t>
        </is>
      </c>
      <c r="G47" s="8"/>
      <c r="H47" t="inlineStr" s="8">
        <is>
          <t>BANCO DAVIVIENDA</t>
        </is>
      </c>
      <c r="I47" s="9">
        <v>192172500.00</v>
      </c>
      <c r="J47" t="inlineStr" s="8">
        <is>
          <t>NCR5075 - NCR5077 - NCR5078 - NCR5074 - NCR5081 - NCR5084CR</t>
        </is>
      </c>
      <c r="K47" t="inlineStr" s="8">
        <is>
          <t>NCR5079 - NCR5080 - NCR5076 - NCR5082 - NCR5083 - NCR5073</t>
        </is>
      </c>
      <c r="L47" t="inlineStr" s="8">
        <is>
          <t>JUL.10/23 - JUL.12/23 - JUL.14/23F - SEP.27/23 - SEP.28/23 - OCT.11/23F - DIC.8/23F - DIC.14/23F - ENE.5/24F - DIC.1/24 - MAY.17/25F</t>
        </is>
      </c>
      <c r="M47" s="9">
        <f>2915000+16228000+6413000+13507000+7094000</f>
      </c>
      <c r="N47" s="9"/>
      <c r="O47" t="inlineStr" s="8">
        <is>
          <t>FEB.22/25</t>
        </is>
      </c>
      <c r="P47" s="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>
        <v>6996000</v>
      </c>
      <c r="AJ47" s="10"/>
      <c r="AK47" s="10"/>
      <c r="AL47" s="10">
        <v>14284000</v>
      </c>
      <c r="AM47" s="10"/>
      <c r="AN47" s="10">
        <f>10689000+1652000</f>
      </c>
      <c r="AO47" s="10">
        <v>2235500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>
        <v>15159000</v>
      </c>
      <c r="BD47" s="10"/>
      <c r="BE47" s="10"/>
      <c r="BF47" s="9">
        <v>65000000</v>
      </c>
      <c r="BG47" s="9"/>
      <c r="BH47" s="9"/>
      <c r="BI47" s="9"/>
      <c r="BJ47" s="9">
        <f>SUM(M47,N47,Q47,R47,S47,T47,U47,V47,W47,X47,Y47,Z47,AA47,AB47,AC47,AD47,AE47,AF47,AG47,AH47,AI47,AJ47,AK47,AL47,AM47,AN47,AO47,AP47,AQ47,AR47,AS47,AT47,AU47,AV47,AW47,AX47,AY47,AZ47,BA47,BB47,BC47,BD47,BE47,BF47,BG47,BH47,BI47)</f>
      </c>
      <c r="BK47" s="9">
        <f>I47-BJ47</f>
      </c>
      <c r="BL47" s="9">
        <f>BK47-BM47-BN47-BO47-BP47</f>
      </c>
      <c r="BM47" s="9"/>
      <c r="BN47" s="9"/>
      <c r="BO47" s="9"/>
      <c r="BP47" s="9"/>
      <c r="BQ47" s="8"/>
      <c r="BR47" t="inlineStr" s="8">
        <is>
          <t>2023-10-23</t>
        </is>
      </c>
      <c r="BS47" t="inlineStr" s="8">
        <is>
          <t>2024-01-20</t>
        </is>
      </c>
      <c r="BT47" s="8"/>
      <c r="BU47" s="8"/>
      <c r="BV47" s="8"/>
      <c r="BW47" s="8"/>
      <c r="BX47" s="8"/>
      <c r="BY47" s="8"/>
      <c r="BZ47" s="8"/>
      <c r="CA47" s="9"/>
      <c r="CB47" s="9"/>
      <c r="CC47" t="inlineStr" s="8">
        <is>
          <t>3166335704</t>
        </is>
      </c>
      <c r="CD47" t="inlineStr" s="8">
        <is>
          <t>skywalker.obi.wan.74671987@example.com</t>
        </is>
      </c>
      <c r="CE47" t="inlineStr" s="8">
        <is>
          <t>MOUSE MICKEY CEL: 3166336177</t>
        </is>
      </c>
      <c r="CF47" s="8"/>
    </row>
    <row r="48" ht="12.75" customHeight="1">
      <c r="A48" t="inlineStr" s="8">
        <is>
          <t>60007919094072</t>
        </is>
      </c>
      <c r="B48" s="8"/>
      <c r="C48" t="inlineStr" s="8">
        <is>
          <t>702</t>
        </is>
      </c>
      <c r="D48" s="9">
        <v>55.20</v>
      </c>
      <c r="E48" t="inlineStr" s="8">
        <is>
          <t>74674977</t>
        </is>
      </c>
      <c r="F48" t="inlineStr" s="8">
        <is>
          <t>POTTER DWIGHT</t>
        </is>
      </c>
      <c r="G48" t="inlineStr" s="8">
        <is>
          <t>SINCLAIR JOHN</t>
        </is>
      </c>
      <c r="H48" s="8"/>
      <c r="I48" s="9">
        <v>192172500.00</v>
      </c>
      <c r="J48" t="inlineStr" s="8">
        <is>
          <t>NCR5092 - NCR5089</t>
        </is>
      </c>
      <c r="K48" t="inlineStr" s="8">
        <is>
          <t>NCR5086 - NCR5088 - NCR5087 - NCR5090 - NCR5093 - NCR5091</t>
        </is>
      </c>
      <c r="L48" t="inlineStr" s="8">
        <is>
          <t>MAY.19/22F - SEP.23/22F - OCT.23/22F - NOV.10/22F - ABR.16/23F - MAY.1/23F - JUN.13/23 - JUN.25/23</t>
        </is>
      </c>
      <c r="M48" s="9">
        <f>1293000+185000</f>
      </c>
      <c r="N48" s="9"/>
      <c r="O48" s="8"/>
      <c r="P48" s="8"/>
      <c r="Q48" s="10"/>
      <c r="R48" s="10"/>
      <c r="S48" s="10"/>
      <c r="T48" s="10"/>
      <c r="U48" s="10">
        <v>12927000</v>
      </c>
      <c r="V48" s="10"/>
      <c r="W48" s="10"/>
      <c r="X48" s="10"/>
      <c r="Y48" s="10">
        <v>12373000</v>
      </c>
      <c r="Z48" s="10">
        <v>21052000</v>
      </c>
      <c r="AA48" s="10">
        <v>9910000</v>
      </c>
      <c r="AB48" s="10"/>
      <c r="AC48" s="10"/>
      <c r="AD48" s="10"/>
      <c r="AE48" s="10"/>
      <c r="AF48" s="10">
        <v>3507000</v>
      </c>
      <c r="AG48" s="10">
        <v>308000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9"/>
      <c r="BG48" s="9"/>
      <c r="BH48" s="9"/>
      <c r="BI48" s="9"/>
      <c r="BJ48" s="9">
        <f>SUM(M48,N48,Q48,R48,S48,T48,U48,V48,W48,X48,Y48,Z48,AA48,AB48,AC48,AD48,AE48,AF48,AG48,AH48,AI48,AJ48,AK48,AL48,AM48,AN48,AO48,AP48,AQ48,AR48,AS48,AT48,AU48,AV48,AW48,AX48,AY48,AZ48,BA48,BB48,BC48,BD48,BE48,BF48,BG48,BH48,BI48)</f>
      </c>
      <c r="BK48" s="9">
        <f>I48-BJ48</f>
      </c>
      <c r="BL48" s="9">
        <f>BK48-BM48-BN48-BO48-BP48</f>
      </c>
      <c r="BM48" s="9"/>
      <c r="BN48" s="9"/>
      <c r="BO48" s="9"/>
      <c r="BP48" s="9"/>
      <c r="BQ48" s="8"/>
      <c r="BR48" t="inlineStr" s="8">
        <is>
          <t>2022-06-11</t>
        </is>
      </c>
      <c r="BS48" t="inlineStr" s="8">
        <is>
          <t>2022-08-01</t>
        </is>
      </c>
      <c r="BT48" s="8"/>
      <c r="BU48" s="8"/>
      <c r="BV48" s="8"/>
      <c r="BW48" s="8"/>
      <c r="BX48" s="8"/>
      <c r="BY48" s="8"/>
      <c r="BZ48" s="8"/>
      <c r="CA48" s="9"/>
      <c r="CB48" s="9"/>
      <c r="CC48" t="inlineStr" s="8">
        <is>
          <t>3166336968</t>
        </is>
      </c>
      <c r="CD48" t="inlineStr" s="8">
        <is>
          <t>potter.dwight.74674977@example.com</t>
        </is>
      </c>
      <c r="CE48" t="inlineStr" s="8">
        <is>
          <t>BUNNY BUGS CEL: 3166338136</t>
        </is>
      </c>
      <c r="CF48" s="8"/>
    </row>
    <row r="49" ht="12.75" customHeight="1">
      <c r="A49" t="inlineStr" s="8">
        <is>
          <t>60007919094138</t>
        </is>
      </c>
      <c r="B49" s="8"/>
      <c r="C49" t="inlineStr" s="8">
        <is>
          <t>703</t>
        </is>
      </c>
      <c r="D49" s="9">
        <v>55.20</v>
      </c>
      <c r="E49" t="inlineStr" s="8">
        <is>
          <t>74681735</t>
        </is>
      </c>
      <c r="F49" t="inlineStr" s="8">
        <is>
          <t>GRANGER LUKE</t>
        </is>
      </c>
      <c r="G49" s="8"/>
      <c r="H49" s="8"/>
      <c r="I49" s="9">
        <v>192172500.00</v>
      </c>
      <c r="J49" t="inlineStr" s="8">
        <is>
          <t>NCR5101 - NCR5104</t>
        </is>
      </c>
      <c r="K49" t="inlineStr" s="8">
        <is>
          <t>NCR5095 - NCR5096 - NCR5097 - NCR5102 - NCR5103 - NCR5099 - NCR5105 - NCR5098 - NCR5100</t>
        </is>
      </c>
      <c r="L49" t="inlineStr" s="8">
        <is>
          <t>FEB.4/24F - FEB.15/24F - ABR.4/24F - JUL.15/24F - AGO.14/24F - DIC.19/24 - DIC.28/24 - ENE.11/25F - ENE.25/25F - FEB.5/25F - DIC.3/25F</t>
        </is>
      </c>
      <c r="M49" s="9">
        <f>5515000+4230000</f>
      </c>
      <c r="N49" s="9"/>
      <c r="O49" s="8"/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>
        <f>793000+2115000</f>
      </c>
      <c r="AQ49" s="10"/>
      <c r="AR49" s="10">
        <v>378000</v>
      </c>
      <c r="AS49" s="10"/>
      <c r="AT49" s="10"/>
      <c r="AU49" s="10">
        <v>453000</v>
      </c>
      <c r="AV49" s="10">
        <v>3437000</v>
      </c>
      <c r="AW49" s="10"/>
      <c r="AX49" s="10"/>
      <c r="AY49" s="10"/>
      <c r="AZ49" s="10"/>
      <c r="BA49" s="10">
        <f>604000+11484000</f>
      </c>
      <c r="BB49" s="10">
        <v>7970000</v>
      </c>
      <c r="BC49" s="10"/>
      <c r="BD49" s="10"/>
      <c r="BE49" s="10">
        <v>793000</v>
      </c>
      <c r="BF49" s="9"/>
      <c r="BG49" s="9"/>
      <c r="BH49" s="9"/>
      <c r="BI49" s="9"/>
      <c r="BJ49" s="9">
        <f>SUM(M49,N49,Q49,R49,S49,T49,U49,V49,W49,X49,Y49,Z49,AA49,AB49,AC49,AD49,AE49,AF49,AG49,AH49,AI49,AJ49,AK49,AL49,AM49,AN49,AO49,AP49,AQ49,AR49,AS49,AT49,AU49,AV49,AW49,AX49,AY49,AZ49,BA49,BB49,BC49,BD49,BE49,BF49,BG49,BH49,BI49)</f>
      </c>
      <c r="BK49" s="9">
        <f>I49-BJ49</f>
      </c>
      <c r="BL49" s="9">
        <f>BK49-BM49-BN49-BO49-BP49</f>
      </c>
      <c r="BM49" s="9"/>
      <c r="BN49" s="9"/>
      <c r="BO49" s="9"/>
      <c r="BP49" s="9"/>
      <c r="BQ49" s="8"/>
      <c r="BR49" t="inlineStr" s="8">
        <is>
          <t>2024-03-18</t>
        </is>
      </c>
      <c r="BS49" t="inlineStr" s="8">
        <is>
          <t>2024-07-14</t>
        </is>
      </c>
      <c r="BT49" s="8"/>
      <c r="BU49" s="8"/>
      <c r="BV49" s="8"/>
      <c r="BW49" s="8"/>
      <c r="BX49" s="8"/>
      <c r="BY49" s="8"/>
      <c r="BZ49" s="8"/>
      <c r="CA49" s="9"/>
      <c r="CB49" s="9"/>
      <c r="CC49" t="inlineStr" s="8">
        <is>
          <t>3166338907</t>
        </is>
      </c>
      <c r="CD49" t="inlineStr" s="8">
        <is>
          <t>granger.luke.74681735@example.com</t>
        </is>
      </c>
      <c r="CE49" t="inlineStr" s="8">
        <is>
          <t>DUCK DAFFY CEL: 3166339003</t>
        </is>
      </c>
      <c r="CF49" s="8"/>
    </row>
    <row r="50" ht="12.75" customHeight="1">
      <c r="A50" t="inlineStr" s="8">
        <is>
          <t>60007919094177</t>
        </is>
      </c>
      <c r="B50" s="8"/>
      <c r="C50" t="inlineStr" s="8">
        <is>
          <t>704</t>
        </is>
      </c>
      <c r="D50" s="9">
        <v>55.20</v>
      </c>
      <c r="E50" t="inlineStr" s="8">
        <is>
          <t>74689975</t>
        </is>
      </c>
      <c r="F50" t="inlineStr" s="8">
        <is>
          <t>COOPER CLARK</t>
        </is>
      </c>
      <c r="G50" t="inlineStr" s="8">
        <is>
          <t>GAMGEE ROSS</t>
        </is>
      </c>
      <c r="H50" t="inlineStr" s="8">
        <is>
          <t>BANCOLOMBIA</t>
        </is>
      </c>
      <c r="I50" s="9">
        <v>192172500.00</v>
      </c>
      <c r="J50" t="inlineStr" s="8">
        <is>
          <t>NCR5109 - NCR5110 - NCR5107 - NCR5108 - NCR5113CR</t>
        </is>
      </c>
      <c r="K50" t="inlineStr" s="8">
        <is>
          <t>NCR5111 - NCR5112</t>
        </is>
      </c>
      <c r="L50" t="inlineStr" s="8">
        <is>
          <t>DIC.13/23 - DIC.16/23 - DIC.17/23 - DIC.28/23 - JUN.18/24F - OCT.24/24F</t>
        </is>
      </c>
      <c r="M50" s="9">
        <f>7122000+25053000+24926000+22891000</f>
      </c>
      <c r="N50" s="9"/>
      <c r="O50" t="inlineStr" s="8">
        <is>
          <t>NOV.15/23</t>
        </is>
      </c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>
        <v>38025000</v>
      </c>
      <c r="AU50" s="10"/>
      <c r="AV50" s="10"/>
      <c r="AW50" s="10"/>
      <c r="AX50" s="10">
        <v>9155500</v>
      </c>
      <c r="AY50" s="10"/>
      <c r="AZ50" s="10"/>
      <c r="BA50" s="10"/>
      <c r="BB50" s="10"/>
      <c r="BC50" s="10"/>
      <c r="BD50" s="10"/>
      <c r="BE50" s="10"/>
      <c r="BF50" s="9">
        <v>65000000</v>
      </c>
      <c r="BG50" s="9"/>
      <c r="BH50" s="9"/>
      <c r="BI50" s="9"/>
      <c r="BJ50" s="9">
        <f>SUM(M50,N50,Q50,R50,S50,T50,U50,V50,W50,X50,Y50,Z50,AA50,AB50,AC50,AD50,AE50,AF50,AG50,AH50,AI50,AJ50,AK50,AL50,AM50,AN50,AO50,AP50,AQ50,AR50,AS50,AT50,AU50,AV50,AW50,AX50,AY50,AZ50,BA50,BB50,BC50,BD50,BE50,BF50,BG50,BH50,BI50)</f>
      </c>
      <c r="BK50" s="9">
        <f>I50-BJ50</f>
      </c>
      <c r="BL50" s="9">
        <f>BK50-BM50-BN50-BO50-BP50</f>
      </c>
      <c r="BM50" s="9"/>
      <c r="BN50" s="9"/>
      <c r="BO50" s="9"/>
      <c r="BP50" s="9"/>
      <c r="BQ50" s="8"/>
      <c r="BR50" t="inlineStr" s="8">
        <is>
          <t>2023-04-27</t>
        </is>
      </c>
      <c r="BS50" t="inlineStr" s="8">
        <is>
          <t>2023-08-08</t>
        </is>
      </c>
      <c r="BT50" s="8"/>
      <c r="BU50" s="8"/>
      <c r="BV50" s="8"/>
      <c r="BW50" s="8"/>
      <c r="BX50" s="8"/>
      <c r="BY50" s="8"/>
      <c r="BZ50" s="8"/>
      <c r="CA50" s="9"/>
      <c r="CB50" s="9"/>
      <c r="CC50" t="inlineStr" s="8">
        <is>
          <t>3166339256</t>
        </is>
      </c>
      <c r="CD50" t="inlineStr" s="8">
        <is>
          <t>cooper.clark.74689975@example.com</t>
        </is>
      </c>
      <c r="CE50" t="inlineStr" s="8">
        <is>
          <t>BUNNY BUGS CEL: 3166340563</t>
        </is>
      </c>
      <c r="CF50" s="8"/>
    </row>
    <row r="51" ht="12.75" customHeight="1">
      <c r="A51" t="inlineStr" s="8">
        <is>
          <t>60007919094328</t>
        </is>
      </c>
      <c r="B51" s="8"/>
      <c r="C51" t="inlineStr" s="8">
        <is>
          <t>705</t>
        </is>
      </c>
      <c r="D51" s="9">
        <v>55.20</v>
      </c>
      <c r="E51" t="inlineStr" s="8">
        <is>
          <t>74703788</t>
        </is>
      </c>
      <c r="F51" t="inlineStr" s="8">
        <is>
          <t>HOLMES MICHAEL</t>
        </is>
      </c>
      <c r="G51" t="inlineStr" s="8">
        <is>
          <t>POIROT SQUIDWARD</t>
        </is>
      </c>
      <c r="H51" t="inlineStr" s="8">
        <is>
          <t>BBVA</t>
        </is>
      </c>
      <c r="I51" s="9">
        <v>192172500.00</v>
      </c>
      <c r="J51" t="inlineStr" s="8">
        <is>
          <t>NCR5120 - NCR5115 - NCR5121 - NCR5125 - NC5114CESION - NCR5118 - NCR5127CR</t>
        </is>
      </c>
      <c r="K51" t="inlineStr" s="8">
        <is>
          <t>NCR5122 - NCR5117 - NCR5123 - NCR5116 - NCR5124 - NCR5126 - NCR5119</t>
        </is>
      </c>
      <c r="L51" t="inlineStr" s="8">
        <is>
          <t>OCT.11/23 - OCT.14/23 - OCT.24/23 - DIC.2/23F - ENE.8/24F - FEB.14/24F - JUN.3/24 - (JUN.13/24CESION) - JUL.2/24F - JUL.21/24F - NOV.21/24F - DIC.19/24 - FEB.3/25F</t>
        </is>
      </c>
      <c r="M51" s="9">
        <f>883000+2262000+3421000+607000+9214000</f>
      </c>
      <c r="N51" s="9">
        <v>12000000</v>
      </c>
      <c r="O51" t="inlineStr" s="8">
        <is>
          <t>ENE.12/24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>
        <v>1434000</v>
      </c>
      <c r="AO51" s="10">
        <v>2648000</v>
      </c>
      <c r="AP51" s="10">
        <v>13959000</v>
      </c>
      <c r="AQ51" s="10"/>
      <c r="AR51" s="10"/>
      <c r="AS51" s="10"/>
      <c r="AT51" s="10"/>
      <c r="AU51" s="10">
        <f>4634000+5241000</f>
      </c>
      <c r="AV51" s="10"/>
      <c r="AW51" s="10"/>
      <c r="AX51" s="10"/>
      <c r="AY51" s="10">
        <v>5793500</v>
      </c>
      <c r="AZ51" s="10"/>
      <c r="BA51" s="10"/>
      <c r="BB51" s="10">
        <v>5076000</v>
      </c>
      <c r="BC51" s="10"/>
      <c r="BD51" s="10"/>
      <c r="BE51" s="10"/>
      <c r="BF51" s="9">
        <v>125000000</v>
      </c>
      <c r="BG51" s="9"/>
      <c r="BH51" s="9"/>
      <c r="BI51" s="9"/>
      <c r="BJ51" s="9">
        <f>SUM(M51,N51,Q51,R51,S51,T51,U51,V51,W51,X51,Y51,Z51,AA51,AB51,AC51,AD51,AE51,AF51,AG51,AH51,AI51,AJ51,AK51,AL51,AM51,AN51,AO51,AP51,AQ51,AR51,AS51,AT51,AU51,AV51,AW51,AX51,AY51,AZ51,BA51,BB51,BC51,BD51,BE51,BF51,BG51,BH51,BI51)</f>
      </c>
      <c r="BK51" s="9">
        <f>I51-BJ51</f>
      </c>
      <c r="BL51" s="9">
        <f>BK51-BM51-BN51-BO51-BP51</f>
      </c>
      <c r="BM51" s="9"/>
      <c r="BN51" s="9"/>
      <c r="BO51" s="9"/>
      <c r="BP51" s="9"/>
      <c r="BQ51" s="8"/>
      <c r="BR51" t="inlineStr" s="8">
        <is>
          <t>2023-11-12</t>
        </is>
      </c>
      <c r="BS51" t="inlineStr" s="8">
        <is>
          <t>2024-01-08</t>
        </is>
      </c>
      <c r="BT51" s="8"/>
      <c r="BU51" s="8"/>
      <c r="BV51" s="8"/>
      <c r="BW51" s="8"/>
      <c r="BX51" s="8"/>
      <c r="BY51" s="8"/>
      <c r="BZ51" s="8"/>
      <c r="CA51" s="9"/>
      <c r="CB51" s="9"/>
      <c r="CC51" t="inlineStr" s="8">
        <is>
          <t>3166341055</t>
        </is>
      </c>
      <c r="CD51" t="inlineStr" s="8">
        <is>
          <t>holmes.michael.74703788@example.com</t>
        </is>
      </c>
      <c r="CE51" t="inlineStr" s="8">
        <is>
          <t>FINN CEL: 3166342159</t>
        </is>
      </c>
      <c r="CF51" s="8"/>
    </row>
    <row r="52" ht="12.75" customHeight="1">
      <c r="A52" t="inlineStr" s="8">
        <is>
          <t>60007919094435</t>
        </is>
      </c>
      <c r="B52" s="8"/>
      <c r="C52" t="inlineStr" s="8">
        <is>
          <t>706</t>
        </is>
      </c>
      <c r="D52" s="9">
        <v>55.20</v>
      </c>
      <c r="E52" t="inlineStr" s="8">
        <is>
          <t>74720216</t>
        </is>
      </c>
      <c r="F52" t="inlineStr" s="8">
        <is>
          <t>TARGARYEN ANGELA</t>
        </is>
      </c>
      <c r="G52" s="8"/>
      <c r="H52" s="8"/>
      <c r="I52" s="9">
        <v>192172500.00</v>
      </c>
      <c r="J52" t="inlineStr" s="8">
        <is>
          <t>NC5128CESION</t>
        </is>
      </c>
      <c r="K52" t="inlineStr" s="8">
        <is>
          <t>NCR5129 - NCR5133 - NCR5131 - NCR5130 - NCR5132 - NCR5136 - NCR5134 - NCR5137 - NCR5135</t>
        </is>
      </c>
      <c r="L52" t="inlineStr" s="8">
        <is>
          <t>OCT.8/23F - NOV.15/23F - DIC.23/23F - FEB.8/24F - FEB.10/24F - FEB.13/24F - ABR.7/24F - (ABR.14/24CESION) - MAY.6/24F - MAY.8/24F</t>
        </is>
      </c>
      <c r="M52" s="9"/>
      <c r="N52" s="9">
        <v>15000000</v>
      </c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>
        <v>12731000</v>
      </c>
      <c r="AM52" s="10">
        <v>22476000</v>
      </c>
      <c r="AN52" s="10">
        <v>40236000</v>
      </c>
      <c r="AO52" s="10"/>
      <c r="AP52" s="10">
        <f>4558000+28605000+5344000</f>
      </c>
      <c r="AQ52" s="10"/>
      <c r="AR52" s="10">
        <v>15089000</v>
      </c>
      <c r="AS52" s="10">
        <f>26561500+1572000</f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  <c r="BG52" s="9"/>
      <c r="BH52" s="9"/>
      <c r="BI52" s="9"/>
      <c r="BJ52" s="9">
        <f>SUM(M52,N52,Q52,R52,S52,T52,U52,V52,W52,X52,Y52,Z52,AA52,AB52,AC52,AD52,AE52,AF52,AG52,AH52,AI52,AJ52,AK52,AL52,AM52,AN52,AO52,AP52,AQ52,AR52,AS52,AT52,AU52,AV52,AW52,AX52,AY52,AZ52,BA52,BB52,BC52,BD52,BE52,BF52,BG52,BH52,BI52)</f>
      </c>
      <c r="BK52" s="9">
        <f>I52-BJ52</f>
      </c>
      <c r="BL52" s="9">
        <f>BK52-BM52-BN52-BO52-BP52</f>
      </c>
      <c r="BM52" s="9"/>
      <c r="BN52" s="9"/>
      <c r="BO52" s="9"/>
      <c r="BP52" s="9"/>
      <c r="BQ52" s="8"/>
      <c r="BR52" t="inlineStr" s="8">
        <is>
          <t>2023-10-06</t>
        </is>
      </c>
      <c r="BS52" t="inlineStr" s="8">
        <is>
          <t>2024-01-02</t>
        </is>
      </c>
      <c r="BT52" t="inlineStr" s="8">
        <is>
          <t>2024-07-02</t>
        </is>
      </c>
      <c r="BU52" s="8"/>
      <c r="BV52" s="8"/>
      <c r="BW52" s="8"/>
      <c r="BX52" s="8"/>
      <c r="BY52" s="8"/>
      <c r="BZ52" s="8"/>
      <c r="CA52" s="9"/>
      <c r="CB52" s="9"/>
      <c r="CC52" t="inlineStr" s="8">
        <is>
          <t>3166343572</t>
        </is>
      </c>
      <c r="CD52" t="inlineStr" s="8">
        <is>
          <t>targaryen.angela.74720216@example.com</t>
        </is>
      </c>
      <c r="CE52" t="inlineStr" s="8">
        <is>
          <t>MOUSE MICKEY CEL: 3166343756</t>
        </is>
      </c>
      <c r="CF52" t="inlineStr" s="8">
        <is>
          <t>NC5128 ABR.14/24 CESION DE WILL BEESLY A ANGELA TARGARYEN *ANTIC $15.000.000 *ARRAS $4'640</t>
        </is>
      </c>
    </row>
    <row r="53" ht="12.75" customHeight="1">
      <c r="A53" t="inlineStr" s="8">
        <is>
          <t>60007919094554</t>
        </is>
      </c>
      <c r="B53" s="8"/>
      <c r="C53" t="inlineStr" s="8">
        <is>
          <t>707</t>
        </is>
      </c>
      <c r="D53" s="9">
        <v>55.20</v>
      </c>
      <c r="E53" t="inlineStr" s="8">
        <is>
          <t>74727955</t>
        </is>
      </c>
      <c r="F53" t="inlineStr" s="8">
        <is>
          <t>SANCHEZ ROSS</t>
        </is>
      </c>
      <c r="G53" s="8"/>
      <c r="H53" s="8"/>
      <c r="I53" s="9">
        <v>192172500.00</v>
      </c>
      <c r="J53" t="inlineStr" s="8">
        <is>
          <t>NCR5145 - NCR5140 - NCR5139 - NCR5143 - NCR5141 - NCR5142</t>
        </is>
      </c>
      <c r="K53" t="inlineStr" s="8">
        <is>
          <t>NCR5144</t>
        </is>
      </c>
      <c r="L53" t="inlineStr" s="8">
        <is>
          <t>JUN.3/23 - JUN.6/23 - JUN.22/23 - JUN.25/23 - JUN.26/23 - JUN.28/23 - AGO.19/23F</t>
        </is>
      </c>
      <c r="M53" s="9">
        <f>3323000+12961000+29246000+4154000+9140500+45864000</f>
      </c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>
        <v>61484000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  <c r="BG53" s="9"/>
      <c r="BH53" s="9"/>
      <c r="BI53" s="9"/>
      <c r="BJ53" s="9">
        <f>SUM(M53,N53,Q53,R53,S53,T53,U53,V53,W53,X53,Y53,Z53,AA53,AB53,AC53,AD53,AE53,AF53,AG53,AH53,AI53,AJ53,AK53,AL53,AM53,AN53,AO53,AP53,AQ53,AR53,AS53,AT53,AU53,AV53,AW53,AX53,AY53,AZ53,BA53,BB53,BC53,BD53,BE53,BF53,BG53,BH53,BI53)</f>
      </c>
      <c r="BK53" s="9">
        <f>I53-BJ53</f>
      </c>
      <c r="BL53" s="9">
        <f>BK53-BM53-BN53-BO53-BP53</f>
      </c>
      <c r="BM53" s="9"/>
      <c r="BN53" s="9"/>
      <c r="BO53" s="9"/>
      <c r="BP53" s="9"/>
      <c r="BQ53" s="8"/>
      <c r="BR53" t="inlineStr" s="8">
        <is>
          <t>2022-11-13</t>
        </is>
      </c>
      <c r="BS53" t="inlineStr" s="8">
        <is>
          <t>2023-02-13</t>
        </is>
      </c>
      <c r="BT53" t="inlineStr" s="8">
        <is>
          <t>2023-09-02</t>
        </is>
      </c>
      <c r="BU53" s="8"/>
      <c r="BV53" s="8"/>
      <c r="BW53" s="8"/>
      <c r="BX53" s="8"/>
      <c r="BY53" s="8"/>
      <c r="BZ53" s="8"/>
      <c r="CA53" s="9"/>
      <c r="CB53" s="9"/>
      <c r="CC53" t="inlineStr" s="8">
        <is>
          <t>3166344560</t>
        </is>
      </c>
      <c r="CD53" t="inlineStr" s="8">
        <is>
          <t>sanchez.ross.74727955@example.com</t>
        </is>
      </c>
      <c r="CE53" t="inlineStr" s="8">
        <is>
          <t>MOUSE MICKEY CEL: 3166344776</t>
        </is>
      </c>
      <c r="CF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10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9">
        <f>SUM(BP5:BP53)</f>
      </c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9">
        <f>SUM(CA5:CA53)</f>
      </c>
      <c r="CB54" s="9">
        <f>SUM(CB5:CB53)</f>
      </c>
      <c r="CC54" s="8"/>
      <c r="CD54" s="8"/>
      <c r="CE54" s="8"/>
      <c r="CF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9"/>
      <c r="CB55" s="9"/>
      <c r="CC55" s="8"/>
      <c r="CD55" s="8"/>
      <c r="CE55" s="8"/>
      <c r="CF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10">
        <f>SUM(BE5:BE53)</f>
      </c>
      <c r="BF56" s="9">
        <f>SUM(BF5:BF53)</f>
      </c>
      <c r="BG56" s="9">
        <f>SUM(BG5:BG53)</f>
      </c>
      <c r="BH56" s="9">
        <f>SUM(BH5:BH53)</f>
      </c>
      <c r="BI56" s="9"/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9">
        <f>SUM(BP5:BP53)</f>
      </c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9">
        <f>SUM(CA5:CA53)</f>
      </c>
      <c r="CB56" s="9">
        <f>SUM(CB5:CB53)</f>
      </c>
      <c r="CC56" s="8"/>
      <c r="CD56" s="8"/>
      <c r="CE56" s="8"/>
      <c r="CF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ht="13.7" customHeight="1">
      <c r="A59" t="inlineStr" s="8">
        <is>
          <t>60007919092133</t>
        </is>
      </c>
      <c r="B59" t="inlineStr" s="8">
        <is>
          <t>60007919092158</t>
        </is>
      </c>
      <c r="C59" t="inlineStr" s="8">
        <is>
          <t>403</t>
        </is>
      </c>
      <c r="D59" s="9">
        <v>55.20</v>
      </c>
      <c r="E59" t="inlineStr" s="8">
        <is>
          <t>74529803</t>
        </is>
      </c>
      <c r="F59" t="inlineStr" s="8">
        <is>
          <t>MARTIN STEVE</t>
        </is>
      </c>
      <c r="G59" t="inlineStr" s="8">
        <is>
          <t>*CESION/ARRAS</t>
        </is>
      </c>
      <c r="H59" t="inlineStr" s="8">
        <is>
          <t>BANCOLOMBIA</t>
        </is>
      </c>
      <c r="I59" s="9">
        <v>192172500.00</v>
      </c>
      <c r="J59" s="8"/>
      <c r="K59" s="8"/>
      <c r="L59" t="inlineStr" s="8">
        <is>
          <t>2022-05-02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  <c r="BG59" s="9"/>
      <c r="BH59" s="9"/>
      <c r="BI59" s="9"/>
      <c r="BJ59" s="9">
        <f>SUM(M59,N59,Q59,R59,S59,T59,U59,V59,W59,X59,Y59,Z59,AA59,AB59,AC59,AD59,AE59,AF59,AG59,AH59,AI59,AJ59,AK59,AL59,AM59,AN59,AO59,AP59,AQ59,AR59,AS59,AT59,AU59,AV59,AW59,AX59,AY59,AZ59,BA59,BB59,BC59,BD59,BE59,BF59,BG59,BH59,BI59)</f>
      </c>
      <c r="BK59" s="9">
        <f>I59-BJ59</f>
      </c>
      <c r="BL59" s="9">
        <f>BK59-BM59-BN59-BO59-BP59</f>
      </c>
      <c r="BM59" s="9"/>
      <c r="BN59" s="9"/>
      <c r="BO59" s="9"/>
      <c r="BP59" s="9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9"/>
      <c r="CB59" s="9"/>
      <c r="CC59" t="inlineStr" s="8">
        <is>
          <t>3166317628</t>
        </is>
      </c>
      <c r="CD59" t="inlineStr" s="8">
        <is>
          <t>martin.steve.74529803@example.com</t>
        </is>
      </c>
      <c r="CE59" t="inlineStr" s="8">
        <is>
          <t>FLINTSTONE FRED CEL: 3166317813</t>
        </is>
      </c>
      <c r="CF59" t="inlineStr" s="8">
        <is>
          <t>NC4905 MAY.2/22 CESION DE STEVE MARTIN/SAMWISE EHRMANTRAUT A LUCAS DECKER *ANTIC $12.000.000 *ARRAS $4'640</t>
        </is>
      </c>
    </row>
    <row r="60" ht="13.7" customHeight="1">
      <c r="A60" t="inlineStr" s="8">
        <is>
          <t>60007919092158</t>
        </is>
      </c>
      <c r="B60" s="8"/>
      <c r="C60" t="inlineStr" s="8">
        <is>
          <t>403</t>
        </is>
      </c>
      <c r="D60" s="9">
        <v>55.20</v>
      </c>
      <c r="E60" t="inlineStr" s="8">
        <is>
          <t>74534704</t>
        </is>
      </c>
      <c r="F60" t="inlineStr" s="8">
        <is>
          <t>DECKER LUCAS</t>
        </is>
      </c>
      <c r="G60" t="inlineStr" s="8">
        <is>
          <t>*CESION/ARRAS</t>
        </is>
      </c>
      <c r="H60" t="inlineStr" s="8">
        <is>
          <t>BANCOLOMBIA</t>
        </is>
      </c>
      <c r="I60" s="9">
        <v>192172500.00</v>
      </c>
      <c r="J60" t="inlineStr" s="8">
        <is>
          <t>NCR4914 - NC4905CESION - NCR4918CR</t>
        </is>
      </c>
      <c r="K60" t="inlineStr" s="8">
        <is>
          <t>NCR4915 - NCR4911 - NCR4910 - NCR4906 - NCR4909 - NCR4907 - NCR4912 - NCR4908 - NCR4913 - NCR4916 - NCR4917</t>
        </is>
      </c>
      <c r="L60" t="inlineStr" s="8">
        <is>
          <t>2022-05-02</t>
        </is>
      </c>
      <c r="M60" s="9">
        <v>347000</v>
      </c>
      <c r="N60" s="9">
        <v>12000000</v>
      </c>
      <c r="O60" t="inlineStr" s="8">
        <is>
          <t>AGO.21/23</t>
        </is>
      </c>
      <c r="P60" s="8"/>
      <c r="Q60" s="10">
        <v>800000</v>
      </c>
      <c r="R60" s="10"/>
      <c r="S60" s="10"/>
      <c r="T60" s="10">
        <v>100000</v>
      </c>
      <c r="U60" s="10"/>
      <c r="V60" s="10"/>
      <c r="W60" s="10"/>
      <c r="X60" s="10"/>
      <c r="Y60" s="10"/>
      <c r="Z60" s="10">
        <v>617000</v>
      </c>
      <c r="AA60" s="10"/>
      <c r="AB60" s="10"/>
      <c r="AC60" s="10"/>
      <c r="AD60" s="10">
        <f>489000+100000+1673000</f>
      </c>
      <c r="AE60" s="10"/>
      <c r="AF60" s="10"/>
      <c r="AG60" s="10">
        <v>1361000</v>
      </c>
      <c r="AH60" s="10">
        <f>440000+489000</f>
      </c>
      <c r="AI60" s="10">
        <v>574000</v>
      </c>
      <c r="AJ60" s="10">
        <v>100000</v>
      </c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>
        <v>110000000</v>
      </c>
      <c r="BG60" s="9"/>
      <c r="BH60" s="9"/>
      <c r="BI60" s="9"/>
      <c r="BJ60" s="9">
        <f>SUM(M60,N60,Q60,R60,S60,T60,U60,V60,W60,X60,Y60,Z60,AA60,AB60,AC60,AD60,AE60,AF60,AG60,AH60,AI60,AJ60,AK60,AL60,AM60,AN60,AO60,AP60,AQ60,AR60,AS60,AT60,AU60,AV60,AW60,AX60,AY60,AZ60,BA60,BB60,BC60,BD60,BE60,BF60,BG60,BH60,BI60)</f>
      </c>
      <c r="BK60" s="9">
        <f>I60-BJ60</f>
      </c>
      <c r="BL60" s="9">
        <f>BK60-BM60-BN60-BO60-BP60</f>
      </c>
      <c r="BM60" s="9"/>
      <c r="BN60" s="9"/>
      <c r="BO60" s="9"/>
      <c r="BP60" s="9"/>
      <c r="BQ60" s="8"/>
      <c r="BR60" t="inlineStr" s="8">
        <is>
          <t>2022-03-15</t>
        </is>
      </c>
      <c r="BS60" t="inlineStr" s="8">
        <is>
          <t>2022-07-07</t>
        </is>
      </c>
      <c r="BT60" s="8"/>
      <c r="BU60" s="8"/>
      <c r="BV60" s="8"/>
      <c r="BW60" s="8"/>
      <c r="BX60" s="8"/>
      <c r="BY60" s="8"/>
      <c r="BZ60" s="8"/>
      <c r="CA60" s="9"/>
      <c r="CB60" s="9"/>
      <c r="CC60" t="inlineStr" s="8">
        <is>
          <t>3166317707</t>
        </is>
      </c>
      <c r="CD60" t="inlineStr" s="8">
        <is>
          <t>decker.lucas.74534704@example.com</t>
        </is>
      </c>
      <c r="CE60" t="inlineStr" s="8">
        <is>
          <t>FLINTSTONE FRED CEL: 3166317813</t>
        </is>
      </c>
      <c r="CF60" t="inlineStr" s="8">
        <is>
          <t>NC4905 MAY.2/22 CESION DE STEVE MARTIN/SAMWISE EHRMANTRAUT A LUCAS DECKER *ANTIC $12.000.000 *ARRAS $4'640</t>
        </is>
      </c>
    </row>
    <row r="61" ht="13.7" customHeight="1">
      <c r="A61" t="inlineStr" s="8">
        <is>
          <t>60007919091778</t>
        </is>
      </c>
      <c r="B61" t="inlineStr" s="8">
        <is>
          <t>60007919091813</t>
        </is>
      </c>
      <c r="C61" t="inlineStr" s="8">
        <is>
          <t>401</t>
        </is>
      </c>
      <c r="D61" s="9">
        <v>55.20</v>
      </c>
      <c r="E61" t="inlineStr" s="8">
        <is>
          <t>74496826</t>
        </is>
      </c>
      <c r="F61" t="inlineStr" s="8">
        <is>
          <t>TANO DUSTIN</t>
        </is>
      </c>
      <c r="G61" t="inlineStr" s="8">
        <is>
          <t>*CESION/ARRAS</t>
        </is>
      </c>
      <c r="H61" t="inlineStr" s="8">
        <is>
          <t>BANCO DE BOGOTA</t>
        </is>
      </c>
      <c r="I61" s="9">
        <v>192172500.00</v>
      </c>
      <c r="J61" s="8"/>
      <c r="K61" s="8"/>
      <c r="L61" t="inlineStr" s="8">
        <is>
          <t>2022-08-25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  <c r="BG61" s="9"/>
      <c r="BH61" s="9"/>
      <c r="BI61" s="9"/>
      <c r="BJ61" s="9">
        <f>SUM(M61,N61,Q61,R61,S61,T61,U61,V61,W61,X61,Y61,Z61,AA61,AB61,AC61,AD61,AE61,AF61,AG61,AH61,AI61,AJ61,AK61,AL61,AM61,AN61,AO61,AP61,AQ61,AR61,AS61,AT61,AU61,AV61,AW61,AX61,AY61,AZ61,BA61,BB61,BC61,BD61,BE61,BF61,BG61,BH61,BI61)</f>
      </c>
      <c r="BK61" s="9">
        <f>I61-BJ61</f>
      </c>
      <c r="BL61" s="9">
        <f>BK61-BM61-BN61-BO61-BP61</f>
      </c>
      <c r="BM61" s="9"/>
      <c r="BN61" s="9"/>
      <c r="BO61" s="9"/>
      <c r="BP61" s="9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9"/>
      <c r="CB61" s="9"/>
      <c r="CC61" t="inlineStr" s="8">
        <is>
          <t>3166312231</t>
        </is>
      </c>
      <c r="CD61" t="inlineStr" s="8">
        <is>
          <t>tano.dustin.74496826@example.com</t>
        </is>
      </c>
      <c r="CE61" t="inlineStr" s="8">
        <is>
          <t>MOUSE MINNIE CEL: 3166313521</t>
        </is>
      </c>
      <c r="CF61" t="inlineStr" s="8">
        <is>
          <t>NC4883 AGO.25/22 CESION DE DUSTIN TANO A LUNA HENDERSON *ANTIC $20.000.000 *ARRAS $4'640</t>
        </is>
      </c>
    </row>
    <row r="62" ht="13.7" customHeight="1">
      <c r="A62" t="inlineStr" s="8">
        <is>
          <t>60007919091813</t>
        </is>
      </c>
      <c r="B62" s="8"/>
      <c r="C62" t="inlineStr" s="8">
        <is>
          <t>401</t>
        </is>
      </c>
      <c r="D62" s="9">
        <v>55.20</v>
      </c>
      <c r="E62" t="inlineStr" s="8">
        <is>
          <t>74500289</t>
        </is>
      </c>
      <c r="F62" t="inlineStr" s="8">
        <is>
          <t>HENDERSON LUNA</t>
        </is>
      </c>
      <c r="G62" t="inlineStr" s="8">
        <is>
          <t>*CESION/ARRAS</t>
        </is>
      </c>
      <c r="H62" t="inlineStr" s="8">
        <is>
          <t>BANCO DE BOGOTA</t>
        </is>
      </c>
      <c r="I62" s="9">
        <v>192172500.00</v>
      </c>
      <c r="J62" t="inlineStr" s="8">
        <is>
          <t>NC4883CESION - NCR4896CR</t>
        </is>
      </c>
      <c r="K62" t="inlineStr" s="8">
        <is>
          <t>NCR4893 - NCR4886 - NCR4887 - NCR4890 - NCR4889 - NCR4885 - NCR4884 - NCR4892 - NCR4895 - NCR4894 - NCR4888 - NCR4891</t>
        </is>
      </c>
      <c r="L62" t="inlineStr" s="8">
        <is>
          <t>2022-08-25</t>
        </is>
      </c>
      <c r="M62" s="9"/>
      <c r="N62" s="9">
        <v>20000000</v>
      </c>
      <c r="O62" t="inlineStr" s="8">
        <is>
          <t>OCT.1/22</t>
        </is>
      </c>
      <c r="P62" s="8"/>
      <c r="Q62" s="10">
        <v>3249000</v>
      </c>
      <c r="R62" s="10">
        <v>1705000</v>
      </c>
      <c r="S62" s="10">
        <f>4085500+3153000</f>
      </c>
      <c r="T62" s="10">
        <v>4955000</v>
      </c>
      <c r="U62" s="10"/>
      <c r="V62" s="10">
        <f>2252000+1834000</f>
      </c>
      <c r="W62" s="10"/>
      <c r="X62" s="10"/>
      <c r="Y62" s="10">
        <f>1512000+869000</f>
      </c>
      <c r="Z62" s="10">
        <f>5727000+2091000</f>
      </c>
      <c r="AA62" s="10">
        <v>740000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>
        <v>110000000</v>
      </c>
      <c r="BG62" s="9"/>
      <c r="BH62" s="9"/>
      <c r="BI62" s="9"/>
      <c r="BJ62" s="9">
        <f>SUM(M62,N62,Q62,R62,S62,T62,U62,V62,W62,X62,Y62,Z62,AA62,AB62,AC62,AD62,AE62,AF62,AG62,AH62,AI62,AJ62,AK62,AL62,AM62,AN62,AO62,AP62,AQ62,AR62,AS62,AT62,AU62,AV62,AW62,AX62,AY62,AZ62,BA62,BB62,BC62,BD62,BE62,BF62,BG62,BH62,BI62)</f>
      </c>
      <c r="BK62" s="9">
        <f>I62-BJ62</f>
      </c>
      <c r="BL62" s="9">
        <f>BK62-BM62-BN62-BO62-BP62</f>
      </c>
      <c r="BM62" s="9"/>
      <c r="BN62" s="9"/>
      <c r="BO62" s="9"/>
      <c r="BP62" s="9"/>
      <c r="BQ62" s="8"/>
      <c r="BR62" t="inlineStr" s="8">
        <is>
          <t>2022-02-11</t>
        </is>
      </c>
      <c r="BS62" t="inlineStr" s="8">
        <is>
          <t>2022-03-16</t>
        </is>
      </c>
      <c r="BT62" t="inlineStr" s="8">
        <is>
          <t>2023-01-13</t>
        </is>
      </c>
      <c r="BU62" s="8"/>
      <c r="BV62" s="8"/>
      <c r="BW62" s="8"/>
      <c r="BX62" s="8"/>
      <c r="BY62" s="8"/>
      <c r="BZ62" s="8"/>
      <c r="CA62" s="9"/>
      <c r="CB62" s="9"/>
      <c r="CC62" t="inlineStr" s="8">
        <is>
          <t>3166312869</t>
        </is>
      </c>
      <c r="CD62" t="inlineStr" s="8">
        <is>
          <t>henderson.luna.74500289@example.com</t>
        </is>
      </c>
      <c r="CE62" t="inlineStr" s="8">
        <is>
          <t>MOUSE MINNIE CEL: 3166313521</t>
        </is>
      </c>
      <c r="CF62" t="inlineStr" s="8">
        <is>
          <t>NC4883 AGO.25/22 CESION DE DUSTIN TANO A LUNA HENDERSON *ANTIC $20.000.000 *ARRAS $4'640</t>
        </is>
      </c>
    </row>
    <row r="63" ht="13.7" customHeight="1">
      <c r="A63" t="inlineStr" s="8">
        <is>
          <t>60007919093467</t>
        </is>
      </c>
      <c r="B63" s="8"/>
      <c r="C63" t="inlineStr" s="8">
        <is>
          <t>604</t>
        </is>
      </c>
      <c r="D63" s="9">
        <v>55.20</v>
      </c>
      <c r="E63" t="inlineStr" s="8">
        <is>
          <t>74646660</t>
        </is>
      </c>
      <c r="F63" t="inlineStr" s="8">
        <is>
          <t>BROWN HERMIONE</t>
        </is>
      </c>
      <c r="G63" t="inlineStr" s="8">
        <is>
          <t>*EXCLUSION</t>
        </is>
      </c>
      <c r="H63" t="inlineStr" s="8">
        <is>
          <t>BANCO DAVIVIENDA</t>
        </is>
      </c>
      <c r="I63" s="9">
        <v>192172500.00</v>
      </c>
      <c r="J63" s="8"/>
      <c r="K63" s="8"/>
      <c r="L63" t="inlineStr" s="8">
        <is>
          <t>2022-09-11</t>
        </is>
      </c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  <c r="BG63" s="9"/>
      <c r="BH63" s="9"/>
      <c r="BI63" s="9"/>
      <c r="BJ63" s="9">
        <f>SUM(M63,N63,Q63,R63,S63,T63,U63,V63,W63,X63,Y63,Z63,AA63,AB63,AC63,AD63,AE63,AF63,AG63,AH63,AI63,AJ63,AK63,AL63,AM63,AN63,AO63,AP63,AQ63,AR63,AS63,AT63,AU63,AV63,AW63,AX63,AY63,AZ63,BA63,BB63,BC63,BD63,BE63,BF63,BG63,BH63,BI63)</f>
      </c>
      <c r="BK63" s="9">
        <f>I63-BJ63</f>
      </c>
      <c r="BL63" s="9">
        <f>BK63-BM63-BN63-BO63-BP63</f>
      </c>
      <c r="BM63" s="9"/>
      <c r="BN63" s="9"/>
      <c r="BO63" s="9"/>
      <c r="BP63" s="9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9"/>
      <c r="CB63" s="9"/>
      <c r="CC63" t="inlineStr" s="8">
        <is>
          <t>3166330972</t>
        </is>
      </c>
      <c r="CD63" t="inlineStr" s="8">
        <is>
          <t>brown.hermione.74646660@example.com</t>
        </is>
      </c>
      <c r="CE63" t="inlineStr" s="8">
        <is>
          <t>MOUSE MINNIE CEL: 3166331996</t>
        </is>
      </c>
      <c r="CF63" t="inlineStr" s="8">
        <is>
          <t>NC5038 SEP.11/22 EXCLUSION DE ANGELA SIMPSON</t>
        </is>
      </c>
    </row>
    <row r="64" ht="13.7" customHeight="1">
      <c r="A64" t="inlineStr" s="8">
        <is>
          <t>60007919090815</t>
        </is>
      </c>
      <c r="B64" s="8"/>
      <c r="C64" t="inlineStr" s="8">
        <is>
          <t>301</t>
        </is>
      </c>
      <c r="D64" s="9">
        <v>55.20</v>
      </c>
      <c r="E64" t="inlineStr" s="8">
        <is>
          <t>74419310</t>
        </is>
      </c>
      <c r="F64" t="inlineStr" s="8">
        <is>
          <t>BARTON JON</t>
        </is>
      </c>
      <c r="G64" t="inlineStr" s="8">
        <is>
          <t>*CESION/ARRAS</t>
        </is>
      </c>
      <c r="H64" t="inlineStr" s="8">
        <is>
          <t>BBVA</t>
        </is>
      </c>
      <c r="I64" s="9">
        <v>192172500.00</v>
      </c>
      <c r="J64" t="inlineStr" s="8">
        <is>
          <t>NC4821CESION - NCR4833CR</t>
        </is>
      </c>
      <c r="K64" t="inlineStr" s="8">
        <is>
          <t>NCR4824 - NCR4830 - NCR4823 - NCR4828 - NCR4822 - NCR4831 - NCR4825 - NCR4826 - NCR4827 - NCR4832 - NCR4829</t>
        </is>
      </c>
      <c r="L64" t="inlineStr" s="8">
        <is>
          <t>2023-02-02</t>
        </is>
      </c>
      <c r="M64" s="9"/>
      <c r="N64" s="9">
        <v>18000000</v>
      </c>
      <c r="O64" t="inlineStr" s="8">
        <is>
          <t>JUL.20/23</t>
        </is>
      </c>
      <c r="P64" s="8"/>
      <c r="Q64" s="10"/>
      <c r="R64" s="10"/>
      <c r="S64" s="10"/>
      <c r="T64" s="10"/>
      <c r="U64" s="10"/>
      <c r="V64" s="10"/>
      <c r="W64" s="10"/>
      <c r="X64" s="10"/>
      <c r="Y64" s="10">
        <v>9112000</v>
      </c>
      <c r="Z64" s="10">
        <v>3274500</v>
      </c>
      <c r="AA64" s="10">
        <f>17583000+1604000</f>
      </c>
      <c r="AB64" s="10"/>
      <c r="AC64" s="10">
        <f>4107000+257000</f>
      </c>
      <c r="AD64" s="10">
        <v>3016000</v>
      </c>
      <c r="AE64" s="10">
        <v>1861000</v>
      </c>
      <c r="AF64" s="10"/>
      <c r="AG64" s="10"/>
      <c r="AH64" s="10">
        <f>3529000+16043000</f>
      </c>
      <c r="AI64" s="10"/>
      <c r="AJ64" s="10">
        <v>3786000</v>
      </c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9">
        <v>110000000</v>
      </c>
      <c r="BG64" s="9"/>
      <c r="BH64" s="9"/>
      <c r="BI64" s="9"/>
      <c r="BJ64" s="9">
        <f>SUM(M64,N64,Q64,R64,S64,T64,U64,V64,W64,X64,Y64,Z64,AA64,AB64,AC64,AD64,AE64,AF64,AG64,AH64,AI64,AJ64,AK64,AL64,AM64,AN64,AO64,AP64,AQ64,AR64,AS64,AT64,AU64,AV64,AW64,AX64,AY64,AZ64,BA64,BB64,BC64,BD64,BE64,BF64,BG64,BH64,BI64)</f>
      </c>
      <c r="BK64" s="9">
        <f>I64-BJ64</f>
      </c>
      <c r="BL64" s="9">
        <f>BK64-BM64-BN64-BO64-BP64</f>
      </c>
      <c r="BM64" s="9"/>
      <c r="BN64" s="9"/>
      <c r="BO64" s="9"/>
      <c r="BP64" s="9"/>
      <c r="BQ64" s="8"/>
      <c r="BR64" t="inlineStr" s="8">
        <is>
          <t>2022-09-24</t>
        </is>
      </c>
      <c r="BS64" t="inlineStr" s="8">
        <is>
          <t>2022-12-24</t>
        </is>
      </c>
      <c r="BT64" t="inlineStr" s="8">
        <is>
          <t>2023-11-14</t>
        </is>
      </c>
      <c r="BU64" s="8"/>
      <c r="BV64" s="8"/>
      <c r="BW64" s="8"/>
      <c r="BX64" s="8"/>
      <c r="BY64" s="8"/>
      <c r="BZ64" s="8"/>
      <c r="CA64" s="9"/>
      <c r="CB64" s="9"/>
      <c r="CC64" t="inlineStr" s="8">
        <is>
          <t>3166301549</t>
        </is>
      </c>
      <c r="CD64" t="inlineStr" s="8">
        <is>
          <t>barton.jon.74419310@example.com</t>
        </is>
      </c>
      <c r="CE64" t="inlineStr" s="8">
        <is>
          <t>MOUSE MINNIE CEL: 3166302699</t>
        </is>
      </c>
      <c r="CF64" t="inlineStr" s="8">
        <is>
          <t>NC4821 FEB.2/23 CESION DE JON BARTON A SAUL POTTER *ANTIC $18.000.000 *ARRAS $4'640</t>
        </is>
      </c>
    </row>
    <row r="65" ht="13.7" customHeight="1">
      <c r="A65" t="inlineStr" s="8">
        <is>
          <t>60007919090815</t>
        </is>
      </c>
      <c r="B65" s="8"/>
      <c r="C65" t="inlineStr" s="8">
        <is>
          <t>301</t>
        </is>
      </c>
      <c r="D65" s="9">
        <v>55.20</v>
      </c>
      <c r="E65" t="inlineStr" s="8">
        <is>
          <t>74425872</t>
        </is>
      </c>
      <c r="F65" t="inlineStr" s="8">
        <is>
          <t>POTTER SAUL</t>
        </is>
      </c>
      <c r="G65" t="inlineStr" s="8">
        <is>
          <t>*CESION/ARRAS</t>
        </is>
      </c>
      <c r="H65" t="inlineStr" s="8">
        <is>
          <t>BBVA</t>
        </is>
      </c>
      <c r="I65" s="9">
        <v>192172500.00</v>
      </c>
      <c r="J65" t="inlineStr" s="8">
        <is>
          <t>NC4821CESION - NCR4833CR</t>
        </is>
      </c>
      <c r="K65" t="inlineStr" s="8">
        <is>
          <t>NCR4824 - NCR4830 - NCR4823 - NCR4828 - NCR4822 - NCR4831 - NCR4825 - NCR4826 - NCR4827 - NCR4832 - NCR4829</t>
        </is>
      </c>
      <c r="L65" t="inlineStr" s="8">
        <is>
          <t>2023-02-02</t>
        </is>
      </c>
      <c r="M65" s="9"/>
      <c r="N65" s="9">
        <v>18000000</v>
      </c>
      <c r="O65" t="inlineStr" s="8">
        <is>
          <t>JUL.20/23</t>
        </is>
      </c>
      <c r="P65" s="8"/>
      <c r="Q65" s="10"/>
      <c r="R65" s="10"/>
      <c r="S65" s="10"/>
      <c r="T65" s="10"/>
      <c r="U65" s="10"/>
      <c r="V65" s="10"/>
      <c r="W65" s="10"/>
      <c r="X65" s="10"/>
      <c r="Y65" s="10">
        <v>9112000</v>
      </c>
      <c r="Z65" s="10">
        <v>3274500</v>
      </c>
      <c r="AA65" s="10">
        <f>17583000+1604000</f>
      </c>
      <c r="AB65" s="10"/>
      <c r="AC65" s="10">
        <f>4107000+257000</f>
      </c>
      <c r="AD65" s="10">
        <v>3016000</v>
      </c>
      <c r="AE65" s="10">
        <v>1861000</v>
      </c>
      <c r="AF65" s="10"/>
      <c r="AG65" s="10"/>
      <c r="AH65" s="10">
        <f>3529000+16043000</f>
      </c>
      <c r="AI65" s="10"/>
      <c r="AJ65" s="10">
        <v>3786000</v>
      </c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9">
        <v>110000000</v>
      </c>
      <c r="BG65" s="9"/>
      <c r="BH65" s="9"/>
      <c r="BI65" s="9"/>
      <c r="BJ65" s="9">
        <f>SUM(M65,N65,Q65,R65,S65,T65,U65,V65,W65,X65,Y65,Z65,AA65,AB65,AC65,AD65,AE65,AF65,AG65,AH65,AI65,AJ65,AK65,AL65,AM65,AN65,AO65,AP65,AQ65,AR65,AS65,AT65,AU65,AV65,AW65,AX65,AY65,AZ65,BA65,BB65,BC65,BD65,BE65,BF65,BG65,BH65,BI65)</f>
      </c>
      <c r="BK65" s="9">
        <f>I65-BJ65</f>
      </c>
      <c r="BL65" s="9">
        <f>BK65-BM65-BN65-BO65-BP65</f>
      </c>
      <c r="BM65" s="9"/>
      <c r="BN65" s="9"/>
      <c r="BO65" s="9"/>
      <c r="BP65" s="9"/>
      <c r="BQ65" s="8"/>
      <c r="BR65" t="inlineStr" s="8">
        <is>
          <t>2022-09-24</t>
        </is>
      </c>
      <c r="BS65" t="inlineStr" s="8">
        <is>
          <t>2022-12-24</t>
        </is>
      </c>
      <c r="BT65" t="inlineStr" s="8">
        <is>
          <t>2023-11-14</t>
        </is>
      </c>
      <c r="BU65" s="8"/>
      <c r="BV65" s="8"/>
      <c r="BW65" s="8"/>
      <c r="BX65" s="8"/>
      <c r="BY65" s="8"/>
      <c r="BZ65" s="8"/>
      <c r="CA65" s="9"/>
      <c r="CB65" s="9"/>
      <c r="CC65" t="inlineStr" s="8">
        <is>
          <t>3166302102</t>
        </is>
      </c>
      <c r="CD65" t="inlineStr" s="8">
        <is>
          <t>potter.saul.74425872@example.com</t>
        </is>
      </c>
      <c r="CE65" t="inlineStr" s="8">
        <is>
          <t>MOUSE MINNIE CEL: 3166302699</t>
        </is>
      </c>
      <c r="CF65" t="inlineStr" s="8">
        <is>
          <t>NC4821 FEB.2/23 CESION DE JON BARTON A SAUL POTTER *ANTIC $18.000.000 *ARRAS $4'640</t>
        </is>
      </c>
    </row>
    <row r="66" ht="13.7" customHeight="1">
      <c r="A66" t="inlineStr" s="8">
        <is>
          <t>60007919091944</t>
        </is>
      </c>
      <c r="B66" s="8"/>
      <c r="C66" t="inlineStr" s="8">
        <is>
          <t>402</t>
        </is>
      </c>
      <c r="D66" s="9">
        <v>55.20</v>
      </c>
      <c r="E66" t="inlineStr" s="8">
        <is>
          <t>74502412</t>
        </is>
      </c>
      <c r="F66" t="inlineStr" s="8">
        <is>
          <t>STARK WALTER</t>
        </is>
      </c>
      <c r="G66" t="inlineStr" s="8">
        <is>
          <t>*CESION/ARRAS</t>
        </is>
      </c>
      <c r="H66" t="inlineStr" s="8">
        <is>
          <t>BANCO DAVIVIENDA</t>
        </is>
      </c>
      <c r="I66" s="9">
        <v>192172500.00</v>
      </c>
      <c r="J66" s="8"/>
      <c r="K66" s="8"/>
      <c r="L66" t="inlineStr" s="8">
        <is>
          <t>2023-03-04</t>
        </is>
      </c>
      <c r="M66" s="9"/>
      <c r="N66" s="9"/>
      <c r="O66" s="8"/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9"/>
      <c r="BG66" s="9"/>
      <c r="BH66" s="9"/>
      <c r="BI66" s="9"/>
      <c r="BJ66" s="9">
        <f>SUM(M66,N66,Q66,R66,S66,T66,U66,V66,W66,X66,Y66,Z66,AA66,AB66,AC66,AD66,AE66,AF66,AG66,AH66,AI66,AJ66,AK66,AL66,AM66,AN66,AO66,AP66,AQ66,AR66,AS66,AT66,AU66,AV66,AW66,AX66,AY66,AZ66,BA66,BB66,BC66,BD66,BE66,BF66,BG66,BH66,BI66)</f>
      </c>
      <c r="BK66" s="9">
        <f>I66-BJ66</f>
      </c>
      <c r="BL66" s="9">
        <f>BK66-BM66-BN66-BO66-BP66</f>
      </c>
      <c r="BM66" s="9"/>
      <c r="BN66" s="9"/>
      <c r="BO66" s="9"/>
      <c r="BP66" s="9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9"/>
      <c r="CB66" s="9"/>
      <c r="CC66" t="inlineStr" s="8">
        <is>
          <t>3166314173</t>
        </is>
      </c>
      <c r="CD66" t="inlineStr" s="8">
        <is>
          <t>stark.walter.74502412@example.com</t>
        </is>
      </c>
      <c r="CE66" t="inlineStr" s="8">
        <is>
          <t>BUNNY BUGS CEL: 3166317099</t>
        </is>
      </c>
      <c r="CF66" t="inlineStr" s="8">
        <is>
          <t>NC4898 MAR.4/23 CESION DE WALTER STARK/SHELDON SINCLAIR A NATASHA WEASLEY/NATASHA FOWLER *ANTIC $12.000.000 *ARRAS $4'640</t>
        </is>
      </c>
    </row>
    <row r="67" ht="13.7" customHeight="1">
      <c r="A67" t="inlineStr" s="8">
        <is>
          <t>60007919091640</t>
        </is>
      </c>
      <c r="B67" s="8"/>
      <c r="C67" t="inlineStr" s="8">
        <is>
          <t>307</t>
        </is>
      </c>
      <c r="D67" s="9">
        <v>55.20</v>
      </c>
      <c r="E67" t="inlineStr" s="8">
        <is>
          <t>74483761</t>
        </is>
      </c>
      <c r="F67" t="inlineStr" s="8">
        <is>
          <t>WATSON BRUCE</t>
        </is>
      </c>
      <c r="G67" t="inlineStr" s="8">
        <is>
          <t>*TRASLADO</t>
        </is>
      </c>
      <c r="H67" t="inlineStr" s="8">
        <is>
          <t>BANCO DE BOGOTA</t>
        </is>
      </c>
      <c r="I67" s="9">
        <v>192172500.00</v>
      </c>
      <c r="J67" t="inlineStr" s="8">
        <is>
          <t>NC4876TRASLADO - NCR4881CR</t>
        </is>
      </c>
      <c r="K67" t="inlineStr" s="8">
        <is>
          <t>NCR4877 - NCR4880 - NCR4879 - NCR4878</t>
        </is>
      </c>
      <c r="L67" t="inlineStr" s="8">
        <is>
          <t>2023-03-15</t>
        </is>
      </c>
      <c r="M67" s="9"/>
      <c r="N67" s="9">
        <v>15000000</v>
      </c>
      <c r="O67" t="inlineStr" s="8">
        <is>
          <t>MAY.6/23</t>
        </is>
      </c>
      <c r="P67" s="8"/>
      <c r="Q67" s="10"/>
      <c r="R67" s="10"/>
      <c r="S67" s="10"/>
      <c r="T67" s="10"/>
      <c r="U67" s="10"/>
      <c r="V67" s="10"/>
      <c r="W67" s="10"/>
      <c r="X67" s="10"/>
      <c r="Y67" s="10">
        <v>6608000</v>
      </c>
      <c r="Z67" s="10">
        <v>6899000</v>
      </c>
      <c r="AA67" s="10"/>
      <c r="AB67" s="10">
        <v>83471500</v>
      </c>
      <c r="AC67" s="10"/>
      <c r="AD67" s="10">
        <v>194000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9">
        <v>65000000</v>
      </c>
      <c r="BG67" s="9"/>
      <c r="BH67" s="9"/>
      <c r="BI67" s="9"/>
      <c r="BJ67" s="9">
        <f>SUM(M67,N67,Q67,R67,S67,T67,U67,V67,W67,X67,Y67,Z67,AA67,AB67,AC67,AD67,AE67,AF67,AG67,AH67,AI67,AJ67,AK67,AL67,AM67,AN67,AO67,AP67,AQ67,AR67,AS67,AT67,AU67,AV67,AW67,AX67,AY67,AZ67,BA67,BB67,BC67,BD67,BE67,BF67,BG67,BH67,BI67)</f>
      </c>
      <c r="BK67" s="9">
        <f>I67-BJ67</f>
      </c>
      <c r="BL67" s="9">
        <f>BK67-BM67-BN67-BO67-BP67</f>
      </c>
      <c r="BM67" s="9"/>
      <c r="BN67" s="9"/>
      <c r="BO67" s="9"/>
      <c r="BP67" s="9"/>
      <c r="BQ67" s="8"/>
      <c r="BR67" t="inlineStr" s="8">
        <is>
          <t>2022-05-21</t>
        </is>
      </c>
      <c r="BS67" t="inlineStr" s="8">
        <is>
          <t>2022-09-16</t>
        </is>
      </c>
      <c r="BT67" t="inlineStr" s="8">
        <is>
          <t>2023-06-11</t>
        </is>
      </c>
      <c r="BU67" s="8"/>
      <c r="BV67" s="8"/>
      <c r="BW67" s="8"/>
      <c r="BX67" s="8"/>
      <c r="BY67" s="8"/>
      <c r="BZ67" s="8"/>
      <c r="CA67" s="9"/>
      <c r="CB67" s="9"/>
      <c r="CC67" t="inlineStr" s="8">
        <is>
          <t>3166311101</t>
        </is>
      </c>
      <c r="CD67" t="inlineStr" s="8">
        <is>
          <t>watson.bruce.74483761@example.com</t>
        </is>
      </c>
      <c r="CE67" t="inlineStr" s="8">
        <is>
          <t>MOUSE MICKEY CEL: 3166312211</t>
        </is>
      </c>
      <c r="CF67" t="inlineStr" s="8">
        <is>
          <t>NC4876 MAR.15/23 TRASLADO DE BRUCE WATSON A TONY SCHRUTE *ANTIC $15.000.000 *ARRAS $4'640</t>
        </is>
      </c>
    </row>
    <row r="68" ht="13.7" customHeight="1">
      <c r="A68" t="inlineStr" s="8">
        <is>
          <t>60007919091640</t>
        </is>
      </c>
      <c r="B68" s="8"/>
      <c r="C68" t="inlineStr" s="8">
        <is>
          <t>307</t>
        </is>
      </c>
      <c r="D68" s="9">
        <v>55.20</v>
      </c>
      <c r="E68" t="inlineStr" s="8">
        <is>
          <t>74488189</t>
        </is>
      </c>
      <c r="F68" t="inlineStr" s="8">
        <is>
          <t>SCHRUTE TONY</t>
        </is>
      </c>
      <c r="G68" t="inlineStr" s="8">
        <is>
          <t>*TRASLADO</t>
        </is>
      </c>
      <c r="H68" t="inlineStr" s="8">
        <is>
          <t>BANCO DE BOGOTA</t>
        </is>
      </c>
      <c r="I68" s="9">
        <v>192172500.00</v>
      </c>
      <c r="J68" t="inlineStr" s="8">
        <is>
          <t>NC4876TRASLADO - NCR4881CR</t>
        </is>
      </c>
      <c r="K68" t="inlineStr" s="8">
        <is>
          <t>NCR4877 - NCR4880 - NCR4879 - NCR4878</t>
        </is>
      </c>
      <c r="L68" t="inlineStr" s="8">
        <is>
          <t>2023-03-15</t>
        </is>
      </c>
      <c r="M68" s="9"/>
      <c r="N68" s="9">
        <v>15000000</v>
      </c>
      <c r="O68" t="inlineStr" s="8">
        <is>
          <t>MAY.6/23</t>
        </is>
      </c>
      <c r="P68" s="8"/>
      <c r="Q68" s="10"/>
      <c r="R68" s="10"/>
      <c r="S68" s="10"/>
      <c r="T68" s="10"/>
      <c r="U68" s="10"/>
      <c r="V68" s="10"/>
      <c r="W68" s="10"/>
      <c r="X68" s="10"/>
      <c r="Y68" s="10">
        <v>6608000</v>
      </c>
      <c r="Z68" s="10">
        <v>6899000</v>
      </c>
      <c r="AA68" s="10"/>
      <c r="AB68" s="10">
        <v>83471500</v>
      </c>
      <c r="AC68" s="10"/>
      <c r="AD68" s="10">
        <v>194000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9">
        <v>65000000</v>
      </c>
      <c r="BG68" s="9"/>
      <c r="BH68" s="9"/>
      <c r="BI68" s="9"/>
      <c r="BJ68" s="9">
        <f>SUM(M68,N68,Q68,R68,S68,T68,U68,V68,W68,X68,Y68,Z68,AA68,AB68,AC68,AD68,AE68,AF68,AG68,AH68,AI68,AJ68,AK68,AL68,AM68,AN68,AO68,AP68,AQ68,AR68,AS68,AT68,AU68,AV68,AW68,AX68,AY68,AZ68,BA68,BB68,BC68,BD68,BE68,BF68,BG68,BH68,BI68)</f>
      </c>
      <c r="BK68" s="9">
        <f>I68-BJ68</f>
      </c>
      <c r="BL68" s="9">
        <f>BK68-BM68-BN68-BO68-BP68</f>
      </c>
      <c r="BM68" s="9"/>
      <c r="BN68" s="9"/>
      <c r="BO68" s="9"/>
      <c r="BP68" s="9"/>
      <c r="BQ68" s="8"/>
      <c r="BR68" t="inlineStr" s="8">
        <is>
          <t>2022-05-21</t>
        </is>
      </c>
      <c r="BS68" t="inlineStr" s="8">
        <is>
          <t>2022-09-16</t>
        </is>
      </c>
      <c r="BT68" t="inlineStr" s="8">
        <is>
          <t>2023-06-11</t>
        </is>
      </c>
      <c r="BU68" s="8"/>
      <c r="BV68" s="8"/>
      <c r="BW68" s="8"/>
      <c r="BX68" s="8"/>
      <c r="BY68" s="8"/>
      <c r="BZ68" s="8"/>
      <c r="CA68" s="9"/>
      <c r="CB68" s="9"/>
      <c r="CC68" t="inlineStr" s="8">
        <is>
          <t>3166311739</t>
        </is>
      </c>
      <c r="CD68" t="inlineStr" s="8">
        <is>
          <t>schrute.tony.74488189@example.com</t>
        </is>
      </c>
      <c r="CE68" t="inlineStr" s="8">
        <is>
          <t>MOUSE MICKEY CEL: 3166312211</t>
        </is>
      </c>
      <c r="CF68" t="inlineStr" s="8">
        <is>
          <t>NC4876 MAR.15/23 TRASLADO DE BRUCE WATSON A TONY SCHRUTE *ANTIC $15.000.000 *ARRAS $4'640</t>
        </is>
      </c>
    </row>
    <row r="69" ht="13.7" customHeight="1">
      <c r="A69" t="inlineStr" s="8">
        <is>
          <t>60007919092932</t>
        </is>
      </c>
      <c r="B69" t="inlineStr" s="8">
        <is>
          <t>60007919093007</t>
        </is>
      </c>
      <c r="C69" t="inlineStr" s="8">
        <is>
          <t>506</t>
        </is>
      </c>
      <c r="D69" s="9">
        <v>55.20</v>
      </c>
      <c r="E69" t="inlineStr" s="8">
        <is>
          <t>74595837</t>
        </is>
      </c>
      <c r="F69" t="inlineStr" s="8">
        <is>
          <t>KENT DUSTIN</t>
        </is>
      </c>
      <c r="G69" t="inlineStr" s="8">
        <is>
          <t>*CESION/ARRAS</t>
        </is>
      </c>
      <c r="H69" s="8"/>
      <c r="I69" s="9">
        <v>192172500.00</v>
      </c>
      <c r="J69" s="8"/>
      <c r="K69" s="8"/>
      <c r="L69" t="inlineStr" s="8">
        <is>
          <t>2023-09-30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9"/>
      <c r="BG69" s="9"/>
      <c r="BH69" s="9"/>
      <c r="BI69" s="9"/>
      <c r="BJ69" s="9">
        <f>SUM(M69,N69,Q69,R69,S69,T69,U69,V69,W69,X69,Y69,Z69,AA69,AB69,AC69,AD69,AE69,AF69,AG69,AH69,AI69,AJ69,AK69,AL69,AM69,AN69,AO69,AP69,AQ69,AR69,AS69,AT69,AU69,AV69,AW69,AX69,AY69,AZ69,BA69,BB69,BC69,BD69,BE69,BF69,BG69,BH69,BI69)</f>
      </c>
      <c r="BK69" s="9">
        <f>I69-BJ69</f>
      </c>
      <c r="BL69" s="9">
        <f>BK69-BM69-BN69-BO69-BP69</f>
      </c>
      <c r="BM69" s="9"/>
      <c r="BN69" s="9"/>
      <c r="BO69" s="9"/>
      <c r="BP69" s="9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9"/>
      <c r="CB69" s="9"/>
      <c r="CC69" t="inlineStr" s="8">
        <is>
          <t>3166324910</t>
        </is>
      </c>
      <c r="CD69" t="inlineStr" s="8">
        <is>
          <t>kent.dustin.74595837@example.com</t>
        </is>
      </c>
      <c r="CE69" t="inlineStr" s="8">
        <is>
          <t>FINN CEL: 3166326260</t>
        </is>
      </c>
      <c r="CF69" t="inlineStr" s="8">
        <is>
          <t>NC4999 SEP.30/23 CESION DE DUSTIN KENT/WALTER GOODMAN A TONY GRANGER *ANTIC $25.000.000 *ARRAS $4'640</t>
        </is>
      </c>
    </row>
    <row r="70" ht="13.7" customHeight="1">
      <c r="A70" t="inlineStr" s="8">
        <is>
          <t>60007919093007</t>
        </is>
      </c>
      <c r="B70" s="8"/>
      <c r="C70" t="inlineStr" s="8">
        <is>
          <t>506</t>
        </is>
      </c>
      <c r="D70" s="9">
        <v>55.20</v>
      </c>
      <c r="E70" t="inlineStr" s="8">
        <is>
          <t>74606135</t>
        </is>
      </c>
      <c r="F70" t="inlineStr" s="8">
        <is>
          <t>GRANGER TONY</t>
        </is>
      </c>
      <c r="G70" t="inlineStr" s="8">
        <is>
          <t>*CESION/ARRAS</t>
        </is>
      </c>
      <c r="H70" s="8"/>
      <c r="I70" s="9">
        <v>192172500.00</v>
      </c>
      <c r="J70" t="inlineStr" s="8">
        <is>
          <t>NCR5004 - NC4999CESION</t>
        </is>
      </c>
      <c r="K70" t="inlineStr" s="8">
        <is>
          <t>NCR5006 - NCR5005 - NCR5003 - NCR5001 - NCR5000 - NCR5002</t>
        </is>
      </c>
      <c r="L70" t="inlineStr" s="8">
        <is>
          <t>2023-09-30</t>
        </is>
      </c>
      <c r="M70" s="9">
        <v>5647000</v>
      </c>
      <c r="N70" s="9">
        <v>25000000</v>
      </c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>
        <v>6212000</v>
      </c>
      <c r="Z70" s="10"/>
      <c r="AA70" s="10"/>
      <c r="AB70" s="10"/>
      <c r="AC70" s="10">
        <v>3529000</v>
      </c>
      <c r="AD70" s="10"/>
      <c r="AE70" s="10"/>
      <c r="AF70" s="10"/>
      <c r="AG70" s="10">
        <v>30352000</v>
      </c>
      <c r="AH70" s="10">
        <v>10729000</v>
      </c>
      <c r="AI70" s="10"/>
      <c r="AJ70" s="10">
        <v>78068000</v>
      </c>
      <c r="AK70" s="10"/>
      <c r="AL70" s="10"/>
      <c r="AM70" s="10"/>
      <c r="AN70" s="10"/>
      <c r="AO70" s="10"/>
      <c r="AP70" s="10">
        <v>6635500</v>
      </c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9"/>
      <c r="BG70" s="9"/>
      <c r="BH70" s="9"/>
      <c r="BI70" s="9"/>
      <c r="BJ70" s="9">
        <f>SUM(M70,N70,Q70,R70,S70,T70,U70,V70,W70,X70,Y70,Z70,AA70,AB70,AC70,AD70,AE70,AF70,AG70,AH70,AI70,AJ70,AK70,AL70,AM70,AN70,AO70,AP70,AQ70,AR70,AS70,AT70,AU70,AV70,AW70,AX70,AY70,AZ70,BA70,BB70,BC70,BD70,BE70,BF70,BG70,BH70,BI70)</f>
      </c>
      <c r="BK70" s="9">
        <f>I70-BJ70</f>
      </c>
      <c r="BL70" s="9">
        <f>BK70-BM70-BN70-BO70-BP70</f>
      </c>
      <c r="BM70" s="9"/>
      <c r="BN70" s="9"/>
      <c r="BO70" s="9"/>
      <c r="BP70" s="9"/>
      <c r="BQ70" s="8"/>
      <c r="BR70" t="inlineStr" s="8">
        <is>
          <t>2022-12-28</t>
        </is>
      </c>
      <c r="BS70" t="inlineStr" s="8">
        <is>
          <t>2023-01-12</t>
        </is>
      </c>
      <c r="BT70" s="8"/>
      <c r="BU70" s="8"/>
      <c r="BV70" s="8"/>
      <c r="BW70" s="8"/>
      <c r="BX70" s="8"/>
      <c r="BY70" s="8"/>
      <c r="BZ70" s="8"/>
      <c r="CA70" s="9"/>
      <c r="CB70" s="9"/>
      <c r="CC70" t="inlineStr" s="8">
        <is>
          <t>3166325753</t>
        </is>
      </c>
      <c r="CD70" t="inlineStr" s="8">
        <is>
          <t>granger.tony.74606135@example.com</t>
        </is>
      </c>
      <c r="CE70" t="inlineStr" s="8">
        <is>
          <t>FINN CEL: 3166326260</t>
        </is>
      </c>
      <c r="CF70" t="inlineStr" s="8">
        <is>
          <t>NC4999 SEP.30/23 CESION DE DUSTIN KENT/WALTER GOODMAN A TONY GRANGER *ANTIC $25.000.000 *ARRAS $4'640</t>
        </is>
      </c>
    </row>
    <row r="71" ht="13.7" customHeight="1">
      <c r="A71" t="inlineStr" s="8">
        <is>
          <t>60007919093195</t>
        </is>
      </c>
      <c r="B71" s="8"/>
      <c r="C71" t="inlineStr" s="8">
        <is>
          <t>602</t>
        </is>
      </c>
      <c r="D71" s="9">
        <v>55.20</v>
      </c>
      <c r="E71" t="inlineStr" s="8">
        <is>
          <t>74620534</t>
        </is>
      </c>
      <c r="F71" t="inlineStr" s="8">
        <is>
          <t>KOOTHRAPPALI FERRIS</t>
        </is>
      </c>
      <c r="G71" t="inlineStr" s="8">
        <is>
          <t>*TRASLADO</t>
        </is>
      </c>
      <c r="H71" t="inlineStr" s="8">
        <is>
          <t>BANCOLOMBIA</t>
        </is>
      </c>
      <c r="I71" s="9">
        <v>192172500.00</v>
      </c>
      <c r="J71" t="inlineStr" s="8">
        <is>
          <t>NC5026TRASLADO - NCR5027CR</t>
        </is>
      </c>
      <c r="K71" s="8"/>
      <c r="L71" t="inlineStr" s="8">
        <is>
          <t>2023-10-08</t>
        </is>
      </c>
      <c r="M71" s="9"/>
      <c r="N71" s="9">
        <v>25000000</v>
      </c>
      <c r="O71" t="inlineStr" s="8">
        <is>
          <t>MAR.7/24</t>
        </is>
      </c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9">
        <v>10811000</v>
      </c>
      <c r="BG71" s="9"/>
      <c r="BH71" s="9"/>
      <c r="BI71" s="9"/>
      <c r="BJ71" s="9">
        <f>SUM(M71,N71,Q71,R71,S71,T71,U71,V71,W71,X71,Y71,Z71,AA71,AB71,AC71,AD71,AE71,AF71,AG71,AH71,AI71,AJ71,AK71,AL71,AM71,AN71,AO71,AP71,AQ71,AR71,AS71,AT71,AU71,AV71,AW71,AX71,AY71,AZ71,BA71,BB71,BC71,BD71,BE71,BF71,BG71,BH71,BI71)</f>
      </c>
      <c r="BK71" s="9">
        <f>I71-BJ71</f>
      </c>
      <c r="BL71" s="9">
        <f>BK71-BM71-BN71-BO71-BP71</f>
      </c>
      <c r="BM71" s="9"/>
      <c r="BN71" s="9"/>
      <c r="BO71" s="9"/>
      <c r="BP71" s="9"/>
      <c r="BQ71" s="8"/>
      <c r="BR71" t="inlineStr" s="8">
        <is>
          <t>2023-05-24</t>
        </is>
      </c>
      <c r="BS71" t="inlineStr" s="8">
        <is>
          <t>2023-09-13</t>
        </is>
      </c>
      <c r="BT71" s="8"/>
      <c r="BU71" s="8"/>
      <c r="BV71" s="8"/>
      <c r="BW71" s="8"/>
      <c r="BX71" s="8"/>
      <c r="BY71" s="8"/>
      <c r="BZ71" s="8"/>
      <c r="CA71" s="9"/>
      <c r="CB71" s="9"/>
      <c r="CC71" t="inlineStr" s="8">
        <is>
          <t>3166328564</t>
        </is>
      </c>
      <c r="CD71" t="inlineStr" s="8">
        <is>
          <t>koothrappali.ferris.74620534@example.com</t>
        </is>
      </c>
      <c r="CE71" t="inlineStr" s="8">
        <is>
          <t>MOUSE MICKEY CEL: 3166329666</t>
        </is>
      </c>
      <c r="CF71" t="inlineStr" s="8">
        <is>
          <t>NC5026 OCT.8/23 TRASLADO DE FERRIS KOOTHRAPPALI A LEGOLAS WHEELER/MICHAEL SKYWALKER *ANTIC $25.000.000 *ARRAS $4'640</t>
        </is>
      </c>
    </row>
    <row r="72" ht="13.7" customHeight="1">
      <c r="A72" t="inlineStr" s="8">
        <is>
          <t>60007919089635</t>
        </is>
      </c>
      <c r="B72" s="8"/>
      <c r="C72" t="inlineStr" s="8">
        <is>
          <t>102</t>
        </is>
      </c>
      <c r="D72" s="9">
        <v>55.20</v>
      </c>
      <c r="E72" t="inlineStr" s="8">
        <is>
          <t>74332023</t>
        </is>
      </c>
      <c r="F72" t="inlineStr" s="8">
        <is>
          <t>LOVEGOOD OBI WAN</t>
        </is>
      </c>
      <c r="G72" t="inlineStr" s="8">
        <is>
          <t>*CESION/ARRAS</t>
        </is>
      </c>
      <c r="H72" t="inlineStr" s="8">
        <is>
          <t>BANCO DE BOGOTA</t>
        </is>
      </c>
      <c r="I72" s="9">
        <v>192172500.00</v>
      </c>
      <c r="J72" s="8"/>
      <c r="K72" s="8"/>
      <c r="L72" t="inlineStr" s="8">
        <is>
          <t>2023-10-14</t>
        </is>
      </c>
      <c r="M72" s="9"/>
      <c r="N72" s="9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9"/>
      <c r="BG72" s="9"/>
      <c r="BH72" s="9"/>
      <c r="BI72" s="9"/>
      <c r="BJ72" s="9">
        <f>SUM(M72,N72,Q72,R72,S72,T72,U72,V72,W72,X72,Y72,Z72,AA72,AB72,AC72,AD72,AE72,AF72,AG72,AH72,AI72,AJ72,AK72,AL72,AM72,AN72,AO72,AP72,AQ72,AR72,AS72,AT72,AU72,AV72,AW72,AX72,AY72,AZ72,BA72,BB72,BC72,BD72,BE72,BF72,BG72,BH72,BI72)</f>
      </c>
      <c r="BK72" s="9">
        <f>I72-BJ72</f>
      </c>
      <c r="BL72" s="9">
        <f>BK72-BM72-BN72-BO72-BP72</f>
      </c>
      <c r="BM72" s="9"/>
      <c r="BN72" s="9"/>
      <c r="BO72" s="9"/>
      <c r="BP72" s="9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9"/>
      <c r="CB72" s="9"/>
      <c r="CC72" t="inlineStr" s="8">
        <is>
          <t>3166286216</t>
        </is>
      </c>
      <c r="CD72" t="inlineStr" s="8">
        <is>
          <t>lovegood.obi.wan.74332023@example.com</t>
        </is>
      </c>
      <c r="CE72" t="inlineStr" s="8">
        <is>
          <t>MOUSE MICKEY CEL: 3166287104</t>
        </is>
      </c>
      <c r="CF72" t="inlineStr" s="8">
        <is>
          <t>NC4682 OCT.14/23 CESION DE OBI LOVEGOOD A CLINT POIROT/DWIGHT LANNISTER *ANTIC $15.000.000 *ARRAS $4'640</t>
        </is>
      </c>
    </row>
    <row r="73" ht="13.7" customHeight="1">
      <c r="A73" t="inlineStr" s="8">
        <is>
          <t>60007919090376</t>
        </is>
      </c>
      <c r="B73" t="inlineStr" s="8">
        <is>
          <t>60007919090466</t>
        </is>
      </c>
      <c r="C73" t="inlineStr" s="8">
        <is>
          <t>202</t>
        </is>
      </c>
      <c r="D73" s="9">
        <v>55.20</v>
      </c>
      <c r="E73" t="inlineStr" s="8">
        <is>
          <t>74382628</t>
        </is>
      </c>
      <c r="F73" t="inlineStr" s="8">
        <is>
          <t>COOPER SHERLOCK</t>
        </is>
      </c>
      <c r="G73" t="inlineStr" s="8">
        <is>
          <t>*TRASLADO</t>
        </is>
      </c>
      <c r="H73" t="inlineStr" s="8">
        <is>
          <t>BANCO CAJA SOCIAL</t>
        </is>
      </c>
      <c r="I73" s="9">
        <v>192172500.00</v>
      </c>
      <c r="J73" s="8"/>
      <c r="K73" s="8"/>
      <c r="L73" t="inlineStr" s="8">
        <is>
          <t>2023-12-25</t>
        </is>
      </c>
      <c r="M73" s="9"/>
      <c r="N73" s="9"/>
      <c r="O73" s="8"/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9"/>
      <c r="BG73" s="9"/>
      <c r="BH73" s="9"/>
      <c r="BI73" s="9"/>
      <c r="BJ73" s="9">
        <f>SUM(M73,N73,Q73,R73,S73,T73,U73,V73,W73,X73,Y73,Z73,AA73,AB73,AC73,AD73,AE73,AF73,AG73,AH73,AI73,AJ73,AK73,AL73,AM73,AN73,AO73,AP73,AQ73,AR73,AS73,AT73,AU73,AV73,AW73,AX73,AY73,AZ73,BA73,BB73,BC73,BD73,BE73,BF73,BG73,BH73,BI73)</f>
      </c>
      <c r="BK73" s="9">
        <f>I73-BJ73</f>
      </c>
      <c r="BL73" s="9">
        <f>BK73-BM73-BN73-BO73-BP73</f>
      </c>
      <c r="BM73" s="9"/>
      <c r="BN73" s="9"/>
      <c r="BO73" s="9"/>
      <c r="BP73" s="9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9"/>
      <c r="CB73" s="9"/>
      <c r="CC73" t="inlineStr" s="8">
        <is>
          <t>3166294152</t>
        </is>
      </c>
      <c r="CD73" t="inlineStr" s="8">
        <is>
          <t>cooper.sherlock.74382628@example.com</t>
        </is>
      </c>
      <c r="CE73" t="inlineStr" s="8">
        <is>
          <t>BUNNY BUGS CEL: 3166295026</t>
        </is>
      </c>
      <c r="CF73" t="inlineStr" s="8">
        <is>
          <t>NC4746 DIC.25/23 TRASLADO DE SHERLOCK COOPER A LUNA GRANGER *ANTIC $25.000.000 *ARRAS $4'640</t>
        </is>
      </c>
    </row>
    <row r="74" ht="13.7" customHeight="1">
      <c r="A74" t="inlineStr" s="8">
        <is>
          <t>60007919090466</t>
        </is>
      </c>
      <c r="B74" s="8"/>
      <c r="C74" t="inlineStr" s="8">
        <is>
          <t>202</t>
        </is>
      </c>
      <c r="D74" s="9">
        <v>55.20</v>
      </c>
      <c r="E74" t="inlineStr" s="8">
        <is>
          <t>74385366</t>
        </is>
      </c>
      <c r="F74" t="inlineStr" s="8">
        <is>
          <t>GRANGER LUNA</t>
        </is>
      </c>
      <c r="G74" t="inlineStr" s="8">
        <is>
          <t>*TRASLADO</t>
        </is>
      </c>
      <c r="H74" t="inlineStr" s="8">
        <is>
          <t>BANCO CAJA SOCIAL</t>
        </is>
      </c>
      <c r="I74" s="9">
        <v>192172500.00</v>
      </c>
      <c r="J74" t="inlineStr" s="8">
        <is>
          <t>NC4746TRASLADO - NCR4750 - NCR4753 - NCR4747 - NCR4748 - NCR4754CR</t>
        </is>
      </c>
      <c r="K74" t="inlineStr" s="8">
        <is>
          <t>NCR4751 - NCR4749 - NCR4752</t>
        </is>
      </c>
      <c r="L74" t="inlineStr" s="8">
        <is>
          <t>2023-12-25</t>
        </is>
      </c>
      <c r="M74" s="9">
        <f>10627000+2741500+5904000+7254000</f>
      </c>
      <c r="N74" s="9">
        <v>25000000</v>
      </c>
      <c r="O74" t="inlineStr" s="8">
        <is>
          <t>SEP.3/23</t>
        </is>
      </c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>
        <v>2319000</v>
      </c>
      <c r="AC74" s="10"/>
      <c r="AD74" s="10"/>
      <c r="AE74" s="10"/>
      <c r="AF74" s="10"/>
      <c r="AG74" s="10"/>
      <c r="AH74" s="10"/>
      <c r="AI74" s="10"/>
      <c r="AJ74" s="10"/>
      <c r="AK74" s="10"/>
      <c r="AL74" s="10">
        <f>5061000+8266000</f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9">
        <v>95000000</v>
      </c>
      <c r="BG74" s="9"/>
      <c r="BH74" s="9"/>
      <c r="BI74" s="9"/>
      <c r="BJ74" s="9">
        <f>SUM(M74,N74,Q74,R74,S74,T74,U74,V74,W74,X74,Y74,Z74,AA74,AB74,AC74,AD74,AE74,AF74,AG74,AH74,AI74,AJ74,AK74,AL74,AM74,AN74,AO74,AP74,AQ74,AR74,AS74,AT74,AU74,AV74,AW74,AX74,AY74,AZ74,BA74,BB74,BC74,BD74,BE74,BF74,BG74,BH74,BI74)</f>
      </c>
      <c r="BK74" s="9">
        <f>I74-BJ74</f>
      </c>
      <c r="BL74" s="9">
        <f>BK74-BM74-BN74-BO74-BP74</f>
      </c>
      <c r="BM74" s="9"/>
      <c r="BN74" s="9"/>
      <c r="BO74" s="9"/>
      <c r="BP74" s="9"/>
      <c r="BQ74" s="8"/>
      <c r="BR74" t="inlineStr" s="8">
        <is>
          <t>2022-10-15</t>
        </is>
      </c>
      <c r="BS74" t="inlineStr" s="8">
        <is>
          <t>2023-01-07</t>
        </is>
      </c>
      <c r="BT74" t="inlineStr" s="8">
        <is>
          <t>2024-08-10</t>
        </is>
      </c>
      <c r="BU74" s="8"/>
      <c r="BV74" s="8"/>
      <c r="BW74" s="8"/>
      <c r="BX74" s="8"/>
      <c r="BY74" s="8"/>
      <c r="BZ74" s="8"/>
      <c r="CA74" s="9"/>
      <c r="CB74" s="9"/>
      <c r="CC74" t="inlineStr" s="8">
        <is>
          <t>3166294703</t>
        </is>
      </c>
      <c r="CD74" t="inlineStr" s="8">
        <is>
          <t>granger.luna.74385366@example.com</t>
        </is>
      </c>
      <c r="CE74" t="inlineStr" s="8">
        <is>
          <t>BUNNY BUGS CEL: 3166295026</t>
        </is>
      </c>
      <c r="CF74" t="inlineStr" s="8">
        <is>
          <t>NC4746 DIC.25/23 TRASLADO DE SHERLOCK COOPER A LUNA GRANGER *ANTIC $25.000.000 *ARRAS $4'640</t>
        </is>
      </c>
    </row>
    <row r="75" ht="13.7" customHeight="1">
      <c r="A75" t="inlineStr" s="8">
        <is>
          <t>60007919091147</t>
        </is>
      </c>
      <c r="B75" s="8"/>
      <c r="C75" t="inlineStr" s="8">
        <is>
          <t>303</t>
        </is>
      </c>
      <c r="D75" s="9">
        <v>55.20</v>
      </c>
      <c r="E75" t="inlineStr" s="8">
        <is>
          <t>74438634</t>
        </is>
      </c>
      <c r="F75" t="inlineStr" s="8">
        <is>
          <t>SOLO RAJ</t>
        </is>
      </c>
      <c r="G75" t="inlineStr" s="8">
        <is>
          <t>*TRASLADO</t>
        </is>
      </c>
      <c r="H75" s="8"/>
      <c r="I75" s="9">
        <v>192172500.00</v>
      </c>
      <c r="J75" t="inlineStr" s="8">
        <is>
          <t>NCR4850 - NC4847TRASLADO</t>
        </is>
      </c>
      <c r="K75" t="inlineStr" s="8">
        <is>
          <t>NCR4848 - NCR4854 - NCR4855 - NCR4852 - NCR4851 - NCR4853 - NCR4849</t>
        </is>
      </c>
      <c r="L75" t="inlineStr" s="8">
        <is>
          <t>2024-03-01</t>
        </is>
      </c>
      <c r="M75" s="9">
        <v>502000</v>
      </c>
      <c r="N75" s="9">
        <v>25000000</v>
      </c>
      <c r="O75" s="8"/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>
        <v>24574000</v>
      </c>
      <c r="AN75" s="10">
        <v>18723000</v>
      </c>
      <c r="AO75" s="10"/>
      <c r="AP75" s="10">
        <v>10699000</v>
      </c>
      <c r="AQ75" s="10"/>
      <c r="AR75" s="10"/>
      <c r="AS75" s="10">
        <v>10699000</v>
      </c>
      <c r="AT75" s="10"/>
      <c r="AU75" s="10"/>
      <c r="AV75" s="10"/>
      <c r="AW75" s="10"/>
      <c r="AX75" s="10">
        <v>19726500</v>
      </c>
      <c r="AY75" s="10"/>
      <c r="AZ75" s="10"/>
      <c r="BA75" s="10"/>
      <c r="BB75" s="10"/>
      <c r="BC75" s="10"/>
      <c r="BD75" s="10">
        <f>39286000+42963000</f>
      </c>
      <c r="BE75" s="10"/>
      <c r="BF75" s="9"/>
      <c r="BG75" s="9"/>
      <c r="BH75" s="9"/>
      <c r="BI75" s="9"/>
      <c r="BJ75" s="9">
        <f>SUM(M75,N75,Q75,R75,S75,T75,U75,V75,W75,X75,Y75,Z75,AA75,AB75,AC75,AD75,AE75,AF75,AG75,AH75,AI75,AJ75,AK75,AL75,AM75,AN75,AO75,AP75,AQ75,AR75,AS75,AT75,AU75,AV75,AW75,AX75,AY75,AZ75,BA75,BB75,BC75,BD75,BE75,BF75,BG75,BH75,BI75)</f>
      </c>
      <c r="BK75" s="9">
        <f>I75-BJ75</f>
      </c>
      <c r="BL75" s="9">
        <f>BK75-BM75-BN75-BO75-BP75</f>
      </c>
      <c r="BM75" s="9"/>
      <c r="BN75" s="9"/>
      <c r="BO75" s="9"/>
      <c r="BP75" s="9"/>
      <c r="BQ75" s="8"/>
      <c r="BR75" t="inlineStr" s="8">
        <is>
          <t>2023-12-27</t>
        </is>
      </c>
      <c r="BS75" t="inlineStr" s="8">
        <is>
          <t>2024-03-04</t>
        </is>
      </c>
      <c r="BT75" t="inlineStr" s="8">
        <is>
          <t>2025-07-04</t>
        </is>
      </c>
      <c r="BU75" s="8"/>
      <c r="BV75" s="8"/>
      <c r="BW75" s="8"/>
      <c r="BX75" s="8"/>
      <c r="BY75" s="8"/>
      <c r="BZ75" s="8"/>
      <c r="CA75" s="9"/>
      <c r="CB75" s="9"/>
      <c r="CC75" t="inlineStr" s="8">
        <is>
          <t>3166303903</t>
        </is>
      </c>
      <c r="CD75" t="inlineStr" s="8">
        <is>
          <t>solo.raj.74438634@example.com</t>
        </is>
      </c>
      <c r="CE75" t="inlineStr" s="8">
        <is>
          <t>JETSON GEORGE CEL: 3166306247</t>
        </is>
      </c>
      <c r="CF75" t="inlineStr" s="8">
        <is>
          <t>NC4847 MAR.1/24 TRASLADO DE RAJ SOLO/EUGENE ROMANOFF A ANGELA PINKMAN *ANTIC $25.000.000 *ARRAS $4'640</t>
        </is>
      </c>
    </row>
    <row r="76" ht="13.7" customHeight="1">
      <c r="A76" t="inlineStr" s="8">
        <is>
          <t>60007919091147</t>
        </is>
      </c>
      <c r="B76" s="8"/>
      <c r="C76" t="inlineStr" s="8">
        <is>
          <t>303</t>
        </is>
      </c>
      <c r="D76" s="9">
        <v>55.20</v>
      </c>
      <c r="E76" t="inlineStr" s="8">
        <is>
          <t>74446466</t>
        </is>
      </c>
      <c r="F76" t="inlineStr" s="8">
        <is>
          <t>PINKMAN ANGELA</t>
        </is>
      </c>
      <c r="G76" t="inlineStr" s="8">
        <is>
          <t>*TRASLADO</t>
        </is>
      </c>
      <c r="H76" s="8"/>
      <c r="I76" s="9">
        <v>192172500.00</v>
      </c>
      <c r="J76" t="inlineStr" s="8">
        <is>
          <t>NCR4850 - NC4847TRASLADO</t>
        </is>
      </c>
      <c r="K76" t="inlineStr" s="8">
        <is>
          <t>NCR4848 - NCR4854 - NCR4855 - NCR4852 - NCR4851 - NCR4853 - NCR4849</t>
        </is>
      </c>
      <c r="L76" t="inlineStr" s="8">
        <is>
          <t>2024-03-01</t>
        </is>
      </c>
      <c r="M76" s="9">
        <v>502000</v>
      </c>
      <c r="N76" s="9">
        <v>25000000</v>
      </c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>
        <v>24574000</v>
      </c>
      <c r="AN76" s="10">
        <v>18723000</v>
      </c>
      <c r="AO76" s="10"/>
      <c r="AP76" s="10">
        <v>10699000</v>
      </c>
      <c r="AQ76" s="10"/>
      <c r="AR76" s="10"/>
      <c r="AS76" s="10">
        <v>10699000</v>
      </c>
      <c r="AT76" s="10"/>
      <c r="AU76" s="10"/>
      <c r="AV76" s="10"/>
      <c r="AW76" s="10"/>
      <c r="AX76" s="10">
        <v>19726500</v>
      </c>
      <c r="AY76" s="10"/>
      <c r="AZ76" s="10"/>
      <c r="BA76" s="10"/>
      <c r="BB76" s="10"/>
      <c r="BC76" s="10"/>
      <c r="BD76" s="10">
        <f>39286000+42963000</f>
      </c>
      <c r="BE76" s="10"/>
      <c r="BF76" s="9"/>
      <c r="BG76" s="9"/>
      <c r="BH76" s="9"/>
      <c r="BI76" s="9"/>
      <c r="BJ76" s="9">
        <f>SUM(M76,N76,Q76,R76,S76,T76,U76,V76,W76,X76,Y76,Z76,AA76,AB76,AC76,AD76,AE76,AF76,AG76,AH76,AI76,AJ76,AK76,AL76,AM76,AN76,AO76,AP76,AQ76,AR76,AS76,AT76,AU76,AV76,AW76,AX76,AY76,AZ76,BA76,BB76,BC76,BD76,BE76,BF76,BG76,BH76,BI76)</f>
      </c>
      <c r="BK76" s="9">
        <f>I76-BJ76</f>
      </c>
      <c r="BL76" s="9">
        <f>BK76-BM76-BN76-BO76-BP76</f>
      </c>
      <c r="BM76" s="9"/>
      <c r="BN76" s="9"/>
      <c r="BO76" s="9"/>
      <c r="BP76" s="9"/>
      <c r="BQ76" s="8"/>
      <c r="BR76" t="inlineStr" s="8">
        <is>
          <t>2023-12-27</t>
        </is>
      </c>
      <c r="BS76" t="inlineStr" s="8">
        <is>
          <t>2024-03-04</t>
        </is>
      </c>
      <c r="BT76" t="inlineStr" s="8">
        <is>
          <t>2025-07-04</t>
        </is>
      </c>
      <c r="BU76" s="8"/>
      <c r="BV76" s="8"/>
      <c r="BW76" s="8"/>
      <c r="BX76" s="8"/>
      <c r="BY76" s="8"/>
      <c r="BZ76" s="8"/>
      <c r="CA76" s="9"/>
      <c r="CB76" s="9"/>
      <c r="CC76" t="inlineStr" s="8">
        <is>
          <t>3166305419</t>
        </is>
      </c>
      <c r="CD76" t="inlineStr" s="8">
        <is>
          <t>pinkman.angela.74446466@example.com</t>
        </is>
      </c>
      <c r="CE76" t="inlineStr" s="8">
        <is>
          <t>JETSON GEORGE CEL: 3166306247</t>
        </is>
      </c>
      <c r="CF76" t="inlineStr" s="8">
        <is>
          <t>NC4847 MAR.1/24 TRASLADO DE RAJ SOLO/EUGENE ROMANOFF A ANGELA PINKMAN *ANTIC $25.000.000 *ARRAS $4'640</t>
        </is>
      </c>
    </row>
    <row r="77" ht="13.7" customHeight="1">
      <c r="A77" t="inlineStr" s="8">
        <is>
          <t>60007919091365</t>
        </is>
      </c>
      <c r="B77" s="8"/>
      <c r="C77" t="inlineStr" s="8">
        <is>
          <t>305</t>
        </is>
      </c>
      <c r="D77" s="9">
        <v>55.20</v>
      </c>
      <c r="E77" t="inlineStr" s="8">
        <is>
          <t>74458574</t>
        </is>
      </c>
      <c r="F77" t="inlineStr" s="8">
        <is>
          <t>MARTIN FRODO</t>
        </is>
      </c>
      <c r="G77" t="inlineStr" s="8">
        <is>
          <t>*CESION/ARRAS</t>
        </is>
      </c>
      <c r="H77" s="8"/>
      <c r="I77" s="9">
        <v>192172500.00</v>
      </c>
      <c r="J77" s="8"/>
      <c r="K77" s="8"/>
      <c r="L77" t="inlineStr" s="8">
        <is>
          <t>2024-03-02</t>
        </is>
      </c>
      <c r="M77" s="9"/>
      <c r="N77" s="9"/>
      <c r="O77" s="8"/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9"/>
      <c r="BG77" s="9"/>
      <c r="BH77" s="9"/>
      <c r="BI77" s="9"/>
      <c r="BJ77" s="9">
        <f>SUM(M77,N77,Q77,R77,S77,T77,U77,V77,W77,X77,Y77,Z77,AA77,AB77,AC77,AD77,AE77,AF77,AG77,AH77,AI77,AJ77,AK77,AL77,AM77,AN77,AO77,AP77,AQ77,AR77,AS77,AT77,AU77,AV77,AW77,AX77,AY77,AZ77,BA77,BB77,BC77,BD77,BE77,BF77,BG77,BH77,BI77)</f>
      </c>
      <c r="BK77" s="9">
        <f>I77-BJ77</f>
      </c>
      <c r="BL77" s="9">
        <f>BK77-BM77-BN77-BO77-BP77</f>
      </c>
      <c r="BM77" s="9"/>
      <c r="BN77" s="9"/>
      <c r="BO77" s="9"/>
      <c r="BP77" s="9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9"/>
      <c r="CB77" s="9"/>
      <c r="CC77" t="inlineStr" s="8">
        <is>
          <t>3166308427</t>
        </is>
      </c>
      <c r="CD77" t="inlineStr" s="8">
        <is>
          <t>martin.frodo.74458574@example.com</t>
        </is>
      </c>
      <c r="CE77" t="inlineStr" s="8">
        <is>
          <t>MOUSE MINNIE CEL: 3166309991</t>
        </is>
      </c>
      <c r="CF77" t="inlineStr" s="8">
        <is>
          <t>NC4858 MAR.2/24 CESION DE FRODO MARTIN A NATASHA GREEN/DIANA WHEELER *ANTIC $20.000.000 *ARRAS $4'640</t>
        </is>
      </c>
    </row>
    <row r="78" ht="13.7" customHeight="1">
      <c r="A78" t="inlineStr" s="8">
        <is>
          <t>60007919094394</t>
        </is>
      </c>
      <c r="B78" t="inlineStr" s="8">
        <is>
          <t>60007919094435</t>
        </is>
      </c>
      <c r="C78" t="inlineStr" s="8">
        <is>
          <t>706</t>
        </is>
      </c>
      <c r="D78" s="9">
        <v>55.20</v>
      </c>
      <c r="E78" t="inlineStr" s="8">
        <is>
          <t>74715260</t>
        </is>
      </c>
      <c r="F78" t="inlineStr" s="8">
        <is>
          <t>BEESLY WILL</t>
        </is>
      </c>
      <c r="G78" t="inlineStr" s="8">
        <is>
          <t>*CESION/ARRAS</t>
        </is>
      </c>
      <c r="H78" s="8"/>
      <c r="I78" s="9">
        <v>192172500.00</v>
      </c>
      <c r="J78" s="8"/>
      <c r="K78" s="8"/>
      <c r="L78" t="inlineStr" s="8">
        <is>
          <t>2024-04-14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9"/>
      <c r="BG78" s="9"/>
      <c r="BH78" s="9"/>
      <c r="BI78" s="9"/>
      <c r="BJ78" s="9">
        <f>SUM(M78,N78,Q78,R78,S78,T78,U78,V78,W78,X78,Y78,Z78,AA78,AB78,AC78,AD78,AE78,AF78,AG78,AH78,AI78,AJ78,AK78,AL78,AM78,AN78,AO78,AP78,AQ78,AR78,AS78,AT78,AU78,AV78,AW78,AX78,AY78,AZ78,BA78,BB78,BC78,BD78,BE78,BF78,BG78,BH78,BI78)</f>
      </c>
      <c r="BK78" s="9">
        <f>I78-BJ78</f>
      </c>
      <c r="BL78" s="9">
        <f>BK78-BM78-BN78-BO78-BP78</f>
      </c>
      <c r="BM78" s="9"/>
      <c r="BN78" s="9"/>
      <c r="BO78" s="9"/>
      <c r="BP78" s="9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9"/>
      <c r="CB78" s="9"/>
      <c r="CC78" t="inlineStr" s="8">
        <is>
          <t>3166342708</t>
        </is>
      </c>
      <c r="CD78" t="inlineStr" s="8">
        <is>
          <t>beesly.will.74715260@example.com</t>
        </is>
      </c>
      <c r="CE78" t="inlineStr" s="8">
        <is>
          <t>MOUSE MICKEY CEL: 3166343756</t>
        </is>
      </c>
      <c r="CF78" t="inlineStr" s="8">
        <is>
          <t>NC5128 ABR.14/24 CESION DE WILL BEESLY A ANGELA TARGARYEN *ANTIC $15.000.000 *ARRAS $4'640</t>
        </is>
      </c>
    </row>
    <row r="79" ht="13.7" customHeight="1">
      <c r="A79" t="inlineStr" s="8">
        <is>
          <t>60007919094435</t>
        </is>
      </c>
      <c r="B79" s="8"/>
      <c r="C79" t="inlineStr" s="8">
        <is>
          <t>706</t>
        </is>
      </c>
      <c r="D79" s="9">
        <v>55.20</v>
      </c>
      <c r="E79" t="inlineStr" s="8">
        <is>
          <t>74720216</t>
        </is>
      </c>
      <c r="F79" t="inlineStr" s="8">
        <is>
          <t>TARGARYEN ANGELA</t>
        </is>
      </c>
      <c r="G79" t="inlineStr" s="8">
        <is>
          <t>*CESION/ARRAS</t>
        </is>
      </c>
      <c r="H79" s="8"/>
      <c r="I79" s="9">
        <v>192172500.00</v>
      </c>
      <c r="J79" t="inlineStr" s="8">
        <is>
          <t>NC5128CESION</t>
        </is>
      </c>
      <c r="K79" t="inlineStr" s="8">
        <is>
          <t>NCR5135 - NCR5137 - NCR5134 - NCR5136 - NCR5132 - NCR5130 - NCR5131 - NCR5133 - NCR5129</t>
        </is>
      </c>
      <c r="L79" t="inlineStr" s="8">
        <is>
          <t>2024-04-14</t>
        </is>
      </c>
      <c r="M79" s="9"/>
      <c r="N79" s="9">
        <v>15000000</v>
      </c>
      <c r="O79" s="8"/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>
        <v>12731000</v>
      </c>
      <c r="AM79" s="10">
        <v>22476000</v>
      </c>
      <c r="AN79" s="10">
        <v>40236000</v>
      </c>
      <c r="AO79" s="10"/>
      <c r="AP79" s="10">
        <f>5344000+28605000+4558000</f>
      </c>
      <c r="AQ79" s="10"/>
      <c r="AR79" s="10">
        <v>15089000</v>
      </c>
      <c r="AS79" s="10">
        <f>1572000+26561500</f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9"/>
      <c r="BG79" s="9"/>
      <c r="BH79" s="9"/>
      <c r="BI79" s="9"/>
      <c r="BJ79" s="9">
        <f>SUM(M79,N79,Q79,R79,S79,T79,U79,V79,W79,X79,Y79,Z79,AA79,AB79,AC79,AD79,AE79,AF79,AG79,AH79,AI79,AJ79,AK79,AL79,AM79,AN79,AO79,AP79,AQ79,AR79,AS79,AT79,AU79,AV79,AW79,AX79,AY79,AZ79,BA79,BB79,BC79,BD79,BE79,BF79,BG79,BH79,BI79)</f>
      </c>
      <c r="BK79" s="9">
        <f>I79-BJ79</f>
      </c>
      <c r="BL79" s="9">
        <f>BK79-BM79-BN79-BO79-BP79</f>
      </c>
      <c r="BM79" s="9"/>
      <c r="BN79" s="9"/>
      <c r="BO79" s="9"/>
      <c r="BP79" s="9"/>
      <c r="BQ79" s="8"/>
      <c r="BR79" t="inlineStr" s="8">
        <is>
          <t>2023-10-06</t>
        </is>
      </c>
      <c r="BS79" t="inlineStr" s="8">
        <is>
          <t>2024-01-02</t>
        </is>
      </c>
      <c r="BT79" t="inlineStr" s="8">
        <is>
          <t>2024-07-02</t>
        </is>
      </c>
      <c r="BU79" s="8"/>
      <c r="BV79" s="8"/>
      <c r="BW79" s="8"/>
      <c r="BX79" s="8"/>
      <c r="BY79" s="8"/>
      <c r="BZ79" s="8"/>
      <c r="CA79" s="9"/>
      <c r="CB79" s="9"/>
      <c r="CC79" t="inlineStr" s="8">
        <is>
          <t>3166343572</t>
        </is>
      </c>
      <c r="CD79" t="inlineStr" s="8">
        <is>
          <t>targaryen.angela.74720216@example.com</t>
        </is>
      </c>
      <c r="CE79" t="inlineStr" s="8">
        <is>
          <t>MOUSE MICKEY CEL: 3166343756</t>
        </is>
      </c>
      <c r="CF79" t="inlineStr" s="8">
        <is>
          <t>NC5128 ABR.14/24 CESION DE WILL BEESLY A ANGELA TARGARYEN *ANTIC $15.000.000 *ARRAS $4'640</t>
        </is>
      </c>
    </row>
    <row r="80" ht="13.7" customHeight="1">
      <c r="A80" t="inlineStr" s="8">
        <is>
          <t>60007919090903</t>
        </is>
      </c>
      <c r="B80" t="inlineStr" s="8">
        <is>
          <t>60007919090999</t>
        </is>
      </c>
      <c r="C80" t="inlineStr" s="8">
        <is>
          <t>302</t>
        </is>
      </c>
      <c r="D80" s="9">
        <v>55.20</v>
      </c>
      <c r="E80" t="inlineStr" s="8">
        <is>
          <t>74426633</t>
        </is>
      </c>
      <c r="F80" t="inlineStr" s="8">
        <is>
          <t>BUFFAY LUNA</t>
        </is>
      </c>
      <c r="G80" t="inlineStr" s="8">
        <is>
          <t>*TRASLADO</t>
        </is>
      </c>
      <c r="H80" t="inlineStr" s="8">
        <is>
          <t>BBVA</t>
        </is>
      </c>
      <c r="I80" s="9">
        <v>192172500.00</v>
      </c>
      <c r="J80" s="8"/>
      <c r="K80" s="8"/>
      <c r="L80" t="inlineStr" s="8">
        <is>
          <t>2024-04-28</t>
        </is>
      </c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9"/>
      <c r="BG80" s="9"/>
      <c r="BH80" s="9"/>
      <c r="BI80" s="9"/>
      <c r="BJ80" s="9">
        <f>SUM(M80,N80,Q80,R80,S80,T80,U80,V80,W80,X80,Y80,Z80,AA80,AB80,AC80,AD80,AE80,AF80,AG80,AH80,AI80,AJ80,AK80,AL80,AM80,AN80,AO80,AP80,AQ80,AR80,AS80,AT80,AU80,AV80,AW80,AX80,AY80,AZ80,BA80,BB80,BC80,BD80,BE80,BF80,BG80,BH80,BI80)</f>
      </c>
      <c r="BK80" s="9">
        <f>I80-BJ80</f>
      </c>
      <c r="BL80" s="9">
        <f>BK80-BM80-BN80-BO80-BP80</f>
      </c>
      <c r="BM80" s="9"/>
      <c r="BN80" s="9"/>
      <c r="BO80" s="9"/>
      <c r="BP80" s="9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9"/>
      <c r="CB80" s="9"/>
      <c r="CC80" t="inlineStr" s="8">
        <is>
          <t>3166302875</t>
        </is>
      </c>
      <c r="CD80" t="inlineStr" s="8">
        <is>
          <t>buffay.luna.74426633@example.com</t>
        </is>
      </c>
      <c r="CE80" t="inlineStr" s="8">
        <is>
          <t>DUCK DAFFY CEL: 3166303425</t>
        </is>
      </c>
      <c r="CF80" t="inlineStr" s="8">
        <is>
          <t>NC4834 ABR.28/24 TRASLADO DE LUNA BUFFAY A MAX TENTACLES *ANTIC $25.000.000 *ARRAS $4'640</t>
        </is>
      </c>
    </row>
    <row r="81" ht="13.7" customHeight="1">
      <c r="A81" t="inlineStr" s="8">
        <is>
          <t>60007919090999</t>
        </is>
      </c>
      <c r="B81" s="8"/>
      <c r="C81" t="inlineStr" s="8">
        <is>
          <t>302</t>
        </is>
      </c>
      <c r="D81" s="9">
        <v>55.20</v>
      </c>
      <c r="E81" t="inlineStr" s="8">
        <is>
          <t>74431802</t>
        </is>
      </c>
      <c r="F81" t="inlineStr" s="8">
        <is>
          <t>TENTACLES MAX</t>
        </is>
      </c>
      <c r="G81" t="inlineStr" s="8">
        <is>
          <t>*TRASLADO</t>
        </is>
      </c>
      <c r="H81" t="inlineStr" s="8">
        <is>
          <t>BBVA</t>
        </is>
      </c>
      <c r="I81" s="9">
        <v>192172500.00</v>
      </c>
      <c r="J81" t="inlineStr" s="8">
        <is>
          <t>NCR4842 - NC4834TRASLADO - NCR4845CR</t>
        </is>
      </c>
      <c r="K81" t="inlineStr" s="8">
        <is>
          <t>NCR4841 - NCR4838 - NCR4836 - NCR4844 - NCR4839 - NCR4835 - NCR4837 - NCR4843 - NCR4840</t>
        </is>
      </c>
      <c r="L81" t="inlineStr" s="8">
        <is>
          <t>2024-04-28</t>
        </is>
      </c>
      <c r="M81" s="9">
        <v>10286000</v>
      </c>
      <c r="N81" s="9">
        <v>25000000</v>
      </c>
      <c r="O81" t="inlineStr" s="8">
        <is>
          <t>AGO.18/24</t>
        </is>
      </c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>
        <v>6799000</v>
      </c>
      <c r="AQ81" s="10"/>
      <c r="AR81" s="10"/>
      <c r="AS81" s="10">
        <f>5056000+18219000</f>
      </c>
      <c r="AT81" s="10"/>
      <c r="AU81" s="10"/>
      <c r="AV81" s="10"/>
      <c r="AW81" s="10"/>
      <c r="AX81" s="10"/>
      <c r="AY81" s="10"/>
      <c r="AZ81" s="10">
        <v>5056000</v>
      </c>
      <c r="BA81" s="10">
        <v>14383000</v>
      </c>
      <c r="BB81" s="10">
        <v>2703500</v>
      </c>
      <c r="BC81" s="10">
        <f>11681101+2092000+10897000</f>
      </c>
      <c r="BD81" s="10"/>
      <c r="BE81" s="10"/>
      <c r="BF81" s="9">
        <v>80000000</v>
      </c>
      <c r="BG81" s="9"/>
      <c r="BH81" s="9"/>
      <c r="BI81" s="9"/>
      <c r="BJ81" s="9">
        <f>SUM(M81,N81,Q81,R81,S81,T81,U81,V81,W81,X81,Y81,Z81,AA81,AB81,AC81,AD81,AE81,AF81,AG81,AH81,AI81,AJ81,AK81,AL81,AM81,AN81,AO81,AP81,AQ81,AR81,AS81,AT81,AU81,AV81,AW81,AX81,AY81,AZ81,BA81,BB81,BC81,BD81,BE81,BF81,BG81,BH81,BI81)</f>
      </c>
      <c r="BK81" s="9">
        <f>I81-BJ81</f>
      </c>
      <c r="BL81" s="9">
        <f>BK81-BM81-BN81-BO81-BP81</f>
      </c>
      <c r="BM81" s="9"/>
      <c r="BN81" s="9"/>
      <c r="BO81" s="9"/>
      <c r="BP81" s="9"/>
      <c r="BQ81" s="8"/>
      <c r="BR81" t="inlineStr" s="8">
        <is>
          <t>2024-04-28</t>
        </is>
      </c>
      <c r="BS81" t="inlineStr" s="8">
        <is>
          <t>2024-06-29</t>
        </is>
      </c>
      <c r="BT81" s="8"/>
      <c r="BU81" s="8"/>
      <c r="BV81" s="8"/>
      <c r="BW81" s="8"/>
      <c r="BX81" s="8"/>
      <c r="BY81" s="8"/>
      <c r="BZ81" s="8"/>
      <c r="CA81" s="9"/>
      <c r="CB81" s="9"/>
      <c r="CC81" t="inlineStr" s="8">
        <is>
          <t>3166303182</t>
        </is>
      </c>
      <c r="CD81" t="inlineStr" s="8">
        <is>
          <t>tentacles.max.74431802@example.com</t>
        </is>
      </c>
      <c r="CE81" t="inlineStr" s="8">
        <is>
          <t>DUCK DAFFY CEL: 3166303425</t>
        </is>
      </c>
      <c r="CF81" t="inlineStr" s="8">
        <is>
          <t>NC4834 ABR.28/24 TRASLADO DE LUNA BUFFAY A MAX TENTACLES *ANTIC $25.000.000 *ARRAS $4'640</t>
        </is>
      </c>
    </row>
    <row r="82" ht="13.7" customHeight="1">
      <c r="A82" t="inlineStr" s="8">
        <is>
          <t>60007919091511</t>
        </is>
      </c>
      <c r="B82" s="8"/>
      <c r="C82" t="inlineStr" s="8">
        <is>
          <t>306</t>
        </is>
      </c>
      <c r="D82" s="9">
        <v>55.20</v>
      </c>
      <c r="E82" t="inlineStr" s="8">
        <is>
          <t>74472671</t>
        </is>
      </c>
      <c r="F82" t="inlineStr" s="8">
        <is>
          <t>CHEEKS LISA</t>
        </is>
      </c>
      <c r="G82" t="inlineStr" s="8">
        <is>
          <t>*INCLUSION</t>
        </is>
      </c>
      <c r="H82" s="8"/>
      <c r="I82" s="9">
        <v>192172500.00</v>
      </c>
      <c r="J82" s="8"/>
      <c r="K82" s="8"/>
      <c r="L82" t="inlineStr" s="8">
        <is>
          <t>2024-06-08</t>
        </is>
      </c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9"/>
      <c r="BG82" s="9"/>
      <c r="BH82" s="9"/>
      <c r="BI82" s="9"/>
      <c r="BJ82" s="9">
        <f>SUM(M82,N82,Q82,R82,S82,T82,U82,V82,W82,X82,Y82,Z82,AA82,AB82,AC82,AD82,AE82,AF82,AG82,AH82,AI82,AJ82,AK82,AL82,AM82,AN82,AO82,AP82,AQ82,AR82,AS82,AT82,AU82,AV82,AW82,AX82,AY82,AZ82,BA82,BB82,BC82,BD82,BE82,BF82,BG82,BH82,BI82)</f>
      </c>
      <c r="BK82" s="9">
        <f>I82-BJ82</f>
      </c>
      <c r="BL82" s="9">
        <f>BK82-BM82-BN82-BO82-BP82</f>
      </c>
      <c r="BM82" s="9"/>
      <c r="BN82" s="9"/>
      <c r="BO82" s="9"/>
      <c r="BP82" s="9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9"/>
      <c r="CB82" s="9"/>
      <c r="CC82" t="inlineStr" s="8">
        <is>
          <t>3166310211</t>
        </is>
      </c>
      <c r="CD82" t="inlineStr" s="8">
        <is>
          <t>cheeks.lisa.74472671@example.com</t>
        </is>
      </c>
      <c r="CE82" t="inlineStr" s="8">
        <is>
          <t>PANTHER PINK CEL: 3166310713</t>
        </is>
      </c>
      <c r="CF82" t="inlineStr" s="8">
        <is>
          <t>NC4864 JUN.8/24 INCLUSION CHLOE ORGANA</t>
        </is>
      </c>
    </row>
    <row r="83" ht="13.7" customHeight="1">
      <c r="A83" t="inlineStr" s="8">
        <is>
          <t>60007919094251</t>
        </is>
      </c>
      <c r="B83" s="8"/>
      <c r="C83" t="inlineStr" s="8">
        <is>
          <t>705</t>
        </is>
      </c>
      <c r="D83" s="9">
        <v>55.20</v>
      </c>
      <c r="E83" t="inlineStr" s="8">
        <is>
          <t>74695206</t>
        </is>
      </c>
      <c r="F83" t="inlineStr" s="8">
        <is>
          <t>HENDERSON PHOEBE</t>
        </is>
      </c>
      <c r="G83" t="inlineStr" s="8">
        <is>
          <t>*CESION/ARRAS</t>
        </is>
      </c>
      <c r="H83" t="inlineStr" s="8">
        <is>
          <t>BBVA</t>
        </is>
      </c>
      <c r="I83" s="9">
        <v>192172500.00</v>
      </c>
      <c r="J83" s="8"/>
      <c r="K83" s="8"/>
      <c r="L83" t="inlineStr" s="8">
        <is>
          <t>2024-06-13</t>
        </is>
      </c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9"/>
      <c r="BG83" s="9"/>
      <c r="BH83" s="9"/>
      <c r="BI83" s="9"/>
      <c r="BJ83" s="9">
        <f>SUM(M83,N83,Q83,R83,S83,T83,U83,V83,W83,X83,Y83,Z83,AA83,AB83,AC83,AD83,AE83,AF83,AG83,AH83,AI83,AJ83,AK83,AL83,AM83,AN83,AO83,AP83,AQ83,AR83,AS83,AT83,AU83,AV83,AW83,AX83,AY83,AZ83,BA83,BB83,BC83,BD83,BE83,BF83,BG83,BH83,BI83)</f>
      </c>
      <c r="BK83" s="9">
        <f>I83-BJ83</f>
      </c>
      <c r="BL83" s="9">
        <f>BK83-BM83-BN83-BO83-BP83</f>
      </c>
      <c r="BM83" s="9"/>
      <c r="BN83" s="9"/>
      <c r="BO83" s="9"/>
      <c r="BP83" s="9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9"/>
      <c r="CB83" s="9"/>
      <c r="CC83" t="inlineStr" s="8">
        <is>
          <t>3166341031</t>
        </is>
      </c>
      <c r="CD83" t="inlineStr" s="8">
        <is>
          <t>henderson.phoebe.74695206@example.com</t>
        </is>
      </c>
      <c r="CE83" t="inlineStr" s="8">
        <is>
          <t>FINN CEL: 3166342159</t>
        </is>
      </c>
      <c r="CF83" t="inlineStr" s="8">
        <is>
          <t>NC5114 JUN.13/24 CESION DE PHOEBE HENDERSON A MICHAEL HOLMES/SQUIDWARD POIROT *ANTIC $12.000.000 *ARRAS $4'640</t>
        </is>
      </c>
    </row>
    <row r="84" ht="13.7" customHeight="1">
      <c r="A84" t="inlineStr" s="8">
        <is>
          <t>60007919090594</t>
        </is>
      </c>
      <c r="B84" s="8"/>
      <c r="C84" t="inlineStr" s="8">
        <is>
          <t>205</t>
        </is>
      </c>
      <c r="D84" s="9">
        <v>55.20</v>
      </c>
      <c r="E84" t="inlineStr" s="8">
        <is>
          <t>74397213</t>
        </is>
      </c>
      <c r="F84" t="inlineStr" s="8">
        <is>
          <t>WHEELER JOHN</t>
        </is>
      </c>
      <c r="G84" t="inlineStr" s="8">
        <is>
          <t>*CESION/ARRAS</t>
        </is>
      </c>
      <c r="H84" s="8"/>
      <c r="I84" s="9">
        <v>192172500.00</v>
      </c>
      <c r="J84" t="inlineStr" s="8">
        <is>
          <t>NC4783CESION - NCR4794 - NCR4795 - NCR4785 - NCR4796</t>
        </is>
      </c>
      <c r="K84" t="inlineStr" s="8">
        <is>
          <t>NCR4797 - NCR4784 - NCR4790 - NCR4792 - NCR4789 - NCR4791 - NCR4793 - NCR4788 - NCR4787 - NCR4786</t>
        </is>
      </c>
      <c r="L84" t="inlineStr" s="8">
        <is>
          <t>2024-07-31</t>
        </is>
      </c>
      <c r="M84" s="9">
        <f>5004000+11235000+8068000+13686000</f>
      </c>
      <c r="N84" s="9">
        <v>20000000</v>
      </c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>
        <f>1123000+5209000</f>
      </c>
      <c r="AN84" s="10">
        <v>1123000</v>
      </c>
      <c r="AO84" s="10"/>
      <c r="AP84" s="10"/>
      <c r="AQ84" s="10"/>
      <c r="AR84" s="10"/>
      <c r="AS84" s="10"/>
      <c r="AT84" s="10"/>
      <c r="AU84" s="10">
        <v>4085000</v>
      </c>
      <c r="AV84" s="10">
        <f>11541000+11030000</f>
      </c>
      <c r="AW84" s="10"/>
      <c r="AX84" s="10"/>
      <c r="AY84" s="10">
        <v>2553000</v>
      </c>
      <c r="AZ84" s="10">
        <v>16648000</v>
      </c>
      <c r="BA84" s="10"/>
      <c r="BB84" s="10">
        <f>1635000+9192000</f>
      </c>
      <c r="BC84" s="10"/>
      <c r="BD84" s="10"/>
      <c r="BE84" s="10"/>
      <c r="BF84" s="9"/>
      <c r="BG84" s="9"/>
      <c r="BH84" s="9"/>
      <c r="BI84" s="9"/>
      <c r="BJ84" s="9">
        <f>SUM(M84,N84,Q84,R84,S84,T84,U84,V84,W84,X84,Y84,Z84,AA84,AB84,AC84,AD84,AE84,AF84,AG84,AH84,AI84,AJ84,AK84,AL84,AM84,AN84,AO84,AP84,AQ84,AR84,AS84,AT84,AU84,AV84,AW84,AX84,AY84,AZ84,BA84,BB84,BC84,BD84,BE84,BF84,BG84,BH84,BI84)</f>
      </c>
      <c r="BK84" s="9">
        <f>I84-BJ84</f>
      </c>
      <c r="BL84" s="9">
        <f>BK84-BM84-BN84-BO84-BP84</f>
      </c>
      <c r="BM84" s="9"/>
      <c r="BN84" s="9"/>
      <c r="BO84" s="9"/>
      <c r="BP84" s="9"/>
      <c r="BQ84" s="8"/>
      <c r="BR84" t="inlineStr" s="8">
        <is>
          <t>2023-09-25</t>
        </is>
      </c>
      <c r="BS84" t="inlineStr" s="8">
        <is>
          <t>2023-12-14</t>
        </is>
      </c>
      <c r="BT84" s="8"/>
      <c r="BU84" s="8"/>
      <c r="BV84" s="8"/>
      <c r="BW84" s="8"/>
      <c r="BX84" s="8"/>
      <c r="BY84" s="8"/>
      <c r="BZ84" s="8"/>
      <c r="CA84" s="9"/>
      <c r="CB84" s="9"/>
      <c r="CC84" t="inlineStr" s="8">
        <is>
          <t>3166297808</t>
        </is>
      </c>
      <c r="CD84" t="inlineStr" s="8">
        <is>
          <t>wheeler.john.74397213@example.com</t>
        </is>
      </c>
      <c r="CE84" t="inlineStr" s="8">
        <is>
          <t>PANTHER PINK CEL: 3166299226</t>
        </is>
      </c>
      <c r="CF84" t="inlineStr" s="8">
        <is>
          <t>NC4783 JUL.31/24 CESION DE JOHN WHEELER A LEONARD GOODMAN *ANTIC $20.000.000 *ARRAS $4'640</t>
        </is>
      </c>
    </row>
    <row r="85" ht="13.7" customHeight="1">
      <c r="A85" t="inlineStr" s="8">
        <is>
          <t>60007919090594</t>
        </is>
      </c>
      <c r="B85" s="8"/>
      <c r="C85" t="inlineStr" s="8">
        <is>
          <t>205</t>
        </is>
      </c>
      <c r="D85" s="9">
        <v>55.20</v>
      </c>
      <c r="E85" t="inlineStr" s="8">
        <is>
          <t>74404761</t>
        </is>
      </c>
      <c r="F85" t="inlineStr" s="8">
        <is>
          <t>GOODMAN LEONARD</t>
        </is>
      </c>
      <c r="G85" t="inlineStr" s="8">
        <is>
          <t>*CESION/ARRAS</t>
        </is>
      </c>
      <c r="H85" s="8"/>
      <c r="I85" s="9">
        <v>192172500.00</v>
      </c>
      <c r="J85" t="inlineStr" s="8">
        <is>
          <t>NC4783CESION - NCR4794 - NCR4795 - NCR4785 - NCR4796</t>
        </is>
      </c>
      <c r="K85" t="inlineStr" s="8">
        <is>
          <t>NCR4797 - NCR4784 - NCR4790 - NCR4792 - NCR4789 - NCR4791 - NCR4793 - NCR4788 - NCR4787 - NCR4786</t>
        </is>
      </c>
      <c r="L85" t="inlineStr" s="8">
        <is>
          <t>2024-07-31</t>
        </is>
      </c>
      <c r="M85" s="9">
        <f>5004000+11235000+8068000+13686000</f>
      </c>
      <c r="N85" s="9">
        <v>20000000</v>
      </c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>
        <f>1123000+5209000</f>
      </c>
      <c r="AN85" s="10">
        <v>1123000</v>
      </c>
      <c r="AO85" s="10"/>
      <c r="AP85" s="10"/>
      <c r="AQ85" s="10"/>
      <c r="AR85" s="10"/>
      <c r="AS85" s="10"/>
      <c r="AT85" s="10"/>
      <c r="AU85" s="10">
        <v>4085000</v>
      </c>
      <c r="AV85" s="10">
        <f>11541000+11030000</f>
      </c>
      <c r="AW85" s="10"/>
      <c r="AX85" s="10"/>
      <c r="AY85" s="10">
        <v>2553000</v>
      </c>
      <c r="AZ85" s="10">
        <v>16648000</v>
      </c>
      <c r="BA85" s="10"/>
      <c r="BB85" s="10">
        <f>1635000+9192000</f>
      </c>
      <c r="BC85" s="10"/>
      <c r="BD85" s="10"/>
      <c r="BE85" s="10"/>
      <c r="BF85" s="9"/>
      <c r="BG85" s="9"/>
      <c r="BH85" s="9"/>
      <c r="BI85" s="9"/>
      <c r="BJ85" s="9">
        <f>SUM(M85,N85,Q85,R85,S85,T85,U85,V85,W85,X85,Y85,Z85,AA85,AB85,AC85,AD85,AE85,AF85,AG85,AH85,AI85,AJ85,AK85,AL85,AM85,AN85,AO85,AP85,AQ85,AR85,AS85,AT85,AU85,AV85,AW85,AX85,AY85,AZ85,BA85,BB85,BC85,BD85,BE85,BF85,BG85,BH85,BI85)</f>
      </c>
      <c r="BK85" s="9">
        <f>I85-BJ85</f>
      </c>
      <c r="BL85" s="9">
        <f>BK85-BM85-BN85-BO85-BP85</f>
      </c>
      <c r="BM85" s="9"/>
      <c r="BN85" s="9"/>
      <c r="BO85" s="9"/>
      <c r="BP85" s="9"/>
      <c r="BQ85" s="8"/>
      <c r="BR85" t="inlineStr" s="8">
        <is>
          <t>2023-09-25</t>
        </is>
      </c>
      <c r="BS85" t="inlineStr" s="8">
        <is>
          <t>2023-12-14</t>
        </is>
      </c>
      <c r="BT85" s="8"/>
      <c r="BU85" s="8"/>
      <c r="BV85" s="8"/>
      <c r="BW85" s="8"/>
      <c r="BX85" s="8"/>
      <c r="BY85" s="8"/>
      <c r="BZ85" s="8"/>
      <c r="CA85" s="9"/>
      <c r="CB85" s="9"/>
      <c r="CC85" t="inlineStr" s="8">
        <is>
          <t>3166298309</t>
        </is>
      </c>
      <c r="CD85" t="inlineStr" s="8">
        <is>
          <t>goodman.leonard.74404761@example.com</t>
        </is>
      </c>
      <c r="CE85" t="inlineStr" s="8">
        <is>
          <t>PANTHER PINK CEL: 3166299226</t>
        </is>
      </c>
      <c r="CF85" t="inlineStr" s="8">
        <is>
          <t>NC4783 JUL.31/24 CESION DE JOHN WHEELER A LEONARD GOODMAN *ANTIC $20.000.000 *ARRAS $4'640</t>
        </is>
      </c>
    </row>
    <row r="86" ht="13.7" customHeight="1">
      <c r="A86" t="inlineStr" s="8">
        <is>
          <t>60007919094177</t>
        </is>
      </c>
      <c r="B86" s="8"/>
      <c r="C86" t="inlineStr" s="8">
        <is>
          <t>704</t>
        </is>
      </c>
      <c r="D86" s="9">
        <v>55.20</v>
      </c>
      <c r="E86" t="inlineStr" s="8">
        <is>
          <t>74689975</t>
        </is>
      </c>
      <c r="F86" t="inlineStr" s="8">
        <is>
          <t>COOPER CLARK</t>
        </is>
      </c>
      <c r="G86" t="inlineStr" s="8">
        <is>
          <t>*INCLUSION</t>
        </is>
      </c>
      <c r="H86" t="inlineStr" s="8">
        <is>
          <t>BANCOLOMBIA</t>
        </is>
      </c>
      <c r="I86" s="9">
        <v>192172500.00</v>
      </c>
      <c r="J86" t="inlineStr" s="8">
        <is>
          <t>NCR5108 - NCR5107 - NCR5110 - NCR5109 - NCR5113CR</t>
        </is>
      </c>
      <c r="K86" t="inlineStr" s="8">
        <is>
          <t>NCR5112 - NCR5111</t>
        </is>
      </c>
      <c r="L86" t="inlineStr" s="8">
        <is>
          <t>2024-09-27</t>
        </is>
      </c>
      <c r="M86" s="9">
        <f>22891000+24926000+25053000+7122000</f>
      </c>
      <c r="N86" s="9"/>
      <c r="O86" t="inlineStr" s="8">
        <is>
          <t>NOV.15/23</t>
        </is>
      </c>
      <c r="P86" s="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>
        <v>38025000</v>
      </c>
      <c r="AU86" s="10"/>
      <c r="AV86" s="10"/>
      <c r="AW86" s="10"/>
      <c r="AX86" s="10">
        <v>9155500</v>
      </c>
      <c r="AY86" s="10"/>
      <c r="AZ86" s="10"/>
      <c r="BA86" s="10"/>
      <c r="BB86" s="10"/>
      <c r="BC86" s="10"/>
      <c r="BD86" s="10"/>
      <c r="BE86" s="10"/>
      <c r="BF86" s="9">
        <v>65000000</v>
      </c>
      <c r="BG86" s="9"/>
      <c r="BH86" s="9"/>
      <c r="BI86" s="9"/>
      <c r="BJ86" s="9">
        <f>SUM(M86,N86,Q86,R86,S86,T86,U86,V86,W86,X86,Y86,Z86,AA86,AB86,AC86,AD86,AE86,AF86,AG86,AH86,AI86,AJ86,AK86,AL86,AM86,AN86,AO86,AP86,AQ86,AR86,AS86,AT86,AU86,AV86,AW86,AX86,AY86,AZ86,BA86,BB86,BC86,BD86,BE86,BF86,BG86,BH86,BI86)</f>
      </c>
      <c r="BK86" s="9">
        <f>I86-BJ86</f>
      </c>
      <c r="BL86" s="9">
        <f>BK86-BM86-BN86-BO86-BP86</f>
      </c>
      <c r="BM86" s="9"/>
      <c r="BN86" s="9"/>
      <c r="BO86" s="9"/>
      <c r="BP86" s="9"/>
      <c r="BQ86" s="8"/>
      <c r="BR86" t="inlineStr" s="8">
        <is>
          <t>2023-04-27</t>
        </is>
      </c>
      <c r="BS86" t="inlineStr" s="8">
        <is>
          <t>2023-08-08</t>
        </is>
      </c>
      <c r="BT86" s="8"/>
      <c r="BU86" s="8"/>
      <c r="BV86" s="8"/>
      <c r="BW86" s="8"/>
      <c r="BX86" s="8"/>
      <c r="BY86" s="8"/>
      <c r="BZ86" s="8"/>
      <c r="CA86" s="9"/>
      <c r="CB86" s="9"/>
      <c r="CC86" t="inlineStr" s="8">
        <is>
          <t>3166339256</t>
        </is>
      </c>
      <c r="CD86" t="inlineStr" s="8">
        <is>
          <t>cooper.clark.74689975@example.com</t>
        </is>
      </c>
      <c r="CE86" t="inlineStr" s="8">
        <is>
          <t>BUNNY BUGS CEL: 3166340563</t>
        </is>
      </c>
      <c r="CF86" t="inlineStr" s="8">
        <is>
          <t>NC5106 SEP.27/24 INCLUSION ROSS GAMGEE</t>
        </is>
      </c>
    </row>
    <row r="87" ht="13.7" customHeight="1">
      <c r="A87" t="inlineStr" s="8">
        <is>
          <t>60007919090001</t>
        </is>
      </c>
      <c r="B87" s="8"/>
      <c r="C87" t="inlineStr" s="8">
        <is>
          <t>105</t>
        </is>
      </c>
      <c r="D87" s="9">
        <v>55.20</v>
      </c>
      <c r="E87" t="inlineStr" s="8">
        <is>
          <t>74359237</t>
        </is>
      </c>
      <c r="F87" t="inlineStr" s="8">
        <is>
          <t>TARGARYEN RACHEL</t>
        </is>
      </c>
      <c r="G87" t="inlineStr" s="8">
        <is>
          <t>*DESISTIM/ARRAS</t>
        </is>
      </c>
      <c r="H87" t="inlineStr" s="8">
        <is>
          <t>BANCO CAJA SOCIAL</t>
        </is>
      </c>
      <c r="I87" s="9">
        <v>192172500.00</v>
      </c>
      <c r="J87" s="8"/>
      <c r="K87" s="8"/>
      <c r="L87" s="8"/>
      <c r="M87" s="9"/>
      <c r="N87" s="9"/>
      <c r="O87" s="8"/>
      <c r="P87" s="8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9"/>
      <c r="BG87" s="9"/>
      <c r="BH87" s="9"/>
      <c r="BI87" s="9"/>
      <c r="BJ87" s="9">
        <f>SUM(M87,N87,Q87,R87,S87,T87,U87,V87,W87,X87,Y87,Z87,AA87,AB87,AC87,AD87,AE87,AF87,AG87,AH87,AI87,AJ87,AK87,AL87,AM87,AN87,AO87,AP87,AQ87,AR87,AS87,AT87,AU87,AV87,AW87,AX87,AY87,AZ87,BA87,BB87,BC87,BD87,BE87,BF87,BG87,BH87,BI87)</f>
      </c>
      <c r="BK87" s="9">
        <f>I87-BJ87</f>
      </c>
      <c r="BL87" s="9">
        <f>BK87-BM87-BN87-BO87-BP87</f>
      </c>
      <c r="BM87" s="9"/>
      <c r="BN87" s="9"/>
      <c r="BO87" s="9"/>
      <c r="BP87" s="9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9"/>
      <c r="CB87" s="9"/>
      <c r="CC87" t="inlineStr" s="8">
        <is>
          <t>3166289885</t>
        </is>
      </c>
      <c r="CD87" t="inlineStr" s="8">
        <is>
          <t>targaryen.rachel.74359237@example.com</t>
        </is>
      </c>
      <c r="CE87" t="inlineStr" s="8">
        <is>
          <t>JETSON GEORGE CEL: 3166290223</t>
        </is>
      </c>
      <c r="CF87" t="inlineStr" s="8">
        <is>
          <t>NC4711 SEP.1/22 DESISTIMIENTO POR ARRAS RACHEL TARGARYEN</t>
        </is>
      </c>
    </row>
    <row r="88" ht="13.7" customHeight="1">
      <c r="A88" t="inlineStr" s="8">
        <is>
          <t>60007919090707</t>
        </is>
      </c>
      <c r="B88" s="8"/>
      <c r="C88" t="inlineStr" s="8">
        <is>
          <t>206</t>
        </is>
      </c>
      <c r="D88" s="9">
        <v>55.20</v>
      </c>
      <c r="E88" t="inlineStr" s="8">
        <is>
          <t>74413224</t>
        </is>
      </c>
      <c r="F88" t="inlineStr" s="8">
        <is>
          <t>MAYFIELD JOEY</t>
        </is>
      </c>
      <c r="G88" t="inlineStr" s="8">
        <is>
          <t>*DESISTIM/ARRAS</t>
        </is>
      </c>
      <c r="H88" t="inlineStr" s="8">
        <is>
          <t>BANCO CAJA SOCIAL</t>
        </is>
      </c>
      <c r="I88" s="9">
        <v>192172500.00</v>
      </c>
      <c r="J88" t="inlineStr" s="8">
        <is>
          <t>NCR4809CR</t>
        </is>
      </c>
      <c r="K88" t="inlineStr" s="8">
        <is>
          <t>NCR4803 - NCR4801 - NCR4804 - NCR4805 - NCR4807 - NCR4808 - NCR4806 - NCR4799 - NCR4802 - NCR4800</t>
        </is>
      </c>
      <c r="L88" s="8"/>
      <c r="M88" s="9"/>
      <c r="N88" s="9"/>
      <c r="O88" t="inlineStr" s="8">
        <is>
          <t>DIC.12/22</t>
        </is>
      </c>
      <c r="P88" s="8"/>
      <c r="Q88" s="10"/>
      <c r="R88" s="10"/>
      <c r="S88" s="10"/>
      <c r="T88" s="10"/>
      <c r="U88" s="10"/>
      <c r="V88" s="10"/>
      <c r="W88" s="10"/>
      <c r="X88" s="10"/>
      <c r="Y88" s="10">
        <f>5991000+2692000+114000+303000</f>
      </c>
      <c r="Z88" s="10">
        <f>2654000+8190334</f>
      </c>
      <c r="AA88" s="10">
        <v>4929000</v>
      </c>
      <c r="AB88" s="10">
        <f>4284000+3488000+5270000</f>
      </c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9">
        <v>18957666</v>
      </c>
      <c r="BG88" s="9"/>
      <c r="BH88" s="9"/>
      <c r="BI88" s="9"/>
      <c r="BJ88" s="9">
        <f>SUM(M88,N88,Q88,R88,S88,T88,U88,V88,W88,X88,Y88,Z88,AA88,AB88,AC88,AD88,AE88,AF88,AG88,AH88,AI88,AJ88,AK88,AL88,AM88,AN88,AO88,AP88,AQ88,AR88,AS88,AT88,AU88,AV88,AW88,AX88,AY88,AZ88,BA88,BB88,BC88,BD88,BE88,BF88,BG88,BH88,BI88)</f>
      </c>
      <c r="BK88" s="9">
        <f>I88-BJ88</f>
      </c>
      <c r="BL88" s="9">
        <f>BK88-BM88-BN88-BO88-BP88</f>
      </c>
      <c r="BM88" s="9"/>
      <c r="BN88" s="9"/>
      <c r="BO88" s="9"/>
      <c r="BP88" s="9"/>
      <c r="BQ88" s="8"/>
      <c r="BR88" t="inlineStr" s="8">
        <is>
          <t>2022-11-13</t>
        </is>
      </c>
      <c r="BS88" t="inlineStr" s="8">
        <is>
          <t>2023-01-01</t>
        </is>
      </c>
      <c r="BT88" s="8"/>
      <c r="BU88" s="8"/>
      <c r="BV88" s="8"/>
      <c r="BW88" s="8"/>
      <c r="BX88" s="8"/>
      <c r="BY88" s="8"/>
      <c r="BZ88" s="8"/>
      <c r="CA88" s="9"/>
      <c r="CB88" s="9"/>
      <c r="CC88" t="inlineStr" s="8">
        <is>
          <t>3166300066</t>
        </is>
      </c>
      <c r="CD88" t="inlineStr" s="8">
        <is>
          <t>mayfield.joey.74413224@example.com</t>
        </is>
      </c>
      <c r="CE88" t="inlineStr" s="8">
        <is>
          <t>PANTHER PINK CEL: 3166300111</t>
        </is>
      </c>
      <c r="CF88" t="inlineStr" s="8">
        <is>
          <t>NC4798 DIC.18/22 DESISTIMIENTO POR ARRAS JOEY MAYFIELD</t>
        </is>
      </c>
    </row>
    <row r="89" ht="13.7" customHeight="1">
      <c r="A89" t="inlineStr" s="8">
        <is>
          <t>60007919093680</t>
        </is>
      </c>
      <c r="B89" s="8"/>
      <c r="C89" t="inlineStr" s="8">
        <is>
          <t>606</t>
        </is>
      </c>
      <c r="D89" s="9">
        <v>55.20</v>
      </c>
      <c r="E89" t="inlineStr" s="8">
        <is>
          <t>74651595</t>
        </is>
      </c>
      <c r="F89" t="inlineStr" s="8">
        <is>
          <t>WATSON DUSTIN</t>
        </is>
      </c>
      <c r="G89" t="inlineStr" s="8">
        <is>
          <t>TERMINACION</t>
        </is>
      </c>
      <c r="H89" t="inlineStr" s="8">
        <is>
          <t>BANCO CAJA SOCIAL</t>
        </is>
      </c>
      <c r="I89" s="9">
        <v>192172500.00</v>
      </c>
      <c r="J89" t="inlineStr" s="8">
        <is>
          <t>NCR5052 - NCR5053 - NCR5059CR</t>
        </is>
      </c>
      <c r="K89" t="inlineStr" s="8">
        <is>
          <t>NCR5054 - NCR5055 - NCR5056 - NCR5057 - NCR5058</t>
        </is>
      </c>
      <c r="L89" s="8"/>
      <c r="M89" s="9">
        <f>163000+4133000</f>
      </c>
      <c r="N89" s="9"/>
      <c r="O89" t="inlineStr" s="8">
        <is>
          <t>FEB.8/24</t>
        </is>
      </c>
      <c r="P89" s="8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>
        <v>1087334</v>
      </c>
      <c r="AM89" s="10">
        <v>924000</v>
      </c>
      <c r="AN89" s="10">
        <v>5166000</v>
      </c>
      <c r="AO89" s="10">
        <v>979000</v>
      </c>
      <c r="AP89" s="10"/>
      <c r="AQ89" s="10">
        <v>41925000</v>
      </c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9">
        <v>27188666</v>
      </c>
      <c r="BG89" s="9"/>
      <c r="BH89" s="9"/>
      <c r="BI89" s="9"/>
      <c r="BJ89" s="9">
        <f>SUM(M89,N89,Q89,R89,S89,T89,U89,V89,W89,X89,Y89,Z89,AA89,AB89,AC89,AD89,AE89,AF89,AG89,AH89,AI89,AJ89,AK89,AL89,AM89,AN89,AO89,AP89,AQ89,AR89,AS89,AT89,AU89,AV89,AW89,AX89,AY89,AZ89,BA89,BB89,BC89,BD89,BE89,BF89,BG89,BH89,BI89)</f>
      </c>
      <c r="BK89" s="9">
        <f>I89-BJ89</f>
      </c>
      <c r="BL89" s="9">
        <f>BK89-BM89-BN89-BO89-BP89</f>
      </c>
      <c r="BM89" s="9"/>
      <c r="BN89" s="9"/>
      <c r="BO89" s="9"/>
      <c r="BP89" s="9"/>
      <c r="BQ89" s="8"/>
      <c r="BR89" t="inlineStr" s="8">
        <is>
          <t>2023-12-29</t>
        </is>
      </c>
      <c r="BS89" t="inlineStr" s="8">
        <is>
          <t>2024-04-21</t>
        </is>
      </c>
      <c r="BT89" s="8"/>
      <c r="BU89" s="8"/>
      <c r="BV89" s="8"/>
      <c r="BW89" s="8"/>
      <c r="BX89" s="8"/>
      <c r="BY89" s="8"/>
      <c r="BZ89" s="8"/>
      <c r="CA89" s="9"/>
      <c r="CB89" s="9"/>
      <c r="CC89" t="inlineStr" s="8">
        <is>
          <t>3166333000</t>
        </is>
      </c>
      <c r="CD89" t="inlineStr" s="8">
        <is>
          <t>watson.dustin.74651595@example.com</t>
        </is>
      </c>
      <c r="CE89" t="inlineStr" s="8">
        <is>
          <t>MOUSE MINNIE CEL: 3166334144</t>
        </is>
      </c>
      <c r="CF89" t="inlineStr" s="8">
        <is>
          <t>NC5051 MAR.24/24 TERMINACION UNILATERAL DUSTIN WATSON/CLEVELAND JANE</t>
        </is>
      </c>
    </row>
    <row r="90" ht="13.7" customHeight="1">
      <c r="A90" t="inlineStr" s="8">
        <is>
          <t>60007919092490</t>
        </is>
      </c>
      <c r="B90" s="8"/>
      <c r="C90" t="inlineStr" s="8">
        <is>
          <t>406</t>
        </is>
      </c>
      <c r="D90" s="9">
        <v>55.20</v>
      </c>
      <c r="E90" t="inlineStr" s="8">
        <is>
          <t>74552378</t>
        </is>
      </c>
      <c r="F90" t="inlineStr" s="8">
        <is>
          <t>SCOTT WILL</t>
        </is>
      </c>
      <c r="G90" t="inlineStr" s="8">
        <is>
          <t>*DESISTIM/ARRAS</t>
        </is>
      </c>
      <c r="H90" t="inlineStr" s="8">
        <is>
          <t>BBVA</t>
        </is>
      </c>
      <c r="I90" s="9">
        <v>192172500.00</v>
      </c>
      <c r="J90" s="8"/>
      <c r="K90" s="8"/>
      <c r="L90" s="8"/>
      <c r="M90" s="9"/>
      <c r="N90" s="9"/>
      <c r="O90" s="8"/>
      <c r="P90" s="8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9"/>
      <c r="BG90" s="9"/>
      <c r="BH90" s="9"/>
      <c r="BI90" s="9"/>
      <c r="BJ90" s="9">
        <f>SUM(M90,N90,Q90,R90,S90,T90,U90,V90,W90,X90,Y90,Z90,AA90,AB90,AC90,AD90,AE90,AF90,AG90,AH90,AI90,AJ90,AK90,AL90,AM90,AN90,AO90,AP90,AQ90,AR90,AS90,AT90,AU90,AV90,AW90,AX90,AY90,AZ90,BA90,BB90,BC90,BD90,BE90,BF90,BG90,BH90,BI90)</f>
      </c>
      <c r="BK90" s="9">
        <f>I90-BJ90</f>
      </c>
      <c r="BL90" s="9">
        <f>BK90-BM90-BN90-BO90-BP90</f>
      </c>
      <c r="BM90" s="9"/>
      <c r="BN90" s="9"/>
      <c r="BO90" s="9"/>
      <c r="BP90" s="9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9"/>
      <c r="CB90" s="9"/>
      <c r="CC90" t="inlineStr" s="8">
        <is>
          <t>3166319313</t>
        </is>
      </c>
      <c r="CD90" t="inlineStr" s="8">
        <is>
          <t>scott.will.74552378@example.com</t>
        </is>
      </c>
      <c r="CE90" t="inlineStr" s="8">
        <is>
          <t>FLINTSTONE FRED CEL: 3166320268</t>
        </is>
      </c>
      <c r="CF90" t="inlineStr" s="8">
        <is>
          <t>NC4944 ABR.12/24 DESISTIMIENTO POR ARRAS WILL SCOTT/HERCULE BROWN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2.42578125" customWidth="1"/>
    <col min="58" max="58" width="15.5703125" customWidth="1"/>
    <col min="59" max="59" width="15.28515625" customWidth="1"/>
    <col min="60" max="60" width="14.140625" customWidth="1"/>
    <col min="61" max="61" width="15.28515625" customWidth="1"/>
    <col min="62" max="62" width="11.5703125" customWidth="1"/>
    <col min="63" max="63" width="13.0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8.140625" customWidth="1"/>
    <col min="73" max="73" width="11.425781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3.0" customWidth="1"/>
    <col min="81" max="81" width="20.0" customWidth="1"/>
    <col min="82" max="82" width="24.0" customWidth="1"/>
    <col min="83" max="83" width="105.140625" customWidth="1"/>
  </cols>
  <sheetData>
    <row r="1">
      <c r="A1" t="inlineStr" s="1">
        <is>
          <t>CONJUNTO CERRADO KSMP T5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FEB/2022</t>
        </is>
      </c>
      <c r="S4" t="inlineStr" s="5">
        <is>
          <t>RECIBO FIDUCIA MAR/2022</t>
        </is>
      </c>
      <c r="T4" t="inlineStr" s="5">
        <is>
          <t>RECIBO FIDUCIA ABR/2022</t>
        </is>
      </c>
      <c r="U4" t="inlineStr" s="5">
        <is>
          <t>RECIBO FIDUCIA MAY/2022</t>
        </is>
      </c>
      <c r="V4" t="inlineStr" s="5">
        <is>
          <t>RECIBO FIDUCIA JUN/2022</t>
        </is>
      </c>
      <c r="W4" t="inlineStr" s="5">
        <is>
          <t>RECIBO FIDUCIA JUL/2022</t>
        </is>
      </c>
      <c r="X4" t="inlineStr" s="5">
        <is>
          <t>RECIBO FIDUCIA AGO/2022</t>
        </is>
      </c>
      <c r="Y4" t="inlineStr" s="5">
        <is>
          <t>RECIBO FIDUCIA SEP/2022</t>
        </is>
      </c>
      <c r="Z4" t="inlineStr" s="5">
        <is>
          <t>RECIBO FIDUCIA OCT/2022</t>
        </is>
      </c>
      <c r="AA4" t="inlineStr" s="5">
        <is>
          <t>RECIBO FIDUCIA NOV/2022</t>
        </is>
      </c>
      <c r="AB4" t="inlineStr" s="5">
        <is>
          <t>RECIBO FIDUCIA DIC/2022</t>
        </is>
      </c>
      <c r="AC4" t="inlineStr" s="5">
        <is>
          <t>RECIBO FIDUCIA ENE/2023</t>
        </is>
      </c>
      <c r="AD4" t="inlineStr" s="5">
        <is>
          <t>RECIBO FIDUCIA FEB/2023</t>
        </is>
      </c>
      <c r="AE4" t="inlineStr" s="5">
        <is>
          <t>RECIBO FIDUCIA MAR/2023</t>
        </is>
      </c>
      <c r="AF4" t="inlineStr" s="5">
        <is>
          <t>RECIBO FIDUCIA ABR/2023</t>
        </is>
      </c>
      <c r="AG4" t="inlineStr" s="5">
        <is>
          <t>RECIBO FIDUCIA MAY/2023</t>
        </is>
      </c>
      <c r="AH4" t="inlineStr" s="5">
        <is>
          <t>RECIBO FIDUCIA JUN/2023</t>
        </is>
      </c>
      <c r="AI4" t="inlineStr" s="5">
        <is>
          <t>RECIBO FIDUCIA JUL/2023</t>
        </is>
      </c>
      <c r="AJ4" t="inlineStr" s="5">
        <is>
          <t>RECIBO FIDUCIA AGO/2023</t>
        </is>
      </c>
      <c r="AK4" t="inlineStr" s="5">
        <is>
          <t>RECIBO FIDUCIA SEP/2023</t>
        </is>
      </c>
      <c r="AL4" t="inlineStr" s="5">
        <is>
          <t>RECIBO FIDUCIA OCT/2023</t>
        </is>
      </c>
      <c r="AM4" t="inlineStr" s="5">
        <is>
          <t>RECIBO FIDUCIA NOV/2023</t>
        </is>
      </c>
      <c r="AN4" t="inlineStr" s="5">
        <is>
          <t>RECIBO FIDUCIA DIC/2023</t>
        </is>
      </c>
      <c r="AO4" t="inlineStr" s="5">
        <is>
          <t>RECIBO FIDUCIA ENE/2024</t>
        </is>
      </c>
      <c r="AP4" t="inlineStr" s="5">
        <is>
          <t>RECIBO FIDUCIA FEB/2024</t>
        </is>
      </c>
      <c r="AQ4" t="inlineStr" s="5">
        <is>
          <t>RECIBO FIDUCIA MAR/2024</t>
        </is>
      </c>
      <c r="AR4" t="inlineStr" s="5">
        <is>
          <t>RECIBO FIDUCIA ABR/2024</t>
        </is>
      </c>
      <c r="AS4" t="inlineStr" s="5">
        <is>
          <t>RECIBO FIDUCIA MAY/2024</t>
        </is>
      </c>
      <c r="AT4" t="inlineStr" s="5">
        <is>
          <t>RECIBO FIDUCIA JUN/2024</t>
        </is>
      </c>
      <c r="AU4" t="inlineStr" s="5">
        <is>
          <t>RECIBO FIDUCIA JUL/2024</t>
        </is>
      </c>
      <c r="AV4" t="inlineStr" s="5">
        <is>
          <t>RECIBO FIDUCIA AGO/2024</t>
        </is>
      </c>
      <c r="AW4" t="inlineStr" s="5">
        <is>
          <t>RECIBO FIDUCIA SEP/2024</t>
        </is>
      </c>
      <c r="AX4" t="inlineStr" s="5">
        <is>
          <t>RECIBO FIDUCIA OCT/2024</t>
        </is>
      </c>
      <c r="AY4" t="inlineStr" s="5">
        <is>
          <t>RECIBO FIDUCIA NOV/2024</t>
        </is>
      </c>
      <c r="AZ4" t="inlineStr" s="5">
        <is>
          <t>RECIBO FIDUCIA DIC/2024</t>
        </is>
      </c>
      <c r="BA4" t="inlineStr" s="5">
        <is>
          <t>RECIBO FIDUCIA ENE/2025</t>
        </is>
      </c>
      <c r="BB4" t="inlineStr" s="5">
        <is>
          <t>RECIBO FIDUCIA FEB/2025</t>
        </is>
      </c>
      <c r="BC4" t="inlineStr" s="5">
        <is>
          <t>RECIBO FIDUCIA MAR/2025</t>
        </is>
      </c>
      <c r="BD4" t="inlineStr" s="5">
        <is>
          <t>RECIBO FIDUCIA ABR/2025</t>
        </is>
      </c>
      <c r="BE4" t="inlineStr" s="4">
        <is>
          <t>ABONOS CR CONSTRUCTOR</t>
        </is>
      </c>
      <c r="BF4" t="inlineStr" s="4">
        <is>
          <t>DESEMBOLSO SUBSIDIO CAJAS DE COMPENSACION</t>
        </is>
      </c>
      <c r="BG4" t="inlineStr" s="4">
        <is>
          <t>DESEMBOLSO SUBSIDIOS GOBIERNO</t>
        </is>
      </c>
      <c r="BH4" t="inlineStr" s="2">
        <is>
          <t>AJUSTE</t>
        </is>
      </c>
      <c r="BI4" t="inlineStr" s="2">
        <is>
          <t>TOTAL RECIBIDO</t>
        </is>
      </c>
      <c r="BJ4" t="inlineStr" s="2">
        <is>
          <t>SALDO POR COBRAR</t>
        </is>
      </c>
      <c r="BK4" t="inlineStr" s="2">
        <is>
          <t>RECURSOS PROPIOS</t>
        </is>
      </c>
      <c r="BL4" t="inlineStr" s="2">
        <is>
          <t>CREDITO BANCARIO</t>
        </is>
      </c>
      <c r="BM4" t="inlineStr" s="2">
        <is>
          <t>CAJA HONOR</t>
        </is>
      </c>
      <c r="BN4" t="inlineStr" s="6">
        <is>
          <t>SUBSIDIOS MCY</t>
        </is>
      </c>
      <c r="BO4" t="inlineStr" s="6">
        <is>
          <t>SUBSIDIOS CAJA COMP</t>
        </is>
      </c>
      <c r="BP4" t="inlineStr" s="6">
        <is>
          <t>ENTIDAD</t>
        </is>
      </c>
      <c r="BQ4" t="inlineStr" s="2">
        <is>
          <t>FECHA CONTRATO DE ADHESION</t>
        </is>
      </c>
      <c r="BR4" t="inlineStr" s="2">
        <is>
          <t>FECHA DE PROMESA</t>
        </is>
      </c>
      <c r="BS4" t="inlineStr" s="7">
        <is>
          <t>ENTREGA REAL</t>
        </is>
      </c>
      <c r="BT4" t="inlineStr" s="6">
        <is>
          <t>MATRIC</t>
        </is>
      </c>
      <c r="BU4" t="inlineStr" s="6">
        <is>
          <t>FECHA ESC</t>
        </is>
      </c>
      <c r="BV4" t="inlineStr" s="6">
        <is>
          <t>ESC</t>
        </is>
      </c>
      <c r="BW4" t="inlineStr" s="6">
        <is>
          <t>NOT</t>
        </is>
      </c>
      <c r="BX4" t="inlineStr" s="6">
        <is>
          <t>FECHA C/TRADIC</t>
        </is>
      </c>
      <c r="BY4" t="inlineStr" s="6">
        <is>
          <t>FE</t>
        </is>
      </c>
      <c r="BZ4" t="inlineStr" s="2">
        <is>
          <t>INTERESES</t>
        </is>
      </c>
      <c r="CA4" t="inlineStr" s="2">
        <is>
          <t>VALOR</t>
        </is>
      </c>
      <c r="CB4" t="inlineStr" s="2">
        <is>
          <t>TELEFONO</t>
        </is>
      </c>
      <c r="CC4" t="inlineStr" s="2">
        <is>
          <t>E-MAIL</t>
        </is>
      </c>
      <c r="CD4" t="inlineStr" s="2">
        <is>
          <t>CONTACTO</t>
        </is>
      </c>
      <c r="CE4" t="inlineStr" s="2">
        <is>
          <t>OBSERVACIONES</t>
        </is>
      </c>
    </row>
    <row r="5" ht="12.75" customHeight="1">
      <c r="A5" s="8"/>
      <c r="B5" s="8"/>
      <c r="C5" t="inlineStr" s="8">
        <is>
          <t>101</t>
        </is>
      </c>
      <c r="D5" s="9">
        <v>55.20</v>
      </c>
      <c r="E5" s="8"/>
      <c r="F5" s="8"/>
      <c r="G5" s="8"/>
      <c r="H5" s="8"/>
      <c r="I5" s="9">
        <v>192172500.00</v>
      </c>
      <c r="J5" s="8"/>
      <c r="K5" s="8"/>
      <c r="L5" s="8"/>
      <c r="M5" s="9"/>
      <c r="N5" s="9"/>
      <c r="O5" s="8"/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8"/>
      <c r="BQ5" s="8"/>
      <c r="BR5" s="8"/>
      <c r="BS5" s="8"/>
      <c r="BT5" s="8"/>
      <c r="BU5" s="8"/>
      <c r="BV5" s="8"/>
      <c r="BW5" s="8"/>
      <c r="BX5" s="8"/>
      <c r="BY5" s="8"/>
      <c r="BZ5" s="9"/>
      <c r="CA5" s="9"/>
      <c r="CB5" s="8"/>
      <c r="CC5" s="8"/>
      <c r="CD5" s="8"/>
      <c r="CE5" s="8"/>
    </row>
    <row r="6" ht="12.75" customHeight="1">
      <c r="A6" s="8"/>
      <c r="B6" s="8"/>
      <c r="C6" t="inlineStr" s="8">
        <is>
          <t>102</t>
        </is>
      </c>
      <c r="D6" s="9">
        <v>55.20</v>
      </c>
      <c r="E6" s="8"/>
      <c r="F6" s="8"/>
      <c r="G6" s="8"/>
      <c r="H6" t="inlineStr" s="8">
        <is>
          <t>BANCO DE OCCIDENTE</t>
        </is>
      </c>
      <c r="I6" s="9">
        <v>192172500.00</v>
      </c>
      <c r="J6" s="8"/>
      <c r="K6" s="8"/>
      <c r="L6" s="8"/>
      <c r="M6" s="9"/>
      <c r="N6" s="9"/>
      <c r="O6" s="8"/>
      <c r="P6" s="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8"/>
      <c r="BQ6" s="8"/>
      <c r="BR6" s="8"/>
      <c r="BS6" s="8"/>
      <c r="BT6" s="8"/>
      <c r="BU6" s="8"/>
      <c r="BV6" s="8"/>
      <c r="BW6" s="8"/>
      <c r="BX6" s="8"/>
      <c r="BY6" s="8"/>
      <c r="BZ6" s="9"/>
      <c r="CA6" s="9"/>
      <c r="CB6" s="8"/>
      <c r="CC6" s="8"/>
      <c r="CD6" s="8"/>
      <c r="CE6" s="8"/>
    </row>
    <row r="7" ht="12.75" customHeight="1">
      <c r="A7" t="inlineStr" s="8">
        <is>
          <t>60007919094859</t>
        </is>
      </c>
      <c r="B7" s="8"/>
      <c r="C7" t="inlineStr" s="8">
        <is>
          <t>103</t>
        </is>
      </c>
      <c r="D7" s="9">
        <v>55.20</v>
      </c>
      <c r="E7" t="inlineStr" s="8">
        <is>
          <t>74746265</t>
        </is>
      </c>
      <c r="F7" t="inlineStr" s="8">
        <is>
          <t>FOWLER LEONARD</t>
        </is>
      </c>
      <c r="G7" t="inlineStr" s="8">
        <is>
          <t>PARKER DWIGHT</t>
        </is>
      </c>
      <c r="H7" t="inlineStr" s="8">
        <is>
          <t>BANCO DE BOGOTA</t>
        </is>
      </c>
      <c r="I7" s="9">
        <v>192172500.00</v>
      </c>
      <c r="J7" t="inlineStr" s="8">
        <is>
          <t>NCR5163 - NCR5166 - NCR5167 - NCR5173CR</t>
        </is>
      </c>
      <c r="K7" t="inlineStr" s="8">
        <is>
          <t>NCR5169 - NCR5172 - NCR5164 - NCR5162 - NCR5161 - NCR5171 - NCR5165 - NCR5170 - NCR5168 - NCR5160</t>
        </is>
      </c>
      <c r="L7" t="inlineStr" s="8">
        <is>
          <t>MAY.4/23F - JUN.25/23 - AGO.1/23 - AGO.4/23 - OCT.23/23F - DIC.22/23F - ABR.6/24F - JUN.12/24F - JUN.27/24F - JUL.4/24F - JUL.17/24F - JUL.22/24F - JUL.25/24F</t>
        </is>
      </c>
      <c r="M7" s="9">
        <f>8443000+11314000+4480000</f>
      </c>
      <c r="N7" s="9"/>
      <c r="O7" t="inlineStr" s="8">
        <is>
          <t>DIC.28/23</t>
        </is>
      </c>
      <c r="P7" s="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>
        <v>3963000</v>
      </c>
      <c r="AH7" s="10"/>
      <c r="AI7" s="10"/>
      <c r="AJ7" s="10"/>
      <c r="AK7" s="10"/>
      <c r="AL7" s="10">
        <v>1494000</v>
      </c>
      <c r="AM7" s="10"/>
      <c r="AN7" s="10">
        <v>2010000</v>
      </c>
      <c r="AO7" s="10"/>
      <c r="AP7" s="10"/>
      <c r="AQ7" s="10"/>
      <c r="AR7" s="10">
        <v>1321000</v>
      </c>
      <c r="AS7" s="10"/>
      <c r="AT7" s="10">
        <f>4824000+5973000</f>
      </c>
      <c r="AU7" s="10">
        <f>2470000+689000+10108000+345000</f>
      </c>
      <c r="AV7" s="10"/>
      <c r="AW7" s="10"/>
      <c r="AX7" s="10"/>
      <c r="AY7" s="10"/>
      <c r="AZ7" s="10"/>
      <c r="BA7" s="10"/>
      <c r="BB7" s="10"/>
      <c r="BC7" s="10"/>
      <c r="BD7" s="10"/>
      <c r="BE7" s="9">
        <v>65000000</v>
      </c>
      <c r="BF7" s="9"/>
      <c r="BG7" s="9"/>
      <c r="BH7" s="9"/>
      <c r="BI7" s="9">
        <f>SUM(M7,N7,Q7,R7,S7,T7,U7,V7,W7,X7,Y7,Z7,AA7,AB7,AC7,AD7,AE7,AF7,AG7,AH7,AI7,AJ7,AK7,AL7,AM7,AN7,AO7,AP7,AQ7,AR7,AS7,AT7,AU7,AV7,AW7,AX7,AY7,AZ7,BA7,BB7,BC7,BD7,BE7,BF7,BG7,BH7)</f>
      </c>
      <c r="BJ7" s="9">
        <f>I7-BI7</f>
      </c>
      <c r="BK7" s="9">
        <f>BJ7-BL7-BM7-BN7-BO7</f>
      </c>
      <c r="BL7" s="9"/>
      <c r="BM7" s="9"/>
      <c r="BN7" s="9"/>
      <c r="BO7" s="9"/>
      <c r="BP7" s="8"/>
      <c r="BQ7" t="inlineStr" s="8">
        <is>
          <t>2023-06-16</t>
        </is>
      </c>
      <c r="BR7" t="inlineStr" s="8">
        <is>
          <t>2023-09-22</t>
        </is>
      </c>
      <c r="BS7" s="8"/>
      <c r="BT7" s="8"/>
      <c r="BU7" s="8"/>
      <c r="BV7" s="8"/>
      <c r="BW7" s="8"/>
      <c r="BX7" s="8"/>
      <c r="BY7" s="8"/>
      <c r="BZ7" s="9"/>
      <c r="CA7" s="9"/>
      <c r="CB7" t="inlineStr" s="8">
        <is>
          <t>3166346905</t>
        </is>
      </c>
      <c r="CC7" t="inlineStr" s="8">
        <is>
          <t>fowler.leonard.74746265@example.com</t>
        </is>
      </c>
      <c r="CD7" t="inlineStr" s="8">
        <is>
          <t>MOUSE MICKEY CEL: 3166347537</t>
        </is>
      </c>
      <c r="CE7" s="8"/>
    </row>
    <row r="8" ht="12.75" customHeight="1">
      <c r="A8" t="inlineStr" s="8">
        <is>
          <t>60007919095008</t>
        </is>
      </c>
      <c r="B8" s="8"/>
      <c r="C8" t="inlineStr" s="8">
        <is>
          <t>104</t>
        </is>
      </c>
      <c r="D8" s="9">
        <v>55.20</v>
      </c>
      <c r="E8" t="inlineStr" s="8">
        <is>
          <t>74757734</t>
        </is>
      </c>
      <c r="F8" t="inlineStr" s="8">
        <is>
          <t>POIROT SAMWISE</t>
        </is>
      </c>
      <c r="G8" t="inlineStr" s="8">
        <is>
          <t>BARTON DAENERYS</t>
        </is>
      </c>
      <c r="H8" t="inlineStr" s="8">
        <is>
          <t>BANCO DE BOGOTA</t>
        </is>
      </c>
      <c r="I8" s="9">
        <v>192172500.00</v>
      </c>
      <c r="J8" t="inlineStr" s="8">
        <is>
          <t>NCR5179 - NCR5180CR</t>
        </is>
      </c>
      <c r="K8" t="inlineStr" s="8">
        <is>
          <t>NCR5176 - NCR5175 - NCR5177 - NCR5178</t>
        </is>
      </c>
      <c r="L8" t="inlineStr" s="8">
        <is>
          <t>NOV.18/23 - DIC.5/23F - DIC.7/23F - DIC.19/23F - JUN.3/24F</t>
        </is>
      </c>
      <c r="M8" s="9">
        <v>9283500</v>
      </c>
      <c r="N8" s="9"/>
      <c r="O8" t="inlineStr" s="8">
        <is>
          <t>AGO.22/24</t>
        </is>
      </c>
      <c r="P8" s="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>
        <f>44129000+13226000+42476000</f>
      </c>
      <c r="AO8" s="10"/>
      <c r="AP8" s="10"/>
      <c r="AQ8" s="10"/>
      <c r="AR8" s="10"/>
      <c r="AS8" s="10"/>
      <c r="AT8" s="10">
        <v>18058000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>
        <v>65000000</v>
      </c>
      <c r="BF8" s="9"/>
      <c r="BG8" s="9"/>
      <c r="BH8" s="9"/>
      <c r="BI8" s="9">
        <f>SUM(M8,N8,Q8,R8,S8,T8,U8,V8,W8,X8,Y8,Z8,AA8,AB8,AC8,AD8,AE8,AF8,AG8,AH8,AI8,AJ8,AK8,AL8,AM8,AN8,AO8,AP8,AQ8,AR8,AS8,AT8,AU8,AV8,AW8,AX8,AY8,AZ8,BA8,BB8,BC8,BD8,BE8,BF8,BG8,BH8)</f>
      </c>
      <c r="BJ8" s="9">
        <f>I8-BI8</f>
      </c>
      <c r="BK8" s="9">
        <f>BJ8-BL8-BM8-BN8-BO8</f>
      </c>
      <c r="BL8" s="9"/>
      <c r="BM8" s="9"/>
      <c r="BN8" s="9"/>
      <c r="BO8" s="9"/>
      <c r="BP8" s="8"/>
      <c r="BQ8" t="inlineStr" s="8">
        <is>
          <t>2023-09-04</t>
        </is>
      </c>
      <c r="BR8" t="inlineStr" s="8">
        <is>
          <t>2023-12-10</t>
        </is>
      </c>
      <c r="BS8" t="inlineStr" s="8">
        <is>
          <t>2025-02-10</t>
        </is>
      </c>
      <c r="BT8" s="8"/>
      <c r="BU8" s="8"/>
      <c r="BV8" s="8"/>
      <c r="BW8" s="8"/>
      <c r="BX8" s="8"/>
      <c r="BY8" s="8"/>
      <c r="BZ8" s="9"/>
      <c r="CA8" s="9"/>
      <c r="CB8" t="inlineStr" s="8">
        <is>
          <t>3166348286</t>
        </is>
      </c>
      <c r="CC8" t="inlineStr" s="8">
        <is>
          <t>poirot.samwise.74757734@example.com</t>
        </is>
      </c>
      <c r="CD8" t="inlineStr" s="8">
        <is>
          <t>JAKE CEL: 3166349468</t>
        </is>
      </c>
      <c r="CE8" s="8"/>
    </row>
    <row r="9" ht="12.75" customHeight="1">
      <c r="A9" t="inlineStr" s="8">
        <is>
          <t>60007919095061</t>
        </is>
      </c>
      <c r="B9" s="8"/>
      <c r="C9" t="inlineStr" s="8">
        <is>
          <t>105</t>
        </is>
      </c>
      <c r="D9" s="9">
        <v>55.20</v>
      </c>
      <c r="E9" t="inlineStr" s="8">
        <is>
          <t>74763936</t>
        </is>
      </c>
      <c r="F9" t="inlineStr" s="8">
        <is>
          <t>WOLOWITZ PAM</t>
        </is>
      </c>
      <c r="G9" s="8"/>
      <c r="H9" s="8"/>
      <c r="I9" s="9">
        <v>192172500.00</v>
      </c>
      <c r="J9" t="inlineStr" s="8">
        <is>
          <t>NCR5183 - NCR5181 - NCR5184 - NCR5186 - NCR5189</t>
        </is>
      </c>
      <c r="K9" t="inlineStr" s="8">
        <is>
          <t>NCR5182 - NCR5185 - NCR5191 - NCR5190 - NCR5188 - NCR5187</t>
        </is>
      </c>
      <c r="L9" t="inlineStr" s="8">
        <is>
          <t>OCT.14/23 - OCT.18/23F - OCT.24/23 - OCT.26/23F - DIC.24/23 - DIC.28/23 - ENE.1/24F - ENE.4/24F - ABR.26/24F - JUN.2/24 - JUN.14/24F</t>
        </is>
      </c>
      <c r="M9" s="9">
        <f>3459000+384000+2306000+59766000+6534000</f>
      </c>
      <c r="N9" s="9"/>
      <c r="O9" s="8"/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>
        <f>76677000+769000</f>
      </c>
      <c r="AM9" s="10"/>
      <c r="AN9" s="10"/>
      <c r="AO9" s="10">
        <f>8838500+7687000</f>
      </c>
      <c r="AP9" s="10"/>
      <c r="AQ9" s="10"/>
      <c r="AR9" s="10">
        <v>24022000</v>
      </c>
      <c r="AS9" s="10"/>
      <c r="AT9" s="10">
        <v>1730000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9"/>
      <c r="BF9" s="9"/>
      <c r="BG9" s="9"/>
      <c r="BH9" s="9"/>
      <c r="BI9" s="9">
        <f>SUM(M9,N9,Q9,R9,S9,T9,U9,V9,W9,X9,Y9,Z9,AA9,AB9,AC9,AD9,AE9,AF9,AG9,AH9,AI9,AJ9,AK9,AL9,AM9,AN9,AO9,AP9,AQ9,AR9,AS9,AT9,AU9,AV9,AW9,AX9,AY9,AZ9,BA9,BB9,BC9,BD9,BE9,BF9,BG9,BH9)</f>
      </c>
      <c r="BJ9" s="9">
        <f>I9-BI9</f>
      </c>
      <c r="BK9" s="9">
        <f>BJ9-BL9-BM9-BN9-BO9</f>
      </c>
      <c r="BL9" s="9"/>
      <c r="BM9" s="9"/>
      <c r="BN9" s="9"/>
      <c r="BO9" s="9"/>
      <c r="BP9" s="8"/>
      <c r="BQ9" t="inlineStr" s="8">
        <is>
          <t>2023-10-07</t>
        </is>
      </c>
      <c r="BR9" t="inlineStr" s="8">
        <is>
          <t>2023-11-24</t>
        </is>
      </c>
      <c r="BS9" s="8"/>
      <c r="BT9" s="8"/>
      <c r="BU9" s="8"/>
      <c r="BV9" s="8"/>
      <c r="BW9" s="8"/>
      <c r="BX9" s="8"/>
      <c r="BY9" s="8"/>
      <c r="BZ9" s="9"/>
      <c r="CA9" s="9"/>
      <c r="CB9" t="inlineStr" s="8">
        <is>
          <t>3166349514</t>
        </is>
      </c>
      <c r="CC9" t="inlineStr" s="8">
        <is>
          <t>wolowitz.pam.74763936@example.com</t>
        </is>
      </c>
      <c r="CD9" t="inlineStr" s="8">
        <is>
          <t>BUNNY BUGS CEL: 3166350408</t>
        </is>
      </c>
      <c r="CE9" s="8"/>
    </row>
    <row r="10" ht="12.75" customHeight="1">
      <c r="A10" t="inlineStr" s="8">
        <is>
          <t>60007919095140</t>
        </is>
      </c>
      <c r="B10" s="8"/>
      <c r="C10" t="inlineStr" s="8">
        <is>
          <t>106</t>
        </is>
      </c>
      <c r="D10" s="9">
        <v>55.20</v>
      </c>
      <c r="E10" t="inlineStr" s="8">
        <is>
          <t>74771007</t>
        </is>
      </c>
      <c r="F10" t="inlineStr" s="8">
        <is>
          <t>STARK HARRY</t>
        </is>
      </c>
      <c r="G10" t="inlineStr" s="8">
        <is>
          <t>TARGARYEN HOMER</t>
        </is>
      </c>
      <c r="H10" s="8"/>
      <c r="I10" s="9">
        <v>192172500.00</v>
      </c>
      <c r="J10" s="8"/>
      <c r="K10" t="inlineStr" s="8">
        <is>
          <t>NCR5193 - NCR5194 - NCR5195 - NCR5196</t>
        </is>
      </c>
      <c r="L10" t="inlineStr" s="8">
        <is>
          <t>SEP.19/22F - NOV.27/22F - ENE.5/23F - ENE.26/23F</t>
        </is>
      </c>
      <c r="M10" s="9"/>
      <c r="N10" s="9"/>
      <c r="O10" s="8"/>
      <c r="P10" s="8"/>
      <c r="Q10" s="10"/>
      <c r="R10" s="10"/>
      <c r="S10" s="10"/>
      <c r="T10" s="10"/>
      <c r="U10" s="10"/>
      <c r="V10" s="10"/>
      <c r="W10" s="10"/>
      <c r="X10" s="10"/>
      <c r="Y10" s="10">
        <v>491000</v>
      </c>
      <c r="Z10" s="10"/>
      <c r="AA10" s="10">
        <v>5887000</v>
      </c>
      <c r="AB10" s="10"/>
      <c r="AC10" s="10">
        <f>52656000+104493000</f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9"/>
      <c r="BF10" s="9"/>
      <c r="BG10" s="9"/>
      <c r="BH10" s="9"/>
      <c r="BI10" s="9">
        <f>SUM(M10,N10,Q10,R10,S10,T10,U10,V10,W10,X10,Y10,Z10,AA10,AB10,AC10,AD10,AE10,AF10,AG10,AH10,AI10,AJ10,AK10,AL10,AM10,AN10,AO10,AP10,AQ10,AR10,AS10,AT10,AU10,AV10,AW10,AX10,AY10,AZ10,BA10,BB10,BC10,BD10,BE10,BF10,BG10,BH10)</f>
      </c>
      <c r="BJ10" s="9">
        <f>I10-BI10</f>
      </c>
      <c r="BK10" s="9">
        <f>BJ10-BL10-BM10-BN10-BO10</f>
      </c>
      <c r="BL10" s="9"/>
      <c r="BM10" s="9"/>
      <c r="BN10" s="9"/>
      <c r="BO10" s="9"/>
      <c r="BP10" s="8"/>
      <c r="BQ10" t="inlineStr" s="8">
        <is>
          <t>2022-08-13</t>
        </is>
      </c>
      <c r="BR10" t="inlineStr" s="8">
        <is>
          <t>2022-10-08</t>
        </is>
      </c>
      <c r="BS10" s="8"/>
      <c r="BT10" s="8"/>
      <c r="BU10" s="8"/>
      <c r="BV10" s="8"/>
      <c r="BW10" s="8"/>
      <c r="BX10" s="8"/>
      <c r="BY10" s="8"/>
      <c r="BZ10" s="9"/>
      <c r="CA10" s="9"/>
      <c r="CB10" t="inlineStr" s="8">
        <is>
          <t>3166351217</t>
        </is>
      </c>
      <c r="CC10" t="inlineStr" s="8">
        <is>
          <t>stark.harry.74771007@example.com</t>
        </is>
      </c>
      <c r="CD10" t="inlineStr" s="8">
        <is>
          <t>MOUSE MICKEY CEL: 3166351595</t>
        </is>
      </c>
      <c r="CE10" s="8"/>
    </row>
    <row r="11" ht="12.75" customHeight="1">
      <c r="A11" t="inlineStr" s="8">
        <is>
          <t>60007919095241</t>
        </is>
      </c>
      <c r="B11" s="8"/>
      <c r="C11" t="inlineStr" s="8">
        <is>
          <t>107</t>
        </is>
      </c>
      <c r="D11" s="9">
        <v>55.20</v>
      </c>
      <c r="E11" t="inlineStr" s="8">
        <is>
          <t>74779430</t>
        </is>
      </c>
      <c r="F11" t="inlineStr" s="8">
        <is>
          <t>BROWN NATASHA</t>
        </is>
      </c>
      <c r="G11" s="8"/>
      <c r="H11" s="8"/>
      <c r="I11" s="9">
        <v>192172500.00</v>
      </c>
      <c r="J11" s="8"/>
      <c r="K11" t="inlineStr" s="8">
        <is>
          <t>NCR5199 - NCR5200 - NCR5197 - NCR5198</t>
        </is>
      </c>
      <c r="L11" t="inlineStr" s="8">
        <is>
          <t>MAR.20/24F - DIC.28/24F - ABR.4/25F - ABR.10/25F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>
        <v>28914000</v>
      </c>
      <c r="AR11" s="10"/>
      <c r="AS11" s="10"/>
      <c r="AT11" s="10"/>
      <c r="AU11" s="10"/>
      <c r="AV11" s="10"/>
      <c r="AW11" s="10"/>
      <c r="AX11" s="10"/>
      <c r="AY11" s="10"/>
      <c r="AZ11" s="10">
        <v>55168500</v>
      </c>
      <c r="BA11" s="10"/>
      <c r="BB11" s="10"/>
      <c r="BC11" s="10"/>
      <c r="BD11" s="10">
        <f>44867000+37223000</f>
      </c>
      <c r="BE11" s="9"/>
      <c r="BF11" s="9"/>
      <c r="BG11" s="9"/>
      <c r="BH11" s="9"/>
      <c r="BI11" s="9">
        <f>SUM(M11,N11,Q11,R11,S11,T11,U11,V11,W11,X11,Y11,Z11,AA11,AB11,AC11,AD11,AE11,AF11,AG11,AH11,AI11,AJ11,AK11,AL11,AM11,AN11,AO11,AP11,AQ11,AR11,AS11,AT11,AU11,AV11,AW11,AX11,AY11,AZ11,BA11,BB11,BC11,BD11,BE11,BF11,BG11,BH11)</f>
      </c>
      <c r="BJ11" s="9">
        <f>I11-BI11</f>
      </c>
      <c r="BK11" s="9">
        <f>BJ11-BL11-BM11-BN11-BO11</f>
      </c>
      <c r="BL11" s="9"/>
      <c r="BM11" s="9"/>
      <c r="BN11" s="9"/>
      <c r="BO11" s="9"/>
      <c r="BP11" s="8"/>
      <c r="BQ11" t="inlineStr" s="8">
        <is>
          <t>2024-03-24</t>
        </is>
      </c>
      <c r="BR11" t="inlineStr" s="8">
        <is>
          <t>2024-06-24</t>
        </is>
      </c>
      <c r="BS11" s="8"/>
      <c r="BT11" s="8"/>
      <c r="BU11" s="8"/>
      <c r="BV11" s="8"/>
      <c r="BW11" s="8"/>
      <c r="BX11" s="8"/>
      <c r="BY11" s="8"/>
      <c r="BZ11" s="9"/>
      <c r="CA11" s="9"/>
      <c r="CB11" t="inlineStr" s="8">
        <is>
          <t>3166352219</t>
        </is>
      </c>
      <c r="CC11" t="inlineStr" s="8">
        <is>
          <t>brown.natasha.74779430@example.com</t>
        </is>
      </c>
      <c r="CD11" t="inlineStr" s="8">
        <is>
          <t>JETSON GEORGE CEL: 3166352336</t>
        </is>
      </c>
      <c r="CE11" s="8"/>
    </row>
    <row r="12" ht="12.75" customHeight="1">
      <c r="A12" t="inlineStr" s="8">
        <is>
          <t>60007919095270</t>
        </is>
      </c>
      <c r="B12" s="8"/>
      <c r="C12" t="inlineStr" s="8">
        <is>
          <t>201</t>
        </is>
      </c>
      <c r="D12" s="9">
        <v>55.20</v>
      </c>
      <c r="E12" t="inlineStr" s="8">
        <is>
          <t>74787560</t>
        </is>
      </c>
      <c r="F12" t="inlineStr" s="8">
        <is>
          <t>HENDERSON TYRION</t>
        </is>
      </c>
      <c r="G12" s="8"/>
      <c r="H12" t="inlineStr" s="8">
        <is>
          <t>BANCO DE BOGOTA</t>
        </is>
      </c>
      <c r="I12" s="9">
        <v>192172500.00</v>
      </c>
      <c r="J12" t="inlineStr" s="8">
        <is>
          <t>NCR5211 - NCR5213 - NCR5215 - NCR5207 - NCR5212 - NCR5208 - NCR5216CR</t>
        </is>
      </c>
      <c r="K12" t="inlineStr" s="8">
        <is>
          <t>NCR5203 - NCR5210 - NCR5205 - NCR5204 - NCR5209 - NCR5214 - NCR5202 - NCR5206</t>
        </is>
      </c>
      <c r="L12" t="inlineStr" s="8">
        <is>
          <t>SEP.15/23 - SEP.28/23 - OCT.27/23F - NOV.11/23F - DIC.20/23 - FEB.2/24F - FEB.6/24F - MAR.8/24F - JUN.5/24 - JUN.8/24 - JUN.9/24 - JUN.17/24F - JUL.18/24F - JUL.27/24F</t>
        </is>
      </c>
      <c r="M12" s="9">
        <f>8957000+1479000+4108500+411000+4355000+5670000</f>
      </c>
      <c r="N12" s="9"/>
      <c r="O12" t="inlineStr" s="8">
        <is>
          <t>ABR.10/24</t>
        </is>
      </c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>
        <v>6492000</v>
      </c>
      <c r="AM12" s="10">
        <v>9450000</v>
      </c>
      <c r="AN12" s="10"/>
      <c r="AO12" s="10"/>
      <c r="AP12" s="10">
        <f>3533000+164000</f>
      </c>
      <c r="AQ12" s="10">
        <v>5177000</v>
      </c>
      <c r="AR12" s="10"/>
      <c r="AS12" s="10"/>
      <c r="AT12" s="10">
        <v>6820000</v>
      </c>
      <c r="AU12" s="10">
        <f>24323000+1233000</f>
      </c>
      <c r="AV12" s="10"/>
      <c r="AW12" s="10"/>
      <c r="AX12" s="10"/>
      <c r="AY12" s="10"/>
      <c r="AZ12" s="10"/>
      <c r="BA12" s="10"/>
      <c r="BB12" s="10"/>
      <c r="BC12" s="10"/>
      <c r="BD12" s="10"/>
      <c r="BE12" s="9">
        <v>110000000</v>
      </c>
      <c r="BF12" s="9"/>
      <c r="BG12" s="9"/>
      <c r="BH12" s="9"/>
      <c r="BI12" s="9">
        <f>SUM(M12,N12,Q12,R12,S12,T12,U12,V12,W12,X12,Y12,Z12,AA12,AB12,AC12,AD12,AE12,AF12,AG12,AH12,AI12,AJ12,AK12,AL12,AM12,AN12,AO12,AP12,AQ12,AR12,AS12,AT12,AU12,AV12,AW12,AX12,AY12,AZ12,BA12,BB12,BC12,BD12,BE12,BF12,BG12,BH12)</f>
      </c>
      <c r="BJ12" s="9">
        <f>I12-BI12</f>
      </c>
      <c r="BK12" s="9">
        <f>BJ12-BL12-BM12-BN12-BO12</f>
      </c>
      <c r="BL12" s="9"/>
      <c r="BM12" s="9"/>
      <c r="BN12" s="9"/>
      <c r="BO12" s="9"/>
      <c r="BP12" s="8"/>
      <c r="BQ12" t="inlineStr" s="8">
        <is>
          <t>2023-10-05</t>
        </is>
      </c>
      <c r="BR12" t="inlineStr" s="8">
        <is>
          <t>2024-01-05</t>
        </is>
      </c>
      <c r="BS12" t="inlineStr" s="8">
        <is>
          <t>2024-09-20</t>
        </is>
      </c>
      <c r="BT12" s="8"/>
      <c r="BU12" s="8"/>
      <c r="BV12" s="8"/>
      <c r="BW12" s="8"/>
      <c r="BX12" s="8"/>
      <c r="BY12" s="8"/>
      <c r="BZ12" s="9"/>
      <c r="CA12" s="9"/>
      <c r="CB12" t="inlineStr" s="8">
        <is>
          <t>3166352769</t>
        </is>
      </c>
      <c r="CC12" t="inlineStr" s="8">
        <is>
          <t>henderson.tyrion.74787560@example.com</t>
        </is>
      </c>
      <c r="CD12" t="inlineStr" s="8">
        <is>
          <t>BUNNY BUGS CEL: 3166353116</t>
        </is>
      </c>
      <c r="CE12" s="8"/>
    </row>
    <row r="13" ht="12.75" customHeight="1">
      <c r="A13" t="inlineStr" s="8">
        <is>
          <t>60007919095446</t>
        </is>
      </c>
      <c r="B13" s="8"/>
      <c r="C13" t="inlineStr" s="8">
        <is>
          <t>202</t>
        </is>
      </c>
      <c r="D13" s="9">
        <v>55.20</v>
      </c>
      <c r="E13" t="inlineStr" s="8">
        <is>
          <t>74788684</t>
        </is>
      </c>
      <c r="F13" t="inlineStr" s="8">
        <is>
          <t>GREENLEAF SPONGEBOB</t>
        </is>
      </c>
      <c r="G13" s="8"/>
      <c r="H13" t="inlineStr" s="8">
        <is>
          <t>BANCO DE OCCIDENTE</t>
        </is>
      </c>
      <c r="I13" s="9">
        <v>192172500.00</v>
      </c>
      <c r="J13" t="inlineStr" s="8">
        <is>
          <t>NCR5222CR</t>
        </is>
      </c>
      <c r="K13" t="inlineStr" s="8">
        <is>
          <t>NCR5219 - NCR5217 - NCR5218 - NCR5220 - NCR5221</t>
        </is>
      </c>
      <c r="L13" t="inlineStr" s="8">
        <is>
          <t>MAR.12/22F - ABR.1/22F - ABR.11/22F - JUL.11/22F - AGO.20/22F</t>
        </is>
      </c>
      <c r="M13" s="9"/>
      <c r="N13" s="9"/>
      <c r="O13" t="inlineStr" s="8">
        <is>
          <t>SEP.17/22</t>
        </is>
      </c>
      <c r="P13" s="8"/>
      <c r="Q13" s="10"/>
      <c r="R13" s="10"/>
      <c r="S13" s="10">
        <v>6374000</v>
      </c>
      <c r="T13" s="10">
        <f>911000+1821000</f>
      </c>
      <c r="U13" s="10"/>
      <c r="V13" s="10"/>
      <c r="W13" s="10">
        <v>13456000</v>
      </c>
      <c r="X13" s="10">
        <v>78610500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9">
        <v>65000000</v>
      </c>
      <c r="BF13" s="9"/>
      <c r="BG13" s="9"/>
      <c r="BH13" s="9"/>
      <c r="BI13" s="9">
        <f>SUM(M13,N13,Q13,R13,S13,T13,U13,V13,W13,X13,Y13,Z13,AA13,AB13,AC13,AD13,AE13,AF13,AG13,AH13,AI13,AJ13,AK13,AL13,AM13,AN13,AO13,AP13,AQ13,AR13,AS13,AT13,AU13,AV13,AW13,AX13,AY13,AZ13,BA13,BB13,BC13,BD13,BE13,BF13,BG13,BH13)</f>
      </c>
      <c r="BJ13" s="9">
        <f>I13-BI13</f>
      </c>
      <c r="BK13" s="9">
        <f>BJ13-BL13-BM13-BN13-BO13</f>
      </c>
      <c r="BL13" s="9"/>
      <c r="BM13" s="9"/>
      <c r="BN13" s="9"/>
      <c r="BO13" s="9"/>
      <c r="BP13" s="8"/>
      <c r="BQ13" t="inlineStr" s="8">
        <is>
          <t>2022-04-04</t>
        </is>
      </c>
      <c r="BR13" t="inlineStr" s="8">
        <is>
          <t>2022-04-30</t>
        </is>
      </c>
      <c r="BS13" t="inlineStr" s="8">
        <is>
          <t>2023-01-10</t>
        </is>
      </c>
      <c r="BT13" s="8"/>
      <c r="BU13" s="8"/>
      <c r="BV13" s="8"/>
      <c r="BW13" s="8"/>
      <c r="BX13" s="8"/>
      <c r="BY13" s="8"/>
      <c r="BZ13" s="9"/>
      <c r="CA13" s="9"/>
      <c r="CB13" t="inlineStr" s="8">
        <is>
          <t>3166353787</t>
        </is>
      </c>
      <c r="CC13" t="inlineStr" s="8">
        <is>
          <t>greenleaf.spongebob.74788684@example.com</t>
        </is>
      </c>
      <c r="CD13" t="inlineStr" s="8">
        <is>
          <t>JAKE CEL: 3166354530</t>
        </is>
      </c>
      <c r="CE13" s="8"/>
    </row>
    <row r="14" ht="12.75" customHeight="1">
      <c r="A14" t="inlineStr" s="8">
        <is>
          <t>60007919095471</t>
        </is>
      </c>
      <c r="B14" s="8"/>
      <c r="C14" t="inlineStr" s="8">
        <is>
          <t>203</t>
        </is>
      </c>
      <c r="D14" s="9">
        <v>55.20</v>
      </c>
      <c r="E14" t="inlineStr" s="8">
        <is>
          <t>74789592</t>
        </is>
      </c>
      <c r="F14" t="inlineStr" s="8">
        <is>
          <t>BEESLY PAM</t>
        </is>
      </c>
      <c r="G14" s="8"/>
      <c r="H14" s="8"/>
      <c r="I14" s="9">
        <v>192172500.00</v>
      </c>
      <c r="J14" t="inlineStr" s="8">
        <is>
          <t>NCR5235 - NCR5237 - NCR5234 - NCR5231 - NCR5232 - NCR5228</t>
        </is>
      </c>
      <c r="K14" t="inlineStr" s="8">
        <is>
          <t>NCR5236 - NCR5230 - NCR5225 - NCR5226 - NCR5224 - NCR5227 - NCR5229 - NCR5233</t>
        </is>
      </c>
      <c r="L14" t="inlineStr" s="8">
        <is>
          <t>JUN.16/23 - JUN.17/23 - AGO.6/23 - AGO.26/23F - OCT.25/23 - DIC.8/23 - DIC.10/23 - ENE.8/24F - ENE.16/24F - ENE.20/24F - ENE.27/24F - FEB.10/24F - MAR.24/24F - ABR.23/24F</t>
        </is>
      </c>
      <c r="M14" s="9">
        <f>16653500+27816000+6733000+6910000+22501000+3189000</f>
      </c>
      <c r="N14" s="9"/>
      <c r="O14" s="8"/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>
        <v>18603000</v>
      </c>
      <c r="AK14" s="10"/>
      <c r="AL14" s="10"/>
      <c r="AM14" s="10"/>
      <c r="AN14" s="10"/>
      <c r="AO14" s="10">
        <f>6910000+20020000+1595000+8150000</f>
      </c>
      <c r="AP14" s="10">
        <v>6201000</v>
      </c>
      <c r="AQ14" s="10">
        <v>7796000</v>
      </c>
      <c r="AR14" s="10">
        <v>24095000</v>
      </c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/>
      <c r="BF14" s="9"/>
      <c r="BG14" s="9"/>
      <c r="BH14" s="9"/>
      <c r="BI14" s="9">
        <f>SUM(M14,N14,Q14,R14,S14,T14,U14,V14,W14,X14,Y14,Z14,AA14,AB14,AC14,AD14,AE14,AF14,AG14,AH14,AI14,AJ14,AK14,AL14,AM14,AN14,AO14,AP14,AQ14,AR14,AS14,AT14,AU14,AV14,AW14,AX14,AY14,AZ14,BA14,BB14,BC14,BD14,BE14,BF14,BG14,BH14)</f>
      </c>
      <c r="BJ14" s="9">
        <f>I14-BI14</f>
      </c>
      <c r="BK14" s="9">
        <f>BJ14-BL14-BM14-BN14-BO14</f>
      </c>
      <c r="BL14" s="9"/>
      <c r="BM14" s="9"/>
      <c r="BN14" s="9"/>
      <c r="BO14" s="9"/>
      <c r="BP14" s="8"/>
      <c r="BQ14" t="inlineStr" s="8">
        <is>
          <t>2023-06-16</t>
        </is>
      </c>
      <c r="BR14" t="inlineStr" s="8">
        <is>
          <t>2023-08-05</t>
        </is>
      </c>
      <c r="BS14" t="inlineStr" s="8">
        <is>
          <t>2024-07-28</t>
        </is>
      </c>
      <c r="BT14" s="8"/>
      <c r="BU14" s="8"/>
      <c r="BV14" s="8"/>
      <c r="BW14" s="8"/>
      <c r="BX14" s="8"/>
      <c r="BY14" s="8"/>
      <c r="BZ14" s="9"/>
      <c r="CA14" s="9"/>
      <c r="CB14" t="inlineStr" s="8">
        <is>
          <t>3166355329</t>
        </is>
      </c>
      <c r="CC14" t="inlineStr" s="8">
        <is>
          <t>beesly.pam.74789592@example.com</t>
        </is>
      </c>
      <c r="CD14" t="inlineStr" s="8">
        <is>
          <t>FLINTSTONE FRED CEL: 3166355693</t>
        </is>
      </c>
      <c r="CE14" s="8"/>
    </row>
    <row r="15" ht="12.75" customHeight="1">
      <c r="A15" s="8"/>
      <c r="B15" s="8"/>
      <c r="C15" t="inlineStr" s="8">
        <is>
          <t>204</t>
        </is>
      </c>
      <c r="D15" s="9">
        <v>55.20</v>
      </c>
      <c r="E15" s="8"/>
      <c r="F15" s="8"/>
      <c r="G15" s="8"/>
      <c r="H15" t="inlineStr" s="8">
        <is>
          <t>BANCO DE OCCIDENTE</t>
        </is>
      </c>
      <c r="I15" s="9">
        <v>192172500.00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9"/>
      <c r="CA15" s="9"/>
      <c r="CB15" s="8"/>
      <c r="CC15" s="8"/>
      <c r="CD15" s="8"/>
      <c r="CE15" s="8"/>
    </row>
    <row r="16" ht="12.75" customHeight="1">
      <c r="A16" t="inlineStr" s="8">
        <is>
          <t>60007919095570</t>
        </is>
      </c>
      <c r="B16" s="8"/>
      <c r="C16" t="inlineStr" s="8">
        <is>
          <t>205</t>
        </is>
      </c>
      <c r="D16" s="9">
        <v>55.20</v>
      </c>
      <c r="E16" t="inlineStr" s="8">
        <is>
          <t>74801826</t>
        </is>
      </c>
      <c r="F16" t="inlineStr" s="8">
        <is>
          <t>WEASLEY CLEVELAND</t>
        </is>
      </c>
      <c r="G16" s="8"/>
      <c r="H16" s="8"/>
      <c r="I16" s="9">
        <v>192172500.00</v>
      </c>
      <c r="J16" t="inlineStr" s="8">
        <is>
          <t>NCR5245 - NCR5255 - NCR5246 - NCR5249 - NCR5250</t>
        </is>
      </c>
      <c r="K16" t="inlineStr" s="8">
        <is>
          <t>NCR5248 - NCR5247 - NCR5253 - NCR5254 - NCR5252 - NCR5251</t>
        </is>
      </c>
      <c r="L16" t="inlineStr" s="8">
        <is>
          <t>FEB.14/23F - JUL.26/23F - SEP.10/23 - SEP.25/23 - OCT.2/23 - OCT.19/23F - NOV.8/23 - NOV.26/23F - DIC.27/23 - ENE.13/24F - MAY.17/24F</t>
        </is>
      </c>
      <c r="M16" s="9">
        <f>60000+1321000+278000+702000+174000</f>
      </c>
      <c r="N16" s="9"/>
      <c r="O16" s="8"/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389000</v>
      </c>
      <c r="AE16" s="10"/>
      <c r="AF16" s="10"/>
      <c r="AG16" s="10"/>
      <c r="AH16" s="10"/>
      <c r="AI16" s="10">
        <v>2523000</v>
      </c>
      <c r="AJ16" s="10"/>
      <c r="AK16" s="10"/>
      <c r="AL16" s="10">
        <v>424000</v>
      </c>
      <c r="AM16" s="10">
        <v>100000</v>
      </c>
      <c r="AN16" s="10"/>
      <c r="AO16" s="10">
        <v>361000</v>
      </c>
      <c r="AP16" s="10"/>
      <c r="AQ16" s="10"/>
      <c r="AR16" s="10"/>
      <c r="AS16" s="10">
        <v>619000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/>
      <c r="BF16" s="9"/>
      <c r="BG16" s="9"/>
      <c r="BH16" s="9"/>
      <c r="BI16" s="9">
        <f>SUM(M16,N16,Q16,R16,S16,T16,U16,V16,W16,X16,Y16,Z16,AA16,AB16,AC16,AD16,AE16,AF16,AG16,AH16,AI16,AJ16,AK16,AL16,AM16,AN16,AO16,AP16,AQ16,AR16,AS16,AT16,AU16,AV16,AW16,AX16,AY16,AZ16,BA16,BB16,BC16,BD16,BE16,BF16,BG16,BH16)</f>
      </c>
      <c r="BJ16" s="9">
        <f>I16-BI16</f>
      </c>
      <c r="BK16" s="9">
        <f>BJ16-BL16-BM16-BN16-BO16</f>
      </c>
      <c r="BL16" s="9"/>
      <c r="BM16" s="9"/>
      <c r="BN16" s="9"/>
      <c r="BO16" s="9"/>
      <c r="BP16" s="8"/>
      <c r="BQ16" t="inlineStr" s="8">
        <is>
          <t>2022-12-23</t>
        </is>
      </c>
      <c r="BR16" t="inlineStr" s="8">
        <is>
          <t>2023-03-03</t>
        </is>
      </c>
      <c r="BS16" s="8"/>
      <c r="BT16" s="8"/>
      <c r="BU16" s="8"/>
      <c r="BV16" s="8"/>
      <c r="BW16" s="8"/>
      <c r="BX16" s="8"/>
      <c r="BY16" s="8"/>
      <c r="BZ16" s="9"/>
      <c r="CA16" s="9"/>
      <c r="CB16" t="inlineStr" s="8">
        <is>
          <t>3166356289</t>
        </is>
      </c>
      <c r="CC16" t="inlineStr" s="8">
        <is>
          <t>weasley.cleveland.74801826@example.com</t>
        </is>
      </c>
      <c r="CD16" t="inlineStr" s="8">
        <is>
          <t>MOUSE MINNIE CEL: 3166356400</t>
        </is>
      </c>
      <c r="CE16" s="8"/>
    </row>
    <row r="17" ht="12.75" customHeight="1">
      <c r="A17" t="inlineStr" s="8">
        <is>
          <t>60007919095620</t>
        </is>
      </c>
      <c r="B17" s="8"/>
      <c r="C17" t="inlineStr" s="8">
        <is>
          <t>206</t>
        </is>
      </c>
      <c r="D17" s="9">
        <v>55.20</v>
      </c>
      <c r="E17" t="inlineStr" s="8">
        <is>
          <t>74803120</t>
        </is>
      </c>
      <c r="F17" t="inlineStr" s="8">
        <is>
          <t>WATSON LOIS</t>
        </is>
      </c>
      <c r="G17" s="8"/>
      <c r="H17" t="inlineStr" s="8">
        <is>
          <t>BBVA</t>
        </is>
      </c>
      <c r="I17" s="9">
        <v>192172500.00</v>
      </c>
      <c r="J17" t="inlineStr" s="8">
        <is>
          <t>NCR5259 - NCR5258 - NCR5264 - NCR5268 - NCR5272CR</t>
        </is>
      </c>
      <c r="K17" t="inlineStr" s="8">
        <is>
          <t>NCR5266 - NCR5269 - NCR5270 - NCR5263 - NCR5271 - NCR5265 - NCR5262 - NCR5260 - NCR5261 - NCR5267</t>
        </is>
      </c>
      <c r="L17" t="inlineStr" s="8">
        <is>
          <t>MAY.7/23F - JUN.3/23 - JUL.16/23 - AGO.12/23F - AGO.23/23F - AGO.25/23F - SEP.2/23F - SEP.12/23F - DIC.10/23 - DIC.21/23 - ENE.13/24F - FEB.22/24F - ABR.2/24F - ABR.10/24F</t>
        </is>
      </c>
      <c r="M17" s="9">
        <f>13701000+4276000+1263000+9814000</f>
      </c>
      <c r="N17" s="9"/>
      <c r="O17" t="inlineStr" s="8">
        <is>
          <t>SEP.25/23</t>
        </is>
      </c>
      <c r="P17" s="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1069000</v>
      </c>
      <c r="AH17" s="10"/>
      <c r="AI17" s="10"/>
      <c r="AJ17" s="10">
        <f>4373000+100000+7094000</f>
      </c>
      <c r="AK17" s="10">
        <f>19237500+13798000</f>
      </c>
      <c r="AL17" s="10"/>
      <c r="AM17" s="10"/>
      <c r="AN17" s="10"/>
      <c r="AO17" s="10">
        <v>1360000</v>
      </c>
      <c r="AP17" s="10">
        <v>1069000</v>
      </c>
      <c r="AQ17" s="10"/>
      <c r="AR17" s="10">
        <f>8454000+11564000</f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>
        <v>65000000</v>
      </c>
      <c r="BF17" s="9"/>
      <c r="BG17" s="9"/>
      <c r="BH17" s="9"/>
      <c r="BI17" s="9">
        <f>SUM(M17,N17,Q17,R17,S17,T17,U17,V17,W17,X17,Y17,Z17,AA17,AB17,AC17,AD17,AE17,AF17,AG17,AH17,AI17,AJ17,AK17,AL17,AM17,AN17,AO17,AP17,AQ17,AR17,AS17,AT17,AU17,AV17,AW17,AX17,AY17,AZ17,BA17,BB17,BC17,BD17,BE17,BF17,BG17,BH17)</f>
      </c>
      <c r="BJ17" s="9">
        <f>I17-BI17</f>
      </c>
      <c r="BK17" s="9">
        <f>BJ17-BL17-BM17-BN17-BO17</f>
      </c>
      <c r="BL17" s="9"/>
      <c r="BM17" s="9"/>
      <c r="BN17" s="9"/>
      <c r="BO17" s="9"/>
      <c r="BP17" s="8"/>
      <c r="BQ17" t="inlineStr" s="8">
        <is>
          <t>2023-08-09</t>
        </is>
      </c>
      <c r="BR17" t="inlineStr" s="8">
        <is>
          <t>2023-08-24</t>
        </is>
      </c>
      <c r="BS17" t="inlineStr" s="8">
        <is>
          <t>2024-06-18</t>
        </is>
      </c>
      <c r="BT17" s="8"/>
      <c r="BU17" s="8"/>
      <c r="BV17" s="8"/>
      <c r="BW17" s="8"/>
      <c r="BX17" s="8"/>
      <c r="BY17" s="8"/>
      <c r="BZ17" s="9"/>
      <c r="CA17" s="9"/>
      <c r="CB17" t="inlineStr" s="8">
        <is>
          <t>3166356495</t>
        </is>
      </c>
      <c r="CC17" t="inlineStr" s="8">
        <is>
          <t>watson.lois.74803120@example.com</t>
        </is>
      </c>
      <c r="CD17" t="inlineStr" s="8">
        <is>
          <t>BUNNY BUGS CEL: 3166357021</t>
        </is>
      </c>
      <c r="CE17" s="8"/>
    </row>
    <row r="18" ht="12.75" customHeight="1">
      <c r="A18" t="inlineStr" s="8">
        <is>
          <t>60007919095729</t>
        </is>
      </c>
      <c r="B18" s="8"/>
      <c r="C18" t="inlineStr" s="8">
        <is>
          <t>207</t>
        </is>
      </c>
      <c r="D18" s="9">
        <v>55.20</v>
      </c>
      <c r="E18" t="inlineStr" s="8">
        <is>
          <t>74807843</t>
        </is>
      </c>
      <c r="F18" t="inlineStr" s="8">
        <is>
          <t>CHEEKS LOIS</t>
        </is>
      </c>
      <c r="G18" t="inlineStr" s="8">
        <is>
          <t>DECKER SAMWISE</t>
        </is>
      </c>
      <c r="H18" s="8"/>
      <c r="I18" s="9">
        <v>192172500.00</v>
      </c>
      <c r="J18" t="inlineStr" s="8">
        <is>
          <t>NCR5274 - NCR5276 - NCR5281 - NCR5275 - NCR5280 - NCR5283</t>
        </is>
      </c>
      <c r="K18" t="inlineStr" s="8">
        <is>
          <t>NCR5279 - NCR5277 - NCR5278 - NCR5282</t>
        </is>
      </c>
      <c r="L18" t="inlineStr" s="8">
        <is>
          <t>JUL.6/23 - JUL.7/23 - JUL.15/23 - JUL.25/23 - AGO.11/23 - AGO.18/23F - DIC.24/23 - MAR.9/24F - JUN.2/24F - JUL.2/24F</t>
        </is>
      </c>
      <c r="M18" s="9">
        <f>63704000+12741000+5854000+28581000+16184000+7918500</f>
      </c>
      <c r="N18" s="9"/>
      <c r="O18" s="8"/>
      <c r="P18" s="8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18767000</v>
      </c>
      <c r="AK18" s="10"/>
      <c r="AL18" s="10"/>
      <c r="AM18" s="10"/>
      <c r="AN18" s="10"/>
      <c r="AO18" s="10"/>
      <c r="AP18" s="10"/>
      <c r="AQ18" s="10">
        <v>4132000</v>
      </c>
      <c r="AR18" s="10"/>
      <c r="AS18" s="10"/>
      <c r="AT18" s="10">
        <v>10675000</v>
      </c>
      <c r="AU18" s="10">
        <v>3616000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9"/>
      <c r="BF18" s="9"/>
      <c r="BG18" s="9"/>
      <c r="BH18" s="9"/>
      <c r="BI18" s="9">
        <f>SUM(M18,N18,Q18,R18,S18,T18,U18,V18,W18,X18,Y18,Z18,AA18,AB18,AC18,AD18,AE18,AF18,AG18,AH18,AI18,AJ18,AK18,AL18,AM18,AN18,AO18,AP18,AQ18,AR18,AS18,AT18,AU18,AV18,AW18,AX18,AY18,AZ18,BA18,BB18,BC18,BD18,BE18,BF18,BG18,BH18)</f>
      </c>
      <c r="BJ18" s="9">
        <f>I18-BI18</f>
      </c>
      <c r="BK18" s="9">
        <f>BJ18-BL18-BM18-BN18-BO18</f>
      </c>
      <c r="BL18" s="9"/>
      <c r="BM18" s="9"/>
      <c r="BN18" s="9"/>
      <c r="BO18" s="9"/>
      <c r="BP18" s="8"/>
      <c r="BQ18" t="inlineStr" s="8">
        <is>
          <t>2023-06-26</t>
        </is>
      </c>
      <c r="BR18" t="inlineStr" s="8">
        <is>
          <t>2023-07-31</t>
        </is>
      </c>
      <c r="BS18" t="inlineStr" s="8">
        <is>
          <t>2024-10-31</t>
        </is>
      </c>
      <c r="BT18" s="8"/>
      <c r="BU18" s="8"/>
      <c r="BV18" s="8"/>
      <c r="BW18" s="8"/>
      <c r="BX18" s="8"/>
      <c r="BY18" s="8"/>
      <c r="BZ18" s="9"/>
      <c r="CA18" s="9"/>
      <c r="CB18" t="inlineStr" s="8">
        <is>
          <t>3166357194</t>
        </is>
      </c>
      <c r="CC18" t="inlineStr" s="8">
        <is>
          <t>cheeks.lois.74807843@example.com</t>
        </is>
      </c>
      <c r="CD18" t="inlineStr" s="8">
        <is>
          <t>FINN CEL: 3166358120</t>
        </is>
      </c>
      <c r="CE18" s="8"/>
    </row>
    <row r="19" ht="12.75" customHeight="1">
      <c r="A19" t="inlineStr" s="8">
        <is>
          <t>60007919095796</t>
        </is>
      </c>
      <c r="B19" s="8"/>
      <c r="C19" t="inlineStr" s="8">
        <is>
          <t>301</t>
        </is>
      </c>
      <c r="D19" s="9">
        <v>55.20</v>
      </c>
      <c r="E19" t="inlineStr" s="8">
        <is>
          <t>74813950</t>
        </is>
      </c>
      <c r="F19" t="inlineStr" s="8">
        <is>
          <t>COOPER SANDY</t>
        </is>
      </c>
      <c r="G19" s="8"/>
      <c r="H19" t="inlineStr" s="8">
        <is>
          <t>BANCO DAVIVIENDA</t>
        </is>
      </c>
      <c r="I19" s="9">
        <v>192172500.00</v>
      </c>
      <c r="J19" t="inlineStr" s="8">
        <is>
          <t>NCR5294 - NCR5287 - NCR5292 - NCR5285 - NCR5295 - NCR5291 - NCR5297CR</t>
        </is>
      </c>
      <c r="K19" t="inlineStr" s="8">
        <is>
          <t>NCR5288 - NCR5293 - NCR5296 - NCR5289 - NCR5290 - NCR5286</t>
        </is>
      </c>
      <c r="L19" t="inlineStr" s="8">
        <is>
          <t>OCT.27/22F - DIC.2/22F - DIC.26/22F - FEB.25/23F - MAY.3/23F - AGO.9/23F - SEP.14/23 - NOV.14/23 - DIC.6/23 - DIC.11/23 - DIC.19/23 - DIC.25/23</t>
        </is>
      </c>
      <c r="M19" s="9">
        <f>2162000+10682000+890000+22637000+382000+49724000</f>
      </c>
      <c r="N19" s="9"/>
      <c r="O19" t="inlineStr" s="8">
        <is>
          <t>AGO.15/23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>
        <v>10682000</v>
      </c>
      <c r="AA19" s="10"/>
      <c r="AB19" s="10">
        <f>1780000+12463500</f>
      </c>
      <c r="AC19" s="10"/>
      <c r="AD19" s="10">
        <v>127000</v>
      </c>
      <c r="AE19" s="10"/>
      <c r="AF19" s="10"/>
      <c r="AG19" s="10">
        <v>12972000</v>
      </c>
      <c r="AH19" s="10"/>
      <c r="AI19" s="10"/>
      <c r="AJ19" s="10">
        <v>2671000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9">
        <v>65000000</v>
      </c>
      <c r="BF19" s="9"/>
      <c r="BG19" s="9"/>
      <c r="BH19" s="9"/>
      <c r="BI19" s="9">
        <f>SUM(M19,N19,Q19,R19,S19,T19,U19,V19,W19,X19,Y19,Z19,AA19,AB19,AC19,AD19,AE19,AF19,AG19,AH19,AI19,AJ19,AK19,AL19,AM19,AN19,AO19,AP19,AQ19,AR19,AS19,AT19,AU19,AV19,AW19,AX19,AY19,AZ19,BA19,BB19,BC19,BD19,BE19,BF19,BG19,BH19)</f>
      </c>
      <c r="BJ19" s="9">
        <f>I19-BI19</f>
      </c>
      <c r="BK19" s="9">
        <f>BJ19-BL19-BM19-BN19-BO19</f>
      </c>
      <c r="BL19" s="9"/>
      <c r="BM19" s="9"/>
      <c r="BN19" s="9"/>
      <c r="BO19" s="9"/>
      <c r="BP19" s="8"/>
      <c r="BQ19" t="inlineStr" s="8">
        <is>
          <t>2022-11-17</t>
        </is>
      </c>
      <c r="BR19" t="inlineStr" s="8">
        <is>
          <t>2023-01-30</t>
        </is>
      </c>
      <c r="BS19" t="inlineStr" s="8">
        <is>
          <t>2024-01-22</t>
        </is>
      </c>
      <c r="BT19" s="8"/>
      <c r="BU19" s="8"/>
      <c r="BV19" s="8"/>
      <c r="BW19" s="8"/>
      <c r="BX19" s="8"/>
      <c r="BY19" s="8"/>
      <c r="BZ19" s="9"/>
      <c r="CA19" s="9"/>
      <c r="CB19" t="inlineStr" s="8">
        <is>
          <t>3166358750</t>
        </is>
      </c>
      <c r="CC19" t="inlineStr" s="8">
        <is>
          <t>cooper.sandy.74813950@example.com</t>
        </is>
      </c>
      <c r="CD19" t="inlineStr" s="8">
        <is>
          <t>MOUSE MICKEY CEL: 3166359247</t>
        </is>
      </c>
      <c r="CE19" s="8"/>
    </row>
    <row r="20" ht="12.75" customHeight="1">
      <c r="A20" t="inlineStr" s="8">
        <is>
          <t>60007919095943</t>
        </is>
      </c>
      <c r="B20" s="8"/>
      <c r="C20" t="inlineStr" s="8">
        <is>
          <t>302</t>
        </is>
      </c>
      <c r="D20" s="9">
        <v>55.20</v>
      </c>
      <c r="E20" t="inlineStr" s="8">
        <is>
          <t>74819766</t>
        </is>
      </c>
      <c r="F20" t="inlineStr" s="8">
        <is>
          <t>MAYFIELD LUNA</t>
        </is>
      </c>
      <c r="G20" s="8"/>
      <c r="H20" t="inlineStr" s="8">
        <is>
          <t>BANCOLOMBIA</t>
        </is>
      </c>
      <c r="I20" s="9">
        <v>192172500.00</v>
      </c>
      <c r="J20" t="inlineStr" s="8">
        <is>
          <t>NCR5303 - NCR5298 - NCR5302 - NCR5304CR</t>
        </is>
      </c>
      <c r="K20" t="inlineStr" s="8">
        <is>
          <t>NCR5300 - NCR5301 - NCR5299</t>
        </is>
      </c>
      <c r="L20" t="inlineStr" s="8">
        <is>
          <t>JUN.19/23 - AGO.23/23F - NOV.24/23 - NOV.26/23 - DIC.7/23F - JUN.14/24F</t>
        </is>
      </c>
      <c r="M20" s="9">
        <f>896500+9953000+2642000</f>
      </c>
      <c r="N20" s="9"/>
      <c r="O20" t="inlineStr" s="8">
        <is>
          <t>SEP.7/24</t>
        </is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7076000</v>
      </c>
      <c r="AK20" s="10"/>
      <c r="AL20" s="10"/>
      <c r="AM20" s="10"/>
      <c r="AN20" s="10">
        <v>7217000</v>
      </c>
      <c r="AO20" s="10"/>
      <c r="AP20" s="10"/>
      <c r="AQ20" s="10"/>
      <c r="AR20" s="10"/>
      <c r="AS20" s="10"/>
      <c r="AT20" s="10">
        <v>19388000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9">
        <v>125000000</v>
      </c>
      <c r="BF20" s="9"/>
      <c r="BG20" s="9"/>
      <c r="BH20" s="9"/>
      <c r="BI20" s="9">
        <f>SUM(M20,N20,Q20,R20,S20,T20,U20,V20,W20,X20,Y20,Z20,AA20,AB20,AC20,AD20,AE20,AF20,AG20,AH20,AI20,AJ20,AK20,AL20,AM20,AN20,AO20,AP20,AQ20,AR20,AS20,AT20,AU20,AV20,AW20,AX20,AY20,AZ20,BA20,BB20,BC20,BD20,BE20,BF20,BG20,BH20)</f>
      </c>
      <c r="BJ20" s="9">
        <f>I20-BI20</f>
      </c>
      <c r="BK20" s="9">
        <f>BJ20-BL20-BM20-BN20-BO20</f>
      </c>
      <c r="BL20" s="9"/>
      <c r="BM20" s="9"/>
      <c r="BN20" s="9"/>
      <c r="BO20" s="9"/>
      <c r="BP20" s="8"/>
      <c r="BQ20" t="inlineStr" s="8">
        <is>
          <t>2023-07-10</t>
        </is>
      </c>
      <c r="BR20" t="inlineStr" s="8">
        <is>
          <t>2023-09-13</t>
        </is>
      </c>
      <c r="BS20" s="8"/>
      <c r="BT20" s="8"/>
      <c r="BU20" s="8"/>
      <c r="BV20" s="8"/>
      <c r="BW20" s="8"/>
      <c r="BX20" s="8"/>
      <c r="BY20" s="8"/>
      <c r="BZ20" s="9"/>
      <c r="CA20" s="9"/>
      <c r="CB20" t="inlineStr" s="8">
        <is>
          <t>3166359447</t>
        </is>
      </c>
      <c r="CC20" t="inlineStr" s="8">
        <is>
          <t>mayfield.luna.74819766@example.com</t>
        </is>
      </c>
      <c r="CD20" t="inlineStr" s="8">
        <is>
          <t>MOUSE MINNIE CEL: 3166359758</t>
        </is>
      </c>
      <c r="CE20" s="8"/>
    </row>
    <row r="21" ht="12.75" customHeight="1">
      <c r="A21" t="inlineStr" s="8">
        <is>
          <t>60007919095998</t>
        </is>
      </c>
      <c r="B21" s="8"/>
      <c r="C21" t="inlineStr" s="8">
        <is>
          <t>303</t>
        </is>
      </c>
      <c r="D21" s="9">
        <v>55.20</v>
      </c>
      <c r="E21" t="inlineStr" s="8">
        <is>
          <t>74824770</t>
        </is>
      </c>
      <c r="F21" t="inlineStr" s="8">
        <is>
          <t>TARGARYEN SUMMER</t>
        </is>
      </c>
      <c r="G21" s="8"/>
      <c r="H21" t="inlineStr" s="8">
        <is>
          <t>BBVA</t>
        </is>
      </c>
      <c r="I21" s="9">
        <v>192172500.00</v>
      </c>
      <c r="J21" t="inlineStr" s="8">
        <is>
          <t>NC5306CESION - NCR5315CR</t>
        </is>
      </c>
      <c r="K21" t="inlineStr" s="8">
        <is>
          <t>NCR5307 - NCR5308 - NCR5311 - NCR5310 - NCR5314 - NCR5312 - NCR5313 - NCR5309</t>
        </is>
      </c>
      <c r="L21" t="inlineStr" s="8">
        <is>
          <t>ABR.9/22F - ABR.27/22F - JUN.13/22F - JUL.1/22F - SEP.5/22F - NOV.6/22F - (NOV.11/22CESION) - DIC.21/22F - DIC.27/22F</t>
        </is>
      </c>
      <c r="M21" s="9"/>
      <c r="N21" s="9">
        <v>20000000</v>
      </c>
      <c r="O21" t="inlineStr" s="8">
        <is>
          <t>SEP.26/22</t>
        </is>
      </c>
      <c r="P21" s="8"/>
      <c r="Q21" s="10"/>
      <c r="R21" s="10"/>
      <c r="S21" s="10"/>
      <c r="T21" s="10">
        <f>750000+13718000</f>
      </c>
      <c r="U21" s="10"/>
      <c r="V21" s="10">
        <v>8359000</v>
      </c>
      <c r="W21" s="10">
        <v>17040000</v>
      </c>
      <c r="X21" s="10"/>
      <c r="Y21" s="10">
        <v>8254500</v>
      </c>
      <c r="Z21" s="10"/>
      <c r="AA21" s="10">
        <v>44369000</v>
      </c>
      <c r="AB21" s="10">
        <f>14575000+107000</f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9">
        <v>65000000</v>
      </c>
      <c r="BF21" s="9"/>
      <c r="BG21" s="9"/>
      <c r="BH21" s="9"/>
      <c r="BI21" s="9">
        <f>SUM(M21,N21,Q21,R21,S21,T21,U21,V21,W21,X21,Y21,Z21,AA21,AB21,AC21,AD21,AE21,AF21,AG21,AH21,AI21,AJ21,AK21,AL21,AM21,AN21,AO21,AP21,AQ21,AR21,AS21,AT21,AU21,AV21,AW21,AX21,AY21,AZ21,BA21,BB21,BC21,BD21,BE21,BF21,BG21,BH21)</f>
      </c>
      <c r="BJ21" s="9">
        <f>I21-BI21</f>
      </c>
      <c r="BK21" s="9">
        <f>BJ21-BL21-BM21-BN21-BO21</f>
      </c>
      <c r="BL21" s="9"/>
      <c r="BM21" s="9"/>
      <c r="BN21" s="9"/>
      <c r="BO21" s="9"/>
      <c r="BP21" s="8"/>
      <c r="BQ21" t="inlineStr" s="8">
        <is>
          <t>2022-04-05</t>
        </is>
      </c>
      <c r="BR21" t="inlineStr" s="8">
        <is>
          <t>2022-05-21</t>
        </is>
      </c>
      <c r="BS21" t="inlineStr" s="8">
        <is>
          <t>2023-04-08</t>
        </is>
      </c>
      <c r="BT21" s="8"/>
      <c r="BU21" s="8"/>
      <c r="BV21" s="8"/>
      <c r="BW21" s="8"/>
      <c r="BX21" s="8"/>
      <c r="BY21" s="8"/>
      <c r="BZ21" s="9"/>
      <c r="CA21" s="9"/>
      <c r="CB21" t="inlineStr" s="8">
        <is>
          <t>3166360922</t>
        </is>
      </c>
      <c r="CC21" t="inlineStr" s="8">
        <is>
          <t>targaryen.summer.74824770@example.com</t>
        </is>
      </c>
      <c r="CD21" t="inlineStr" s="8">
        <is>
          <t>PANTHER PINK CEL: 3166361771</t>
        </is>
      </c>
      <c r="CE21" t="inlineStr" s="8">
        <is>
          <t>NC5306 NOV.11/22 CESION DE WALTER SINCLAIR A SUMMER TARGARYEN *ANTIC $20.000.000 *ARRAS $4'640</t>
        </is>
      </c>
    </row>
    <row r="22" ht="12.75" customHeight="1">
      <c r="A22" s="8"/>
      <c r="B22" s="8"/>
      <c r="C22" t="inlineStr" s="8">
        <is>
          <t>304</t>
        </is>
      </c>
      <c r="D22" s="9">
        <v>55.20</v>
      </c>
      <c r="E22" s="8"/>
      <c r="F22" s="8"/>
      <c r="G22" s="8"/>
      <c r="H22" t="inlineStr" s="8">
        <is>
          <t>BANCO DE OCCIDENTE</t>
        </is>
      </c>
      <c r="I22" s="9">
        <v>192172500.00</v>
      </c>
      <c r="J22" s="8"/>
      <c r="K22" s="8"/>
      <c r="L22" s="8"/>
      <c r="M22" s="9"/>
      <c r="N22" s="9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9"/>
      <c r="CA22" s="9"/>
      <c r="CB22" s="8"/>
      <c r="CC22" s="8"/>
      <c r="CD22" s="8"/>
      <c r="CE22" s="8"/>
    </row>
    <row r="23" ht="12.75" customHeight="1">
      <c r="A23" t="inlineStr" s="8">
        <is>
          <t>60007919096287</t>
        </is>
      </c>
      <c r="B23" s="8"/>
      <c r="C23" t="inlineStr" s="8">
        <is>
          <t>305</t>
        </is>
      </c>
      <c r="D23" s="9">
        <v>55.20</v>
      </c>
      <c r="E23" t="inlineStr" s="8">
        <is>
          <t>74844068</t>
        </is>
      </c>
      <c r="F23" t="inlineStr" s="8">
        <is>
          <t>GELLER RICK</t>
        </is>
      </c>
      <c r="G23" s="8"/>
      <c r="H23" t="inlineStr" s="8">
        <is>
          <t>BBVA</t>
        </is>
      </c>
      <c r="I23" s="9">
        <v>192172500.00</v>
      </c>
      <c r="J23" t="inlineStr" s="8">
        <is>
          <t>NC5324CESION - NCR5332 - NCR5331 - NCR5325 - NCR5326 - NCR5328 - NCR5333CR</t>
        </is>
      </c>
      <c r="K23" t="inlineStr" s="8">
        <is>
          <t>NCR5330 - NCR5327 - NCR5329</t>
        </is>
      </c>
      <c r="L23" t="inlineStr" s="8">
        <is>
          <t>MAY.7/23F - (JUN.22/23CESION) - JUL.13/23 - AGO.8/23F - OCT.4/23 - OCT.6/23 - OCT.15/23 - NOV.17/23 - NOV.23/23F</t>
        </is>
      </c>
      <c r="M23" s="9">
        <f>5863500+1293000+13621000+3463000+4433000</f>
      </c>
      <c r="N23" s="9">
        <v>25000000</v>
      </c>
      <c r="O23" t="inlineStr" s="8">
        <is>
          <t>JUL.21/23</t>
        </is>
      </c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>
        <v>7803000</v>
      </c>
      <c r="AH23" s="10"/>
      <c r="AI23" s="10"/>
      <c r="AJ23" s="10">
        <v>2770000</v>
      </c>
      <c r="AK23" s="10"/>
      <c r="AL23" s="10"/>
      <c r="AM23" s="10">
        <v>6926000</v>
      </c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>
        <v>95000000</v>
      </c>
      <c r="BF23" s="9"/>
      <c r="BG23" s="9"/>
      <c r="BH23" s="9"/>
      <c r="BI23" s="9">
        <f>SUM(M23,N23,Q23,R23,S23,T23,U23,V23,W23,X23,Y23,Z23,AA23,AB23,AC23,AD23,AE23,AF23,AG23,AH23,AI23,AJ23,AK23,AL23,AM23,AN23,AO23,AP23,AQ23,AR23,AS23,AT23,AU23,AV23,AW23,AX23,AY23,AZ23,BA23,BB23,BC23,BD23,BE23,BF23,BG23,BH23)</f>
      </c>
      <c r="BJ23" s="9">
        <f>I23-BI23</f>
      </c>
      <c r="BK23" s="9">
        <f>BJ23-BL23-BM23-BN23-BO23</f>
      </c>
      <c r="BL23" s="9"/>
      <c r="BM23" s="9"/>
      <c r="BN23" s="9"/>
      <c r="BO23" s="9"/>
      <c r="BP23" s="8"/>
      <c r="BQ23" t="inlineStr" s="8">
        <is>
          <t>2023-02-17</t>
        </is>
      </c>
      <c r="BR23" t="inlineStr" s="8">
        <is>
          <t>2023-03-12</t>
        </is>
      </c>
      <c r="BS23" t="inlineStr" s="8">
        <is>
          <t>2024-02-27</t>
        </is>
      </c>
      <c r="BT23" s="8"/>
      <c r="BU23" s="8"/>
      <c r="BV23" s="8"/>
      <c r="BW23" s="8"/>
      <c r="BX23" s="8"/>
      <c r="BY23" s="8"/>
      <c r="BZ23" s="9"/>
      <c r="CA23" s="9"/>
      <c r="CB23" t="inlineStr" s="8">
        <is>
          <t>3166363626</t>
        </is>
      </c>
      <c r="CC23" t="inlineStr" s="8">
        <is>
          <t>geller.rick.74844068@example.com</t>
        </is>
      </c>
      <c r="CD23" t="inlineStr" s="8">
        <is>
          <t>PANTHER PINK CEL: 3166363823</t>
        </is>
      </c>
      <c r="CE23" t="inlineStr" s="8">
        <is>
          <t>NC5324 JUN.22/23 CESION DE HARRY PINKMAN/DWIGHT JANE A RICK GELLER *ANTIC $25.000.000 *ARRAS $4'640</t>
        </is>
      </c>
    </row>
    <row r="24" ht="12.75" customHeight="1">
      <c r="A24" t="inlineStr" s="8">
        <is>
          <t>60007919096439</t>
        </is>
      </c>
      <c r="B24" s="8"/>
      <c r="C24" t="inlineStr" s="8">
        <is>
          <t>306</t>
        </is>
      </c>
      <c r="D24" s="9">
        <v>55.20</v>
      </c>
      <c r="E24" t="inlineStr" s="8">
        <is>
          <t>74844961</t>
        </is>
      </c>
      <c r="F24" t="inlineStr" s="8">
        <is>
          <t>TRIBBIANI HERMIONE</t>
        </is>
      </c>
      <c r="G24" t="inlineStr" s="8">
        <is>
          <t>BROWN AMY</t>
        </is>
      </c>
      <c r="H24" s="8"/>
      <c r="I24" s="9">
        <v>192172500.00</v>
      </c>
      <c r="J24" t="inlineStr" s="8">
        <is>
          <t>NCR5339 - NCR5341 - NCR5344 - NCR5343 - NCR5338 - NCR5336 - NCR5340 - NCR5345</t>
        </is>
      </c>
      <c r="K24" t="inlineStr" s="8">
        <is>
          <t>NCR5342 - NCR5337 - NCR5335 - NCR5348 - NCR5347 - NCR5346</t>
        </is>
      </c>
      <c r="L24" t="inlineStr" s="8">
        <is>
          <t>OCT.9/23 - OCT.28/23F - NOV.1/23 - NOV.16/23F - NOV.20/23 - DIC.27/23 - MAR.6/24F - MAR.15/24F - MAY.21/24F - JUN.5/24 - JUN.10/24 - JUN.14/24 - JUN.22/24F - JUN.26/24</t>
        </is>
      </c>
      <c r="M24" s="9">
        <f>5982000+3323000+30576000+15454000+2991000+12629000+997000+3656000</f>
      </c>
      <c r="N24" s="9"/>
      <c r="O24" s="8"/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>
        <v>9306000</v>
      </c>
      <c r="AM24" s="10">
        <v>2991000</v>
      </c>
      <c r="AN24" s="10"/>
      <c r="AO24" s="10"/>
      <c r="AP24" s="10"/>
      <c r="AQ24" s="10">
        <f>1496000+48023500</f>
      </c>
      <c r="AR24" s="10"/>
      <c r="AS24" s="10">
        <v>12795000</v>
      </c>
      <c r="AT24" s="10">
        <v>15953000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/>
      <c r="BF24" s="9"/>
      <c r="BG24" s="9"/>
      <c r="BH24" s="9"/>
      <c r="BI24" s="9">
        <f>SUM(M24,N24,Q24,R24,S24,T24,U24,V24,W24,X24,Y24,Z24,AA24,AB24,AC24,AD24,AE24,AF24,AG24,AH24,AI24,AJ24,AK24,AL24,AM24,AN24,AO24,AP24,AQ24,AR24,AS24,AT24,AU24,AV24,AW24,AX24,AY24,AZ24,BA24,BB24,BC24,BD24,BE24,BF24,BG24,BH24)</f>
      </c>
      <c r="BJ24" s="9">
        <f>I24-BI24</f>
      </c>
      <c r="BK24" s="9">
        <f>BJ24-BL24-BM24-BN24-BO24</f>
      </c>
      <c r="BL24" s="9"/>
      <c r="BM24" s="9"/>
      <c r="BN24" s="9"/>
      <c r="BO24" s="9"/>
      <c r="BP24" s="8"/>
      <c r="BQ24" t="inlineStr" s="8">
        <is>
          <t>2023-10-31</t>
        </is>
      </c>
      <c r="BR24" t="inlineStr" s="8">
        <is>
          <t>2024-01-29</t>
        </is>
      </c>
      <c r="BS24" s="8"/>
      <c r="BT24" s="8"/>
      <c r="BU24" s="8"/>
      <c r="BV24" s="8"/>
      <c r="BW24" s="8"/>
      <c r="BX24" s="8"/>
      <c r="BY24" s="8"/>
      <c r="BZ24" s="9"/>
      <c r="CA24" s="9"/>
      <c r="CB24" t="inlineStr" s="8">
        <is>
          <t>3166363845</t>
        </is>
      </c>
      <c r="CC24" t="inlineStr" s="8">
        <is>
          <t>tribbiani.hermione.74844961@example.com</t>
        </is>
      </c>
      <c r="CD24" t="inlineStr" s="8">
        <is>
          <t>FLINTSTONE FRED CEL: 3166364400</t>
        </is>
      </c>
      <c r="CE24" s="8"/>
    </row>
    <row r="25" ht="12.75" customHeight="1">
      <c r="A25" t="inlineStr" s="8">
        <is>
          <t>60007919096518</t>
        </is>
      </c>
      <c r="B25" s="8"/>
      <c r="C25" t="inlineStr" s="8">
        <is>
          <t>307</t>
        </is>
      </c>
      <c r="D25" s="9">
        <v>55.20</v>
      </c>
      <c r="E25" t="inlineStr" s="8">
        <is>
          <t>74848754</t>
        </is>
      </c>
      <c r="F25" t="inlineStr" s="8">
        <is>
          <t>BANNER WALTER</t>
        </is>
      </c>
      <c r="G25" t="inlineStr" s="8">
        <is>
          <t>SOLO LEGOLAS</t>
        </is>
      </c>
      <c r="H25" t="inlineStr" s="8">
        <is>
          <t>BANCO DE BOGOTA</t>
        </is>
      </c>
      <c r="I25" s="9">
        <v>192172500.00</v>
      </c>
      <c r="J25" t="inlineStr" s="8">
        <is>
          <t>NCR5360 - NCR5353 - NCR5351 - NCR5352 - NCR5354 - NCR5350 - NCR5362CR</t>
        </is>
      </c>
      <c r="K25" t="inlineStr" s="8">
        <is>
          <t>NCR5358 - NCR5359 - NCR5355 - NCR5356 - NCR5361 - NCR5357</t>
        </is>
      </c>
      <c r="L25" t="inlineStr" s="8">
        <is>
          <t>MAY.5/23F - JUN.1/23 - JUL.2/23 - JUL.8/23 - JUL.16/23 - JUL.19/23 - JUL.24/23 - AGO.1/23F - ENE.5/24F - MAR.24/24F - MAY.21/24F - JUN.22/24F</t>
        </is>
      </c>
      <c r="M25" s="9">
        <f>15548000+16131000+2235000+4178000+100000+7094000</f>
      </c>
      <c r="N25" s="9"/>
      <c r="O25" t="inlineStr" s="8">
        <is>
          <t>FEB.18/24</t>
        </is>
      </c>
      <c r="P25" s="8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>
        <v>3401000</v>
      </c>
      <c r="AH25" s="10"/>
      <c r="AI25" s="10"/>
      <c r="AJ25" s="10">
        <v>1166000</v>
      </c>
      <c r="AK25" s="10"/>
      <c r="AL25" s="10"/>
      <c r="AM25" s="10"/>
      <c r="AN25" s="10"/>
      <c r="AO25" s="10">
        <v>2624000</v>
      </c>
      <c r="AP25" s="10"/>
      <c r="AQ25" s="10">
        <v>12632000</v>
      </c>
      <c r="AR25" s="10"/>
      <c r="AS25" s="10">
        <v>19722500</v>
      </c>
      <c r="AT25" s="10">
        <v>12341000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>
        <v>80000000</v>
      </c>
      <c r="BF25" s="9"/>
      <c r="BG25" s="9"/>
      <c r="BH25" s="9"/>
      <c r="BI25" s="9">
        <f>SUM(M25,N25,Q25,R25,S25,T25,U25,V25,W25,X25,Y25,Z25,AA25,AB25,AC25,AD25,AE25,AF25,AG25,AH25,AI25,AJ25,AK25,AL25,AM25,AN25,AO25,AP25,AQ25,AR25,AS25,AT25,AU25,AV25,AW25,AX25,AY25,AZ25,BA25,BB25,BC25,BD25,BE25,BF25,BG25,BH25)</f>
      </c>
      <c r="BJ25" s="9">
        <f>I25-BI25</f>
      </c>
      <c r="BK25" s="9">
        <f>BJ25-BL25-BM25-BN25-BO25</f>
      </c>
      <c r="BL25" s="9"/>
      <c r="BM25" s="9"/>
      <c r="BN25" s="9"/>
      <c r="BO25" s="9"/>
      <c r="BP25" s="8"/>
      <c r="BQ25" t="inlineStr" s="8">
        <is>
          <t>2023-07-17</t>
        </is>
      </c>
      <c r="BR25" t="inlineStr" s="8">
        <is>
          <t>2023-09-01</t>
        </is>
      </c>
      <c r="BS25" t="inlineStr" s="8">
        <is>
          <t>2024-12-19</t>
        </is>
      </c>
      <c r="BT25" s="8"/>
      <c r="BU25" s="8"/>
      <c r="BV25" s="8"/>
      <c r="BW25" s="8"/>
      <c r="BX25" s="8"/>
      <c r="BY25" s="8"/>
      <c r="BZ25" s="9"/>
      <c r="CA25" s="9"/>
      <c r="CB25" t="inlineStr" s="8">
        <is>
          <t>3166365167</t>
        </is>
      </c>
      <c r="CC25" t="inlineStr" s="8">
        <is>
          <t>banner.walter.74848754@example.com</t>
        </is>
      </c>
      <c r="CD25" t="inlineStr" s="8">
        <is>
          <t>JETSON GEORGE CEL: 3166366599</t>
        </is>
      </c>
      <c r="CE25" s="8"/>
    </row>
    <row r="26" ht="12.75" customHeight="1">
      <c r="A26" t="inlineStr" s="8">
        <is>
          <t>60007919096570</t>
        </is>
      </c>
      <c r="B26" s="8"/>
      <c r="C26" t="inlineStr" s="8">
        <is>
          <t>401</t>
        </is>
      </c>
      <c r="D26" s="9">
        <v>55.20</v>
      </c>
      <c r="E26" t="inlineStr" s="8">
        <is>
          <t>74854003</t>
        </is>
      </c>
      <c r="F26" t="inlineStr" s="8">
        <is>
          <t>GRIFFIN MAX</t>
        </is>
      </c>
      <c r="G26" s="8"/>
      <c r="H26" s="8"/>
      <c r="I26" s="9">
        <v>192172500.00</v>
      </c>
      <c r="J26" s="8"/>
      <c r="K26" t="inlineStr" s="8">
        <is>
          <t>NCR5370 - NCR5367 - NCR5371 - NCR5368 - NCR5369 - NCR5366 - NCR5365 - NCR5364 - NCR5372</t>
        </is>
      </c>
      <c r="L26" t="inlineStr" s="8">
        <is>
          <t>ENE.12/22F - FEB.14/22F - ABR.23/22F - ABR.28/22F - AGO.19/22F - NOV.2/22F - NOV.22/22F - NOV.23/22F - DIC.3/22F</t>
        </is>
      </c>
      <c r="M26" s="9"/>
      <c r="N26" s="9"/>
      <c r="O26" s="8"/>
      <c r="P26" s="8"/>
      <c r="Q26" s="10">
        <v>12756000</v>
      </c>
      <c r="R26" s="10">
        <v>9036000</v>
      </c>
      <c r="S26" s="10"/>
      <c r="T26" s="10">
        <f>2480000+35966000</f>
      </c>
      <c r="U26" s="10"/>
      <c r="V26" s="10"/>
      <c r="W26" s="10"/>
      <c r="X26" s="10">
        <v>27816000</v>
      </c>
      <c r="Y26" s="10"/>
      <c r="Z26" s="10"/>
      <c r="AA26" s="10">
        <f>46242000+23741000+2303000</f>
      </c>
      <c r="AB26" s="10">
        <v>16832500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9"/>
      <c r="BF26" s="9"/>
      <c r="BG26" s="9"/>
      <c r="BH26" s="9"/>
      <c r="BI26" s="9">
        <f>SUM(M26,N26,Q26,R26,S26,T26,U26,V26,W26,X26,Y26,Z26,AA26,AB26,AC26,AD26,AE26,AF26,AG26,AH26,AI26,AJ26,AK26,AL26,AM26,AN26,AO26,AP26,AQ26,AR26,AS26,AT26,AU26,AV26,AW26,AX26,AY26,AZ26,BA26,BB26,BC26,BD26,BE26,BF26,BG26,BH26)</f>
      </c>
      <c r="BJ26" s="9">
        <f>I26-BI26</f>
      </c>
      <c r="BK26" s="9">
        <f>BJ26-BL26-BM26-BN26-BO26</f>
      </c>
      <c r="BL26" s="9"/>
      <c r="BM26" s="9"/>
      <c r="BN26" s="9"/>
      <c r="BO26" s="9"/>
      <c r="BP26" s="8"/>
      <c r="BQ26" t="inlineStr" s="8">
        <is>
          <t>2022-03-04</t>
        </is>
      </c>
      <c r="BR26" t="inlineStr" s="8">
        <is>
          <t>2022-03-22</t>
        </is>
      </c>
      <c r="BS26" s="8"/>
      <c r="BT26" s="8"/>
      <c r="BU26" s="8"/>
      <c r="BV26" s="8"/>
      <c r="BW26" s="8"/>
      <c r="BX26" s="8"/>
      <c r="BY26" s="8"/>
      <c r="BZ26" s="9"/>
      <c r="CA26" s="9"/>
      <c r="CB26" t="inlineStr" s="8">
        <is>
          <t>3166366718</t>
        </is>
      </c>
      <c r="CC26" t="inlineStr" s="8">
        <is>
          <t>griffin.max.74854003@example.com</t>
        </is>
      </c>
      <c r="CD26" t="inlineStr" s="8">
        <is>
          <t>JETSON GEORGE CEL: 3166367113</t>
        </is>
      </c>
      <c r="CE26" s="8"/>
    </row>
    <row r="27" ht="12.75" customHeight="1">
      <c r="A27" t="inlineStr" s="8">
        <is>
          <t>60007919096649</t>
        </is>
      </c>
      <c r="B27" s="8"/>
      <c r="C27" t="inlineStr" s="8">
        <is>
          <t>402</t>
        </is>
      </c>
      <c r="D27" s="9">
        <v>55.20</v>
      </c>
      <c r="E27" t="inlineStr" s="8">
        <is>
          <t>74859643</t>
        </is>
      </c>
      <c r="F27" t="inlineStr" s="8">
        <is>
          <t>HALPERT JON</t>
        </is>
      </c>
      <c r="G27" s="8"/>
      <c r="H27" t="inlineStr" s="8">
        <is>
          <t>BANCO CAJA SOCIAL</t>
        </is>
      </c>
      <c r="I27" s="9">
        <v>192172500.00</v>
      </c>
      <c r="J27" t="inlineStr" s="8">
        <is>
          <t>NCR5377 - NCR5378CR</t>
        </is>
      </c>
      <c r="K27" t="inlineStr" s="8">
        <is>
          <t>NCR5374 - NCR5376 - NCR5375</t>
        </is>
      </c>
      <c r="L27" t="inlineStr" s="8">
        <is>
          <t>JUL.1/23 - JUL.7/23F - JUL.14/23F - JUL.27/23F</t>
        </is>
      </c>
      <c r="M27" s="9">
        <v>10882500</v>
      </c>
      <c r="N27" s="9"/>
      <c r="O27" t="inlineStr" s="8">
        <is>
          <t>AGO.31/23</t>
        </is>
      </c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>
        <f>18741000+12964000+24585000</f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>
        <v>125000000</v>
      </c>
      <c r="BF27" s="9"/>
      <c r="BG27" s="9"/>
      <c r="BH27" s="9"/>
      <c r="BI27" s="9">
        <f>SUM(M27,N27,Q27,R27,S27,T27,U27,V27,W27,X27,Y27,Z27,AA27,AB27,AC27,AD27,AE27,AF27,AG27,AH27,AI27,AJ27,AK27,AL27,AM27,AN27,AO27,AP27,AQ27,AR27,AS27,AT27,AU27,AV27,AW27,AX27,AY27,AZ27,BA27,BB27,BC27,BD27,BE27,BF27,BG27,BH27)</f>
      </c>
      <c r="BJ27" s="9">
        <f>I27-BI27</f>
      </c>
      <c r="BK27" s="9">
        <f>BJ27-BL27-BM27-BN27-BO27</f>
      </c>
      <c r="BL27" s="9"/>
      <c r="BM27" s="9"/>
      <c r="BN27" s="9"/>
      <c r="BO27" s="9"/>
      <c r="BP27" s="8"/>
      <c r="BQ27" t="inlineStr" s="8">
        <is>
          <t>2023-07-01</t>
        </is>
      </c>
      <c r="BR27" t="inlineStr" s="8">
        <is>
          <t>2023-07-30</t>
        </is>
      </c>
      <c r="BS27" s="8"/>
      <c r="BT27" s="8"/>
      <c r="BU27" s="8"/>
      <c r="BV27" s="8"/>
      <c r="BW27" s="8"/>
      <c r="BX27" s="8"/>
      <c r="BY27" s="8"/>
      <c r="BZ27" s="9"/>
      <c r="CA27" s="9"/>
      <c r="CB27" t="inlineStr" s="8">
        <is>
          <t>3166367741</t>
        </is>
      </c>
      <c r="CC27" t="inlineStr" s="8">
        <is>
          <t>halpert.jon.74859643@example.com</t>
        </is>
      </c>
      <c r="CD27" t="inlineStr" s="8">
        <is>
          <t>DUCK DAFFY CEL: 3166368592</t>
        </is>
      </c>
      <c r="CE27" s="8"/>
    </row>
    <row r="28" ht="12.75" customHeight="1">
      <c r="A28" t="inlineStr" s="8">
        <is>
          <t>60007919096799</t>
        </is>
      </c>
      <c r="B28" s="8"/>
      <c r="C28" t="inlineStr" s="8">
        <is>
          <t>403</t>
        </is>
      </c>
      <c r="D28" s="9">
        <v>55.20</v>
      </c>
      <c r="E28" t="inlineStr" s="8">
        <is>
          <t>74864289</t>
        </is>
      </c>
      <c r="F28" t="inlineStr" s="8">
        <is>
          <t>WEASLEY SAUL</t>
        </is>
      </c>
      <c r="G28" s="8"/>
      <c r="H28" t="inlineStr" s="8">
        <is>
          <t>BANCO DE BOGOTA</t>
        </is>
      </c>
      <c r="I28" s="9">
        <v>192172500.00</v>
      </c>
      <c r="J28" t="inlineStr" s="8">
        <is>
          <t>NCR5388CR</t>
        </is>
      </c>
      <c r="K28" t="inlineStr" s="8">
        <is>
          <t>NCR5381 - NCR5383 - NCR5380 - NCR5379 - NCR5384 - NCR5385 - NCR5386 - NCR5382 - NCR5387</t>
        </is>
      </c>
      <c r="L28" t="inlineStr" s="8">
        <is>
          <t>SEP.9/22F - OCT.19/22F - NOV.3/22F - NOV.13/22F - NOV.14/22F - DIC.2/22F - ABR.4/23F - ABR.6/23F - MAY.4/23F</t>
        </is>
      </c>
      <c r="M28" s="9"/>
      <c r="N28" s="9"/>
      <c r="O28" t="inlineStr" s="8">
        <is>
          <t>MAY.5/23</t>
        </is>
      </c>
      <c r="P28" s="8"/>
      <c r="Q28" s="10"/>
      <c r="R28" s="10"/>
      <c r="S28" s="10"/>
      <c r="T28" s="10"/>
      <c r="U28" s="10"/>
      <c r="V28" s="10"/>
      <c r="W28" s="10"/>
      <c r="X28" s="10"/>
      <c r="Y28" s="10">
        <v>12574000</v>
      </c>
      <c r="Z28" s="10">
        <v>209000</v>
      </c>
      <c r="AA28" s="10">
        <f>10121000+11426000+8556000</f>
      </c>
      <c r="AB28" s="10">
        <v>4696000</v>
      </c>
      <c r="AC28" s="10"/>
      <c r="AD28" s="10"/>
      <c r="AE28" s="10"/>
      <c r="AF28" s="10">
        <f>1670000+939000</f>
      </c>
      <c r="AG28" s="10">
        <v>1981500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9">
        <v>125000000</v>
      </c>
      <c r="BF28" s="9"/>
      <c r="BG28" s="9"/>
      <c r="BH28" s="9"/>
      <c r="BI28" s="9">
        <f>SUM(M28,N28,Q28,R28,S28,T28,U28,V28,W28,X28,Y28,Z28,AA28,AB28,AC28,AD28,AE28,AF28,AG28,AH28,AI28,AJ28,AK28,AL28,AM28,AN28,AO28,AP28,AQ28,AR28,AS28,AT28,AU28,AV28,AW28,AX28,AY28,AZ28,BA28,BB28,BC28,BD28,BE28,BF28,BG28,BH28)</f>
      </c>
      <c r="BJ28" s="9">
        <f>I28-BI28</f>
      </c>
      <c r="BK28" s="9">
        <f>BJ28-BL28-BM28-BN28-BO28</f>
      </c>
      <c r="BL28" s="9"/>
      <c r="BM28" s="9"/>
      <c r="BN28" s="9"/>
      <c r="BO28" s="9"/>
      <c r="BP28" s="8"/>
      <c r="BQ28" t="inlineStr" s="8">
        <is>
          <t>2022-09-16</t>
        </is>
      </c>
      <c r="BR28" t="inlineStr" s="8">
        <is>
          <t>2022-10-12</t>
        </is>
      </c>
      <c r="BS28" s="8"/>
      <c r="BT28" s="8"/>
      <c r="BU28" s="8"/>
      <c r="BV28" s="8"/>
      <c r="BW28" s="8"/>
      <c r="BX28" s="8"/>
      <c r="BY28" s="8"/>
      <c r="BZ28" s="9"/>
      <c r="CA28" s="9"/>
      <c r="CB28" t="inlineStr" s="8">
        <is>
          <t>3166369414</t>
        </is>
      </c>
      <c r="CC28" t="inlineStr" s="8">
        <is>
          <t>weasley.saul.74864289@example.com</t>
        </is>
      </c>
      <c r="CD28" t="inlineStr" s="8">
        <is>
          <t>JETSON GEORGE CEL: 3166369904</t>
        </is>
      </c>
      <c r="CE28" s="8"/>
    </row>
    <row r="29" ht="12.75" customHeight="1">
      <c r="A29" t="inlineStr" s="8">
        <is>
          <t>60007919096883</t>
        </is>
      </c>
      <c r="B29" s="8"/>
      <c r="C29" t="inlineStr" s="8">
        <is>
          <t>404</t>
        </is>
      </c>
      <c r="D29" s="9">
        <v>55.20</v>
      </c>
      <c r="E29" t="inlineStr" s="8">
        <is>
          <t>74871364</t>
        </is>
      </c>
      <c r="F29" t="inlineStr" s="8">
        <is>
          <t>KENOBI NANCY</t>
        </is>
      </c>
      <c r="G29" s="8"/>
      <c r="H29" t="inlineStr" s="8">
        <is>
          <t>BANCO DE BOGOTA</t>
        </is>
      </c>
      <c r="I29" s="9">
        <v>192172500.00</v>
      </c>
      <c r="J29" t="inlineStr" s="8">
        <is>
          <t>NCR5395 - NCR5397CR</t>
        </is>
      </c>
      <c r="K29" t="inlineStr" s="8">
        <is>
          <t>NCR5394 - NCR5396 - NCR5390 - NCR5391 - NCR5393 - NCR5392</t>
        </is>
      </c>
      <c r="L29" t="inlineStr" s="8">
        <is>
          <t>ABR.13/23F - JUN.13/23F - AGO.3/23 - JUN.14/24F - JUN.15/24F - JUN.19/24F - JUL.14/24F</t>
        </is>
      </c>
      <c r="M29" s="9">
        <v>645000</v>
      </c>
      <c r="N29" s="9"/>
      <c r="O29" t="inlineStr" s="8">
        <is>
          <t>MAY.1/24</t>
        </is>
      </c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11337000</v>
      </c>
      <c r="AG29" s="10"/>
      <c r="AH29" s="10">
        <v>25992500</v>
      </c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>
        <f>8572000+11061000+34104000</f>
      </c>
      <c r="AU29" s="10">
        <v>461000</v>
      </c>
      <c r="AV29" s="10"/>
      <c r="AW29" s="10"/>
      <c r="AX29" s="10"/>
      <c r="AY29" s="10"/>
      <c r="AZ29" s="10"/>
      <c r="BA29" s="10"/>
      <c r="BB29" s="10"/>
      <c r="BC29" s="10"/>
      <c r="BD29" s="10"/>
      <c r="BE29" s="9">
        <v>80000000</v>
      </c>
      <c r="BF29" s="9"/>
      <c r="BG29" s="9"/>
      <c r="BH29" s="9"/>
      <c r="BI29" s="9">
        <f>SUM(M29,N29,Q29,R29,S29,T29,U29,V29,W29,X29,Y29,Z29,AA29,AB29,AC29,AD29,AE29,AF29,AG29,AH29,AI29,AJ29,AK29,AL29,AM29,AN29,AO29,AP29,AQ29,AR29,AS29,AT29,AU29,AV29,AW29,AX29,AY29,AZ29,BA29,BB29,BC29,BD29,BE29,BF29,BG29,BH29)</f>
      </c>
      <c r="BJ29" s="9">
        <f>I29-BI29</f>
      </c>
      <c r="BK29" s="9">
        <f>BJ29-BL29-BM29-BN29-BO29</f>
      </c>
      <c r="BL29" s="9"/>
      <c r="BM29" s="9"/>
      <c r="BN29" s="9"/>
      <c r="BO29" s="9"/>
      <c r="BP29" s="8"/>
      <c r="BQ29" t="inlineStr" s="8">
        <is>
          <t>2023-04-09</t>
        </is>
      </c>
      <c r="BR29" t="inlineStr" s="8">
        <is>
          <t>2023-06-07</t>
        </is>
      </c>
      <c r="BS29" t="inlineStr" s="8">
        <is>
          <t>2024-11-05</t>
        </is>
      </c>
      <c r="BT29" s="8"/>
      <c r="BU29" s="8"/>
      <c r="BV29" s="8"/>
      <c r="BW29" s="8"/>
      <c r="BX29" s="8"/>
      <c r="BY29" s="8"/>
      <c r="BZ29" s="9"/>
      <c r="CA29" s="9"/>
      <c r="CB29" t="inlineStr" s="8">
        <is>
          <t>3166370493</t>
        </is>
      </c>
      <c r="CC29" t="inlineStr" s="8">
        <is>
          <t>kenobi.nancy.74871364@example.com</t>
        </is>
      </c>
      <c r="CD29" t="inlineStr" s="8">
        <is>
          <t>JAKE CEL: 3166370731</t>
        </is>
      </c>
      <c r="CE29" s="8"/>
    </row>
    <row r="30" ht="12.75" customHeight="1">
      <c r="A30" t="inlineStr" s="8">
        <is>
          <t>60007919096996</t>
        </is>
      </c>
      <c r="B30" s="8"/>
      <c r="C30" t="inlineStr" s="8">
        <is>
          <t>405</t>
        </is>
      </c>
      <c r="D30" s="9">
        <v>55.20</v>
      </c>
      <c r="E30" t="inlineStr" s="8">
        <is>
          <t>74875261</t>
        </is>
      </c>
      <c r="F30" t="inlineStr" s="8">
        <is>
          <t>KOOTHRAPPALI CHLOE</t>
        </is>
      </c>
      <c r="G30" t="inlineStr" s="8">
        <is>
          <t>GRANGER EUGENE</t>
        </is>
      </c>
      <c r="H30" t="inlineStr" s="8">
        <is>
          <t>BANCO DAVIVIENDA</t>
        </is>
      </c>
      <c r="I30" s="9">
        <v>192172500.00</v>
      </c>
      <c r="J30" t="inlineStr" s="8">
        <is>
          <t>NCR5404CR</t>
        </is>
      </c>
      <c r="K30" t="inlineStr" s="8">
        <is>
          <t>NCR5402 - NCR5400 - NCR5399 - NCR5401 - NCR5403</t>
        </is>
      </c>
      <c r="L30" t="inlineStr" s="8">
        <is>
          <t>MAR.5/24F - MAR.7/24F - MAR.15/24F - MAR.21/24F - NOV.11/24F</t>
        </is>
      </c>
      <c r="M30" s="9"/>
      <c r="N30" s="9"/>
      <c r="O30" t="inlineStr" s="8">
        <is>
          <t>JUN.16/24</t>
        </is>
      </c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>
        <f>6210000+723000+1063000+26499000</f>
      </c>
      <c r="AR30" s="10"/>
      <c r="AS30" s="10"/>
      <c r="AT30" s="10"/>
      <c r="AU30" s="10"/>
      <c r="AV30" s="10"/>
      <c r="AW30" s="10"/>
      <c r="AX30" s="10"/>
      <c r="AY30" s="10">
        <v>8039000</v>
      </c>
      <c r="AZ30" s="10"/>
      <c r="BA30" s="10"/>
      <c r="BB30" s="10"/>
      <c r="BC30" s="10"/>
      <c r="BD30" s="10"/>
      <c r="BE30" s="9">
        <v>65000000</v>
      </c>
      <c r="BF30" s="9"/>
      <c r="BG30" s="9"/>
      <c r="BH30" s="9"/>
      <c r="BI30" s="9">
        <f>SUM(M30,N30,Q30,R30,S30,T30,U30,V30,W30,X30,Y30,Z30,AA30,AB30,AC30,AD30,AE30,AF30,AG30,AH30,AI30,AJ30,AK30,AL30,AM30,AN30,AO30,AP30,AQ30,AR30,AS30,AT30,AU30,AV30,AW30,AX30,AY30,AZ30,BA30,BB30,BC30,BD30,BE30,BF30,BG30,BH30)</f>
      </c>
      <c r="BJ30" s="9">
        <f>I30-BI30</f>
      </c>
      <c r="BK30" s="9">
        <f>BJ30-BL30-BM30-BN30-BO30</f>
      </c>
      <c r="BL30" s="9"/>
      <c r="BM30" s="9"/>
      <c r="BN30" s="9"/>
      <c r="BO30" s="9"/>
      <c r="BP30" s="8"/>
      <c r="BQ30" t="inlineStr" s="8">
        <is>
          <t>2024-01-09</t>
        </is>
      </c>
      <c r="BR30" t="inlineStr" s="8">
        <is>
          <t>2024-05-06</t>
        </is>
      </c>
      <c r="BS30" s="8"/>
      <c r="BT30" s="8"/>
      <c r="BU30" s="8"/>
      <c r="BV30" s="8"/>
      <c r="BW30" s="8"/>
      <c r="BX30" s="8"/>
      <c r="BY30" s="8"/>
      <c r="BZ30" s="9"/>
      <c r="CA30" s="9"/>
      <c r="CB30" t="inlineStr" s="8">
        <is>
          <t>3166370921</t>
        </is>
      </c>
      <c r="CC30" t="inlineStr" s="8">
        <is>
          <t>koothrappali.chloe.74875261@example.com</t>
        </is>
      </c>
      <c r="CD30" t="inlineStr" s="8">
        <is>
          <t>FLINTSTONE FRED CEL: 3166372340</t>
        </is>
      </c>
      <c r="CE30" s="8"/>
    </row>
    <row r="31" ht="12.75" customHeight="1">
      <c r="A31" t="inlineStr" s="8">
        <is>
          <t>60007919097143</t>
        </is>
      </c>
      <c r="B31" s="8"/>
      <c r="C31" t="inlineStr" s="8">
        <is>
          <t>406</t>
        </is>
      </c>
      <c r="D31" s="9">
        <v>55.20</v>
      </c>
      <c r="E31" t="inlineStr" s="8">
        <is>
          <t>74888108</t>
        </is>
      </c>
      <c r="F31" t="inlineStr" s="8">
        <is>
          <t>HOPPER EDDIE</t>
        </is>
      </c>
      <c r="G31" s="8"/>
      <c r="H31" t="inlineStr" s="8">
        <is>
          <t>BANCO DAVIVIENDA</t>
        </is>
      </c>
      <c r="I31" s="9">
        <v>192172500.00</v>
      </c>
      <c r="J31" t="inlineStr" s="8">
        <is>
          <t>NCR5410 - NC5405TRASLADO - NCR5415CR</t>
        </is>
      </c>
      <c r="K31" t="inlineStr" s="8">
        <is>
          <t>NCR5411 - NCR5406 - NCR5408 - NCR5413 - NCR5414 - NCR5409 - NCR5407 - NCR5412</t>
        </is>
      </c>
      <c r="L31" t="inlineStr" s="8">
        <is>
          <t>MAY.3/24F - JUN.8/24 - JUL.23/24F - AGO.4/24F - AGO.16/24F - AGO.21/24F - OCT.3/24F - OCT.14/24F - NOV.20/24F - (ENE.22/25TRASLADO)</t>
        </is>
      </c>
      <c r="M31" s="9">
        <v>7240000</v>
      </c>
      <c r="N31" s="9">
        <v>12000000</v>
      </c>
      <c r="O31" t="inlineStr" s="8">
        <is>
          <t>ENE.27/25</t>
        </is>
      </c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>
        <v>32962000</v>
      </c>
      <c r="AT31" s="10"/>
      <c r="AU31" s="10">
        <v>1959000</v>
      </c>
      <c r="AV31" s="10">
        <f>7580000+1278000+2384500</f>
      </c>
      <c r="AW31" s="10"/>
      <c r="AX31" s="10">
        <f>5877000+8091000</f>
      </c>
      <c r="AY31" s="10">
        <v>17801000</v>
      </c>
      <c r="AZ31" s="10"/>
      <c r="BA31" s="10"/>
      <c r="BB31" s="10"/>
      <c r="BC31" s="10"/>
      <c r="BD31" s="10"/>
      <c r="BE31" s="9">
        <v>80000000</v>
      </c>
      <c r="BF31" s="9"/>
      <c r="BG31" s="9"/>
      <c r="BH31" s="9"/>
      <c r="BI31" s="9">
        <f>SUM(M31,N31,Q31,R31,S31,T31,U31,V31,W31,X31,Y31,Z31,AA31,AB31,AC31,AD31,AE31,AF31,AG31,AH31,AI31,AJ31,AK31,AL31,AM31,AN31,AO31,AP31,AQ31,AR31,AS31,AT31,AU31,AV31,AW31,AX31,AY31,AZ31,BA31,BB31,BC31,BD31,BE31,BF31,BG31,BH31)</f>
      </c>
      <c r="BJ31" s="9">
        <f>I31-BI31</f>
      </c>
      <c r="BK31" s="9">
        <f>BJ31-BL31-BM31-BN31-BO31</f>
      </c>
      <c r="BL31" s="9"/>
      <c r="BM31" s="9"/>
      <c r="BN31" s="9"/>
      <c r="BO31" s="9"/>
      <c r="BP31" s="8"/>
      <c r="BQ31" t="inlineStr" s="8">
        <is>
          <t>2024-02-06</t>
        </is>
      </c>
      <c r="BR31" t="inlineStr" s="8">
        <is>
          <t>2024-06-04</t>
        </is>
      </c>
      <c r="BS31" s="8"/>
      <c r="BT31" s="8"/>
      <c r="BU31" s="8"/>
      <c r="BV31" s="8"/>
      <c r="BW31" s="8"/>
      <c r="BX31" s="8"/>
      <c r="BY31" s="8"/>
      <c r="BZ31" s="9"/>
      <c r="CA31" s="9"/>
      <c r="CB31" t="inlineStr" s="8">
        <is>
          <t>3166373215</t>
        </is>
      </c>
      <c r="CC31" t="inlineStr" s="8">
        <is>
          <t>hopper.eddie.74888108@example.com</t>
        </is>
      </c>
      <c r="CD31" t="inlineStr" s="8">
        <is>
          <t>JETSON GEORGE CEL: 3166373569</t>
        </is>
      </c>
      <c r="CE31" t="inlineStr" s="8">
        <is>
          <t>NC5405 ENE.22/25 TRASLADO DE AHSOKA SQUAREPANTS A EDDIE HOPPER *ANTIC $12.000.000 *ARRAS $4'640</t>
        </is>
      </c>
    </row>
    <row r="32" ht="12.75" customHeight="1">
      <c r="A32" t="inlineStr" s="8">
        <is>
          <t>60007919097278</t>
        </is>
      </c>
      <c r="B32" s="8"/>
      <c r="C32" t="inlineStr" s="8">
        <is>
          <t>407</t>
        </is>
      </c>
      <c r="D32" s="9">
        <v>55.20</v>
      </c>
      <c r="E32" t="inlineStr" s="8">
        <is>
          <t>74896228</t>
        </is>
      </c>
      <c r="F32" t="inlineStr" s="8">
        <is>
          <t>MAYFIELD BETH</t>
        </is>
      </c>
      <c r="G32" s="8"/>
      <c r="H32" t="inlineStr" s="8">
        <is>
          <t>BANCO CAJA SOCIAL</t>
        </is>
      </c>
      <c r="I32" s="9">
        <v>192172500.00</v>
      </c>
      <c r="J32" t="inlineStr" s="8">
        <is>
          <t>NCR5420 - NCR5426CR</t>
        </is>
      </c>
      <c r="K32" t="inlineStr" s="8">
        <is>
          <t>NCR5421 - NCR5418 - NCR5419 - NCR5417 - NCR5425 - NCR5422 - NCR5424 - NCR5423</t>
        </is>
      </c>
      <c r="L32" t="inlineStr" s="8">
        <is>
          <t>AGO.12/22F - NOV.7/22F - NOV.12/22F - NOV.28/22F - ENE.13/23F - FEB.11/23F - MAY.10/23F - SEP.1/23 - OCT.9/23F</t>
        </is>
      </c>
      <c r="M32" s="9">
        <v>6217000</v>
      </c>
      <c r="N32" s="9"/>
      <c r="O32" t="inlineStr" s="8">
        <is>
          <t>DIC.6/23</t>
        </is>
      </c>
      <c r="P32" s="8"/>
      <c r="Q32" s="10"/>
      <c r="R32" s="10"/>
      <c r="S32" s="10"/>
      <c r="T32" s="10"/>
      <c r="U32" s="10"/>
      <c r="V32" s="10"/>
      <c r="W32" s="10"/>
      <c r="X32" s="10">
        <v>2736000</v>
      </c>
      <c r="Y32" s="10"/>
      <c r="Z32" s="10"/>
      <c r="AA32" s="10">
        <f>11999000+6217000+5036000</f>
      </c>
      <c r="AB32" s="10"/>
      <c r="AC32" s="10">
        <v>2860500</v>
      </c>
      <c r="AD32" s="10">
        <v>21201000</v>
      </c>
      <c r="AE32" s="10"/>
      <c r="AF32" s="10"/>
      <c r="AG32" s="10">
        <v>4103000</v>
      </c>
      <c r="AH32" s="10"/>
      <c r="AI32" s="10"/>
      <c r="AJ32" s="10"/>
      <c r="AK32" s="10"/>
      <c r="AL32" s="10">
        <v>1803000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>
        <v>110000000</v>
      </c>
      <c r="BF32" s="9"/>
      <c r="BG32" s="9"/>
      <c r="BH32" s="9"/>
      <c r="BI32" s="9">
        <f>SUM(M32,N32,Q32,R32,S32,T32,U32,V32,W32,X32,Y32,Z32,AA32,AB32,AC32,AD32,AE32,AF32,AG32,AH32,AI32,AJ32,AK32,AL32,AM32,AN32,AO32,AP32,AQ32,AR32,AS32,AT32,AU32,AV32,AW32,AX32,AY32,AZ32,BA32,BB32,BC32,BD32,BE32,BF32,BG32,BH32)</f>
      </c>
      <c r="BJ32" s="9">
        <f>I32-BI32</f>
      </c>
      <c r="BK32" s="9">
        <f>BJ32-BL32-BM32-BN32-BO32</f>
      </c>
      <c r="BL32" s="9"/>
      <c r="BM32" s="9"/>
      <c r="BN32" s="9"/>
      <c r="BO32" s="9"/>
      <c r="BP32" s="8"/>
      <c r="BQ32" t="inlineStr" s="8">
        <is>
          <t>2022-09-16</t>
        </is>
      </c>
      <c r="BR32" t="inlineStr" s="8">
        <is>
          <t>2022-11-25</t>
        </is>
      </c>
      <c r="BS32" s="8"/>
      <c r="BT32" s="8"/>
      <c r="BU32" s="8"/>
      <c r="BV32" s="8"/>
      <c r="BW32" s="8"/>
      <c r="BX32" s="8"/>
      <c r="BY32" s="8"/>
      <c r="BZ32" s="9"/>
      <c r="CA32" s="9"/>
      <c r="CB32" t="inlineStr" s="8">
        <is>
          <t>3166373798</t>
        </is>
      </c>
      <c r="CC32" t="inlineStr" s="8">
        <is>
          <t>mayfield.beth.74896228@example.com</t>
        </is>
      </c>
      <c r="CD32" t="inlineStr" s="8">
        <is>
          <t>FINN CEL: 3166374346</t>
        </is>
      </c>
      <c r="CE32" s="8"/>
    </row>
    <row r="33" ht="12.75" customHeight="1">
      <c r="A33" t="inlineStr" s="8">
        <is>
          <t>60007919097342</t>
        </is>
      </c>
      <c r="B33" s="8"/>
      <c r="C33" t="inlineStr" s="8">
        <is>
          <t>501</t>
        </is>
      </c>
      <c r="D33" s="9">
        <v>55.20</v>
      </c>
      <c r="E33" t="inlineStr" s="8">
        <is>
          <t>74899597</t>
        </is>
      </c>
      <c r="F33" t="inlineStr" s="8">
        <is>
          <t>COOPER DRACO</t>
        </is>
      </c>
      <c r="G33" s="8"/>
      <c r="H33" s="8"/>
      <c r="I33" s="9">
        <v>192172500.00</v>
      </c>
      <c r="J33" s="8"/>
      <c r="K33" t="inlineStr" s="8">
        <is>
          <t>NCR5431 - NCR5434 - NCR5433 - NCR5428 - NCR5436 - NCR5429 - NCR5432 - NCR5440 - NCR5439 - NCR5438 - NCR5437 - NCR5435 - NCR5430</t>
        </is>
      </c>
      <c r="L33" t="inlineStr" s="8">
        <is>
          <t>AGO.2/22F - SEP.10/22F - OCT.4/22F - OCT.8/22F - OCT.19/22F - OCT.28/22F - NOV.12/22F - DIC.11/22F - FEB.21/23F - MAR.2/23F - MAR.5/23F - ABR.25/23F - MAY.4/23F</t>
        </is>
      </c>
      <c r="M33" s="9"/>
      <c r="N33" s="9"/>
      <c r="O33" s="8"/>
      <c r="P33" s="8"/>
      <c r="Q33" s="10"/>
      <c r="R33" s="10"/>
      <c r="S33" s="10"/>
      <c r="T33" s="10"/>
      <c r="U33" s="10"/>
      <c r="V33" s="10"/>
      <c r="W33" s="10"/>
      <c r="X33" s="10">
        <v>10243000</v>
      </c>
      <c r="Y33" s="10">
        <v>15860000</v>
      </c>
      <c r="Z33" s="10">
        <f>1983000+11647000+6113000+3717000</f>
      </c>
      <c r="AA33" s="10">
        <v>14043000</v>
      </c>
      <c r="AB33" s="10">
        <v>1984000</v>
      </c>
      <c r="AC33" s="10"/>
      <c r="AD33" s="10">
        <v>6195000</v>
      </c>
      <c r="AE33" s="10">
        <f>330000+661000</f>
      </c>
      <c r="AF33" s="10">
        <v>1817000</v>
      </c>
      <c r="AG33" s="10">
        <v>8013000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9"/>
      <c r="BF33" s="9"/>
      <c r="BG33" s="9"/>
      <c r="BH33" s="9"/>
      <c r="BI33" s="9">
        <f>SUM(M33,N33,Q33,R33,S33,T33,U33,V33,W33,X33,Y33,Z33,AA33,AB33,AC33,AD33,AE33,AF33,AG33,AH33,AI33,AJ33,AK33,AL33,AM33,AN33,AO33,AP33,AQ33,AR33,AS33,AT33,AU33,AV33,AW33,AX33,AY33,AZ33,BA33,BB33,BC33,BD33,BE33,BF33,BG33,BH33)</f>
      </c>
      <c r="BJ33" s="9">
        <f>I33-BI33</f>
      </c>
      <c r="BK33" s="9">
        <f>BJ33-BL33-BM33-BN33-BO33</f>
      </c>
      <c r="BL33" s="9"/>
      <c r="BM33" s="9"/>
      <c r="BN33" s="9"/>
      <c r="BO33" s="9"/>
      <c r="BP33" s="8"/>
      <c r="BQ33" t="inlineStr" s="8">
        <is>
          <t>2022-08-14</t>
        </is>
      </c>
      <c r="BR33" t="inlineStr" s="8">
        <is>
          <t>2022-11-29</t>
        </is>
      </c>
      <c r="BS33" s="8"/>
      <c r="BT33" s="8"/>
      <c r="BU33" s="8"/>
      <c r="BV33" s="8"/>
      <c r="BW33" s="8"/>
      <c r="BX33" s="8"/>
      <c r="BY33" s="8"/>
      <c r="BZ33" s="9"/>
      <c r="CA33" s="9"/>
      <c r="CB33" t="inlineStr" s="8">
        <is>
          <t>3166374772</t>
        </is>
      </c>
      <c r="CC33" t="inlineStr" s="8">
        <is>
          <t>cooper.draco.74899597@example.com</t>
        </is>
      </c>
      <c r="CD33" t="inlineStr" s="8">
        <is>
          <t>PANTHER PINK CEL: 3166375652</t>
        </is>
      </c>
      <c r="CE33" s="8"/>
    </row>
    <row r="34" ht="12.75" customHeight="1">
      <c r="A34" t="inlineStr" s="8">
        <is>
          <t>60007919097414</t>
        </is>
      </c>
      <c r="B34" s="8"/>
      <c r="C34" t="inlineStr" s="8">
        <is>
          <t>502</t>
        </is>
      </c>
      <c r="D34" s="9">
        <v>55.20</v>
      </c>
      <c r="E34" t="inlineStr" s="8">
        <is>
          <t>74908484</t>
        </is>
      </c>
      <c r="F34" t="inlineStr" s="8">
        <is>
          <t>KOOTHRAPPALI TYRION</t>
        </is>
      </c>
      <c r="G34" t="inlineStr" s="8">
        <is>
          <t>LANNISTER RICK</t>
        </is>
      </c>
      <c r="H34" t="inlineStr" s="8">
        <is>
          <t>BBVA</t>
        </is>
      </c>
      <c r="I34" s="9">
        <v>192172500.00</v>
      </c>
      <c r="J34" t="inlineStr" s="8">
        <is>
          <t>NCR5449 - NCR5445 - NCR5455 - NCR5444 - NCR5452 - NCR5443 - NCR5446 - NCR5456CR</t>
        </is>
      </c>
      <c r="K34" t="inlineStr" s="8">
        <is>
          <t>NCR5453 - NCR5451 - NCR5447 - NCR5454 - NCR5448 - NCR5450</t>
        </is>
      </c>
      <c r="L34" t="inlineStr" s="8">
        <is>
          <t>OCT.8/23 - OCT.19/23 - OCT.24/23 - DIC.7/23 - DIC.11/23 - DIC.21/23 - ABR.24/24F - MAY.25/24F - JUN.10/24 - SEP.20/24F - DIC.6/24F - DIC.11/24F - ENE.10/25F</t>
        </is>
      </c>
      <c r="M34" s="9">
        <f>529000+74334+411000+587000+220000+1968000+100000</f>
      </c>
      <c r="N34" s="9"/>
      <c r="O34" t="inlineStr" s="8">
        <is>
          <t>NOV.11/24</t>
        </is>
      </c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>
        <v>558000</v>
      </c>
      <c r="AS34" s="10">
        <v>2335000</v>
      </c>
      <c r="AT34" s="10"/>
      <c r="AU34" s="10"/>
      <c r="AV34" s="10"/>
      <c r="AW34" s="10">
        <v>764000</v>
      </c>
      <c r="AX34" s="10"/>
      <c r="AY34" s="10"/>
      <c r="AZ34" s="10">
        <f>1733000+573000</f>
      </c>
      <c r="BA34" s="10">
        <v>4831000</v>
      </c>
      <c r="BB34" s="10"/>
      <c r="BC34" s="10"/>
      <c r="BD34" s="10"/>
      <c r="BE34" s="9">
        <v>20341666</v>
      </c>
      <c r="BF34" s="9"/>
      <c r="BG34" s="9"/>
      <c r="BH34" s="9"/>
      <c r="BI34" s="9">
        <f>SUM(M34,N34,Q34,R34,S34,T34,U34,V34,W34,X34,Y34,Z34,AA34,AB34,AC34,AD34,AE34,AF34,AG34,AH34,AI34,AJ34,AK34,AL34,AM34,AN34,AO34,AP34,AQ34,AR34,AS34,AT34,AU34,AV34,AW34,AX34,AY34,AZ34,BA34,BB34,BC34,BD34,BE34,BF34,BG34,BH34)</f>
      </c>
      <c r="BJ34" s="9">
        <f>I34-BI34</f>
      </c>
      <c r="BK34" s="9">
        <f>BJ34-BL34-BM34-BN34-BO34</f>
      </c>
      <c r="BL34" s="9"/>
      <c r="BM34" s="9"/>
      <c r="BN34" s="9"/>
      <c r="BO34" s="9"/>
      <c r="BP34" s="8"/>
      <c r="BQ34" t="inlineStr" s="8">
        <is>
          <t>2023-10-20</t>
        </is>
      </c>
      <c r="BR34" t="inlineStr" s="8">
        <is>
          <t>2023-11-04</t>
        </is>
      </c>
      <c r="BS34" s="8"/>
      <c r="BT34" s="8"/>
      <c r="BU34" s="8"/>
      <c r="BV34" s="8"/>
      <c r="BW34" s="8"/>
      <c r="BX34" s="8"/>
      <c r="BY34" s="8"/>
      <c r="BZ34" s="9"/>
      <c r="CA34" s="9"/>
      <c r="CB34" t="inlineStr" s="8">
        <is>
          <t>3166376077</t>
        </is>
      </c>
      <c r="CC34" t="inlineStr" s="8">
        <is>
          <t>koothrappali.tyrion.74908484@example.com</t>
        </is>
      </c>
      <c r="CD34" t="inlineStr" s="8">
        <is>
          <t>JETSON GEORGE CEL: 3166376897</t>
        </is>
      </c>
      <c r="CE34" s="8"/>
    </row>
    <row r="35" ht="12.75" customHeight="1">
      <c r="A35" t="inlineStr" s="8">
        <is>
          <t>60007919097547</t>
        </is>
      </c>
      <c r="B35" s="8"/>
      <c r="C35" t="inlineStr" s="8">
        <is>
          <t>503</t>
        </is>
      </c>
      <c r="D35" s="9">
        <v>55.20</v>
      </c>
      <c r="E35" t="inlineStr" s="8">
        <is>
          <t>74947703</t>
        </is>
      </c>
      <c r="F35" t="inlineStr" s="8">
        <is>
          <t>ROGERS DUSTIN</t>
        </is>
      </c>
      <c r="G35" s="8"/>
      <c r="H35" t="inlineStr" s="8">
        <is>
          <t>BANCO DE OCCIDENTE</t>
        </is>
      </c>
      <c r="I35" s="9">
        <v>192172500.00</v>
      </c>
      <c r="J35" t="inlineStr" s="8">
        <is>
          <t>NC5471CESION - NCR5479CR</t>
        </is>
      </c>
      <c r="K35" t="inlineStr" s="8">
        <is>
          <t>NCR5474 - NCR5475 - NCR5473 - NCR5472 - NCR5476 - NCR5478 - NCR5477</t>
        </is>
      </c>
      <c r="L35" t="inlineStr" s="8">
        <is>
          <t>MAR.9/22F - MAR.15/22F - MAR.16/22F - MAR.21/22F - MAY.13/22F - (JUN.12/22CESION) - JUL.28/22F - NOV.13/22F</t>
        </is>
      </c>
      <c r="M35" s="9"/>
      <c r="N35" s="9">
        <v>15000000</v>
      </c>
      <c r="O35" t="inlineStr" s="8">
        <is>
          <t>OCT.30/22</t>
        </is>
      </c>
      <c r="P35" s="8"/>
      <c r="Q35" s="10"/>
      <c r="R35" s="10"/>
      <c r="S35" s="10">
        <f>8470000+2847000+13807000+20854000</f>
      </c>
      <c r="T35" s="10"/>
      <c r="U35" s="10">
        <v>12669000</v>
      </c>
      <c r="V35" s="10"/>
      <c r="W35" s="10">
        <v>11173500</v>
      </c>
      <c r="X35" s="10"/>
      <c r="Y35" s="10"/>
      <c r="Z35" s="10"/>
      <c r="AA35" s="10">
        <v>1352000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9">
        <v>80000000</v>
      </c>
      <c r="BF35" s="9"/>
      <c r="BG35" s="9"/>
      <c r="BH35" s="9"/>
      <c r="BI35" s="9">
        <f>SUM(M35,N35,Q35,R35,S35,T35,U35,V35,W35,X35,Y35,Z35,AA35,AB35,AC35,AD35,AE35,AF35,AG35,AH35,AI35,AJ35,AK35,AL35,AM35,AN35,AO35,AP35,AQ35,AR35,AS35,AT35,AU35,AV35,AW35,AX35,AY35,AZ35,BA35,BB35,BC35,BD35,BE35,BF35,BG35,BH35)</f>
      </c>
      <c r="BJ35" s="9">
        <f>I35-BI35</f>
      </c>
      <c r="BK35" s="9">
        <f>BJ35-BL35-BM35-BN35-BO35</f>
      </c>
      <c r="BL35" s="9"/>
      <c r="BM35" s="9"/>
      <c r="BN35" s="9"/>
      <c r="BO35" s="9"/>
      <c r="BP35" s="8"/>
      <c r="BQ35" t="inlineStr" s="8">
        <is>
          <t>2022-05-15</t>
        </is>
      </c>
      <c r="BR35" t="inlineStr" s="8">
        <is>
          <t>2022-06-07</t>
        </is>
      </c>
      <c r="BS35" t="inlineStr" s="8">
        <is>
          <t>2023-04-09</t>
        </is>
      </c>
      <c r="BT35" s="8"/>
      <c r="BU35" s="8"/>
      <c r="BV35" s="8"/>
      <c r="BW35" s="8"/>
      <c r="BX35" s="8"/>
      <c r="BY35" s="8"/>
      <c r="BZ35" s="9"/>
      <c r="CA35" s="9"/>
      <c r="CB35" t="inlineStr" s="8">
        <is>
          <t>3166379930</t>
        </is>
      </c>
      <c r="CC35" t="inlineStr" s="8">
        <is>
          <t>rogers.dustin.74947703@example.com</t>
        </is>
      </c>
      <c r="CD35" t="inlineStr" s="8">
        <is>
          <t>FLINTSTONE FRED CEL: 3166380525</t>
        </is>
      </c>
      <c r="CE35" t="inlineStr" s="8">
        <is>
          <t>NC5471 JUN.12/22 CESION DE DIANA CHEEKS/JERRY SKYWALKER A DUSTIN ROGERS *ANTIC $15.000.000 *ARRAS $4'640</t>
        </is>
      </c>
    </row>
    <row r="36" ht="12.75" customHeight="1">
      <c r="A36" s="8"/>
      <c r="B36" s="8"/>
      <c r="C36" t="inlineStr" s="8">
        <is>
          <t>504</t>
        </is>
      </c>
      <c r="D36" s="9">
        <v>55.20</v>
      </c>
      <c r="E36" s="8"/>
      <c r="F36" s="8"/>
      <c r="G36" s="8"/>
      <c r="H36" s="8"/>
      <c r="I36" s="9">
        <v>192172500.00</v>
      </c>
      <c r="J36" s="8"/>
      <c r="K36" s="8"/>
      <c r="L36" s="8"/>
      <c r="M36" s="9"/>
      <c r="N36" s="9"/>
      <c r="O36" s="8"/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9"/>
      <c r="CA36" s="9"/>
      <c r="CB36" s="8"/>
      <c r="CC36" s="8"/>
      <c r="CD36" s="8"/>
      <c r="CE36" s="8"/>
    </row>
    <row r="37" ht="12.75" customHeight="1">
      <c r="A37" t="inlineStr" s="8">
        <is>
          <t>60007919097804</t>
        </is>
      </c>
      <c r="B37" s="8"/>
      <c r="C37" t="inlineStr" s="8">
        <is>
          <t>505</t>
        </is>
      </c>
      <c r="D37" s="9">
        <v>55.20</v>
      </c>
      <c r="E37" t="inlineStr" s="8">
        <is>
          <t>74956704</t>
        </is>
      </c>
      <c r="F37" t="inlineStr" s="8">
        <is>
          <t>PINKMAN SQUIDWARD</t>
        </is>
      </c>
      <c r="G37" s="8"/>
      <c r="H37" t="inlineStr" s="8">
        <is>
          <t>BANCOLOMBIA</t>
        </is>
      </c>
      <c r="I37" s="9">
        <v>192172500.00</v>
      </c>
      <c r="J37" t="inlineStr" s="8">
        <is>
          <t>NCR5499 - NCR5503 - NCR5502 - NCR5501 - NCR5496 - NCR5494 - NC5493CESION - NCR5504CR</t>
        </is>
      </c>
      <c r="K37" t="inlineStr" s="8">
        <is>
          <t>NCR5497 - NCR5500 - NCR5498 - NCR5495</t>
        </is>
      </c>
      <c r="L37" t="inlineStr" s="8">
        <is>
          <t>OCT.1/23 - OCT.25/23 - NOV.21/23 - DIC.3/23 - DIC.7/23 - DIC.10/23 - ENE.4/24F - ENE.18/24F - FEB.15/24F - JUN.27/24F - (SEP.16/24CESION)</t>
        </is>
      </c>
      <c r="M37" s="9">
        <f>6112000+2204000+2705000+2405000+3807000+451000</f>
      </c>
      <c r="N37" s="9">
        <v>18000000</v>
      </c>
      <c r="O37" t="inlineStr" s="8">
        <is>
          <t>FEB.13/24</t>
        </is>
      </c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>
        <f>4659000+9118000</f>
      </c>
      <c r="AP37" s="10">
        <v>8667000</v>
      </c>
      <c r="AQ37" s="10"/>
      <c r="AR37" s="10"/>
      <c r="AS37" s="10"/>
      <c r="AT37" s="10">
        <v>9969000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9">
        <v>65000000</v>
      </c>
      <c r="BF37" s="9"/>
      <c r="BG37" s="9"/>
      <c r="BH37" s="9"/>
      <c r="BI37" s="9">
        <f>SUM(M37,N37,Q37,R37,S37,T37,U37,V37,W37,X37,Y37,Z37,AA37,AB37,AC37,AD37,AE37,AF37,AG37,AH37,AI37,AJ37,AK37,AL37,AM37,AN37,AO37,AP37,AQ37,AR37,AS37,AT37,AU37,AV37,AW37,AX37,AY37,AZ37,BA37,BB37,BC37,BD37,BE37,BF37,BG37,BH37)</f>
      </c>
      <c r="BJ37" s="9">
        <f>I37-BI37</f>
      </c>
      <c r="BK37" s="9">
        <f>BJ37-BL37-BM37-BN37-BO37</f>
      </c>
      <c r="BL37" s="9"/>
      <c r="BM37" s="9"/>
      <c r="BN37" s="9"/>
      <c r="BO37" s="9"/>
      <c r="BP37" s="8"/>
      <c r="BQ37" t="inlineStr" s="8">
        <is>
          <t>2023-11-26</t>
        </is>
      </c>
      <c r="BR37" t="inlineStr" s="8">
        <is>
          <t>2024-01-26</t>
        </is>
      </c>
      <c r="BS37" s="8"/>
      <c r="BT37" s="8"/>
      <c r="BU37" s="8"/>
      <c r="BV37" s="8"/>
      <c r="BW37" s="8"/>
      <c r="BX37" s="8"/>
      <c r="BY37" s="8"/>
      <c r="BZ37" s="9"/>
      <c r="CA37" s="9"/>
      <c r="CB37" t="inlineStr" s="8">
        <is>
          <t>3166382147</t>
        </is>
      </c>
      <c r="CC37" t="inlineStr" s="8">
        <is>
          <t>pinkman.squidward.74956704@example.com</t>
        </is>
      </c>
      <c r="CD37" t="inlineStr" s="8">
        <is>
          <t>PANTHER PINK CEL: 3166382895</t>
        </is>
      </c>
      <c r="CE37" t="inlineStr" s="8">
        <is>
          <t>NC5493 SEP.16/24 CESION DE ROSS GREEN A SQUIDWARD PINKMAN *ANTIC $18.000.000 *ARRAS $4'640</t>
        </is>
      </c>
    </row>
    <row r="38" ht="12.75" customHeight="1">
      <c r="A38" t="inlineStr" s="8">
        <is>
          <t>60007919097877</t>
        </is>
      </c>
      <c r="B38" s="8"/>
      <c r="C38" t="inlineStr" s="8">
        <is>
          <t>506</t>
        </is>
      </c>
      <c r="D38" s="9">
        <v>55.20</v>
      </c>
      <c r="E38" t="inlineStr" s="8">
        <is>
          <t>74964462</t>
        </is>
      </c>
      <c r="F38" t="inlineStr" s="8">
        <is>
          <t>BEESLY MIKE</t>
        </is>
      </c>
      <c r="G38" t="inlineStr" s="8">
        <is>
          <t>PARKER SAUL</t>
        </is>
      </c>
      <c r="H38" s="8"/>
      <c r="I38" s="9">
        <v>192172500.00</v>
      </c>
      <c r="J38" t="inlineStr" s="8">
        <is>
          <t>NCR5513 - NCR5505 - NCR5517 - NCR5506 - NCR5507 - NCR5508 - NCR5514 - NCR5512 - NCR5511</t>
        </is>
      </c>
      <c r="K38" t="inlineStr" s="8">
        <is>
          <t>NCR5509 - NCR5515 - NCR5510 - NCR5516</t>
        </is>
      </c>
      <c r="L38" t="inlineStr" s="8">
        <is>
          <t>AGO.10/23 - AGO.13/23 - AGO.19/23 - AGO.22/23 - SEP.8/23 - SEP.15/23 - SEP.23/23F - NOV.16/23 - DIC.2/23 - DIC.19/23 - FEB.24/24F - ABR.7/24F - ABR.25/24F</t>
        </is>
      </c>
      <c r="M38" s="9">
        <f>7519000+269000+1007000+3021000+11815000+1544000+7519000+806000+11681000</f>
      </c>
      <c r="N38" s="9"/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v>201000</v>
      </c>
      <c r="AL38" s="10"/>
      <c r="AM38" s="10"/>
      <c r="AN38" s="10"/>
      <c r="AO38" s="10"/>
      <c r="AP38" s="10">
        <v>9600000</v>
      </c>
      <c r="AQ38" s="10"/>
      <c r="AR38" s="10">
        <f>8324000+3827000</f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9"/>
      <c r="BF38" s="9"/>
      <c r="BG38" s="9"/>
      <c r="BH38" s="9"/>
      <c r="BI38" s="9">
        <f>SUM(M38,N38,Q38,R38,S38,T38,U38,V38,W38,X38,Y38,Z38,AA38,AB38,AC38,AD38,AE38,AF38,AG38,AH38,AI38,AJ38,AK38,AL38,AM38,AN38,AO38,AP38,AQ38,AR38,AS38,AT38,AU38,AV38,AW38,AX38,AY38,AZ38,BA38,BB38,BC38,BD38,BE38,BF38,BG38,BH38)</f>
      </c>
      <c r="BJ38" s="9">
        <f>I38-BI38</f>
      </c>
      <c r="BK38" s="9">
        <f>BJ38-BL38-BM38-BN38-BO38</f>
      </c>
      <c r="BL38" s="9"/>
      <c r="BM38" s="9"/>
      <c r="BN38" s="9"/>
      <c r="BO38" s="9"/>
      <c r="BP38" s="8"/>
      <c r="BQ38" t="inlineStr" s="8">
        <is>
          <t>2023-04-15</t>
        </is>
      </c>
      <c r="BR38" t="inlineStr" s="8">
        <is>
          <t>2023-06-29</t>
        </is>
      </c>
      <c r="BS38" s="8"/>
      <c r="BT38" s="8"/>
      <c r="BU38" s="8"/>
      <c r="BV38" s="8"/>
      <c r="BW38" s="8"/>
      <c r="BX38" s="8"/>
      <c r="BY38" s="8"/>
      <c r="BZ38" s="9"/>
      <c r="CA38" s="9"/>
      <c r="CB38" t="inlineStr" s="8">
        <is>
          <t>3166383557</t>
        </is>
      </c>
      <c r="CC38" t="inlineStr" s="8">
        <is>
          <t>beesly.mike.74964462@example.com</t>
        </is>
      </c>
      <c r="CD38" t="inlineStr" s="8">
        <is>
          <t>BUNNY BUGS CEL: 3166384608</t>
        </is>
      </c>
      <c r="CE38" s="8"/>
    </row>
    <row r="39" ht="12.75" customHeight="1">
      <c r="A39" t="inlineStr" s="8">
        <is>
          <t>60007919097953</t>
        </is>
      </c>
      <c r="B39" s="8"/>
      <c r="C39" t="inlineStr" s="8">
        <is>
          <t>507</t>
        </is>
      </c>
      <c r="D39" s="9">
        <v>55.20</v>
      </c>
      <c r="E39" t="inlineStr" s="8">
        <is>
          <t>74971146</t>
        </is>
      </c>
      <c r="F39" t="inlineStr" s="8">
        <is>
          <t>GELLER JOHN</t>
        </is>
      </c>
      <c r="G39" t="inlineStr" s="8">
        <is>
          <t>STAR DRACO</t>
        </is>
      </c>
      <c r="H39" t="inlineStr" s="8">
        <is>
          <t>BANCO DE OCCIDENTE</t>
        </is>
      </c>
      <c r="I39" s="9">
        <v>192172500.00</v>
      </c>
      <c r="J39" t="inlineStr" s="8">
        <is>
          <t>NCR5529 - NCR5526 - NCR5532CR</t>
        </is>
      </c>
      <c r="K39" t="inlineStr" s="8">
        <is>
          <t>NCR5524 - NCR5525 - NCR5520 - NCR5528 - NCR5522 - NCR5527 - NCR5521 - NCR5530 - NCR5523 - NCR5531</t>
        </is>
      </c>
      <c r="L39" t="inlineStr" s="8">
        <is>
          <t>NOV.8/22F - NOV.15/22F - DIC.7/22F - DIC.12/22F - ABR.4/23F - MAY.16/23F - MAY.23/23F - JUN.5/23F - JUN.10/23F - SEP.24/23 - OCT.22/23F - NOV.16/23</t>
        </is>
      </c>
      <c r="M39" s="9">
        <f>1384000+511000</f>
      </c>
      <c r="N39" s="9"/>
      <c r="O39" t="inlineStr" s="8">
        <is>
          <t>ABR.29/23</t>
        </is>
      </c>
      <c r="P39" s="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f>1149000+447000</f>
      </c>
      <c r="AB39" s="10">
        <f>2788000+6407000</f>
      </c>
      <c r="AC39" s="10"/>
      <c r="AD39" s="10"/>
      <c r="AE39" s="10"/>
      <c r="AF39" s="10">
        <v>234000</v>
      </c>
      <c r="AG39" s="10">
        <f>1405000+1235000</f>
      </c>
      <c r="AH39" s="10">
        <f>2831000+149000</f>
      </c>
      <c r="AI39" s="10"/>
      <c r="AJ39" s="10"/>
      <c r="AK39" s="10"/>
      <c r="AL39" s="10">
        <v>2744667</v>
      </c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9">
        <v>20642333</v>
      </c>
      <c r="BF39" s="9"/>
      <c r="BG39" s="9"/>
      <c r="BH39" s="9"/>
      <c r="BI39" s="9">
        <f>SUM(M39,N39,Q39,R39,S39,T39,U39,V39,W39,X39,Y39,Z39,AA39,AB39,AC39,AD39,AE39,AF39,AG39,AH39,AI39,AJ39,AK39,AL39,AM39,AN39,AO39,AP39,AQ39,AR39,AS39,AT39,AU39,AV39,AW39,AX39,AY39,AZ39,BA39,BB39,BC39,BD39,BE39,BF39,BG39,BH39)</f>
      </c>
      <c r="BJ39" s="9">
        <f>I39-BI39</f>
      </c>
      <c r="BK39" s="9">
        <f>BJ39-BL39-BM39-BN39-BO39</f>
      </c>
      <c r="BL39" s="9"/>
      <c r="BM39" s="9"/>
      <c r="BN39" s="9"/>
      <c r="BO39" s="9"/>
      <c r="BP39" s="8"/>
      <c r="BQ39" t="inlineStr" s="8">
        <is>
          <t>2022-10-28</t>
        </is>
      </c>
      <c r="BR39" t="inlineStr" s="8">
        <is>
          <t>2022-12-13</t>
        </is>
      </c>
      <c r="BS39" s="8"/>
      <c r="BT39" s="8"/>
      <c r="BU39" s="8"/>
      <c r="BV39" s="8"/>
      <c r="BW39" s="8"/>
      <c r="BX39" s="8"/>
      <c r="BY39" s="8"/>
      <c r="BZ39" s="9"/>
      <c r="CA39" s="9"/>
      <c r="CB39" t="inlineStr" s="8">
        <is>
          <t>3166384766</t>
        </is>
      </c>
      <c r="CC39" t="inlineStr" s="8">
        <is>
          <t>geller.john.74971146@example.com</t>
        </is>
      </c>
      <c r="CD39" t="inlineStr" s="8">
        <is>
          <t>MOUSE MICKEY CEL: 3166385737</t>
        </is>
      </c>
      <c r="CE39" s="8"/>
    </row>
    <row r="40" ht="12.75" customHeight="1">
      <c r="A40" t="inlineStr" s="8">
        <is>
          <t>60007919098157</t>
        </is>
      </c>
      <c r="B40" s="8"/>
      <c r="C40" t="inlineStr" s="8">
        <is>
          <t>601</t>
        </is>
      </c>
      <c r="D40" s="9">
        <v>55.20</v>
      </c>
      <c r="E40" t="inlineStr" s="8">
        <is>
          <t>74983431</t>
        </is>
      </c>
      <c r="F40" t="inlineStr" s="8">
        <is>
          <t>BUELLER LOIS</t>
        </is>
      </c>
      <c r="G40" s="8"/>
      <c r="H40" t="inlineStr" s="8">
        <is>
          <t>BANCO DAVIVIENDA</t>
        </is>
      </c>
      <c r="I40" s="9">
        <v>192172500.00</v>
      </c>
      <c r="J40" t="inlineStr" s="8">
        <is>
          <t>NCR5534CR</t>
        </is>
      </c>
      <c r="K40" s="8"/>
      <c r="L40" s="8"/>
      <c r="M40" s="9"/>
      <c r="N40" s="9"/>
      <c r="O40" t="inlineStr" s="8">
        <is>
          <t>MAY.11/24</t>
        </is>
      </c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>
        <v>91391000</v>
      </c>
      <c r="BF40" s="9"/>
      <c r="BG40" s="9"/>
      <c r="BH40" s="9"/>
      <c r="BI40" s="9">
        <f>SUM(M40,N40,Q40,R40,S40,T40,U40,V40,W40,X40,Y40,Z40,AA40,AB40,AC40,AD40,AE40,AF40,AG40,AH40,AI40,AJ40,AK40,AL40,AM40,AN40,AO40,AP40,AQ40,AR40,AS40,AT40,AU40,AV40,AW40,AX40,AY40,AZ40,BA40,BB40,BC40,BD40,BE40,BF40,BG40,BH40)</f>
      </c>
      <c r="BJ40" s="9">
        <f>I40-BI40</f>
      </c>
      <c r="BK40" s="9">
        <f>BJ40-BL40-BM40-BN40-BO40</f>
      </c>
      <c r="BL40" s="9"/>
      <c r="BM40" s="9"/>
      <c r="BN40" s="9"/>
      <c r="BO40" s="9"/>
      <c r="BP40" s="8"/>
      <c r="BQ40" t="inlineStr" s="8">
        <is>
          <t>2023-05-27</t>
        </is>
      </c>
      <c r="BR40" t="inlineStr" s="8">
        <is>
          <t>2023-08-22</t>
        </is>
      </c>
      <c r="BS40" s="8"/>
      <c r="BT40" s="8"/>
      <c r="BU40" s="8"/>
      <c r="BV40" s="8"/>
      <c r="BW40" s="8"/>
      <c r="BX40" s="8"/>
      <c r="BY40" s="8"/>
      <c r="BZ40" s="9"/>
      <c r="CA40" s="9"/>
      <c r="CB40" t="inlineStr" s="8">
        <is>
          <t>3166385923</t>
        </is>
      </c>
      <c r="CC40" t="inlineStr" s="8">
        <is>
          <t>bueller.lois.74983431@example.com</t>
        </is>
      </c>
      <c r="CD40" t="inlineStr" s="8">
        <is>
          <t>BUNNY BUGS CEL: 3166386239</t>
        </is>
      </c>
      <c r="CE40" s="8"/>
    </row>
    <row r="41" ht="12.75" customHeight="1">
      <c r="A41" t="inlineStr" s="8">
        <is>
          <t>60007919098175</t>
        </is>
      </c>
      <c r="B41" s="8"/>
      <c r="C41" t="inlineStr" s="8">
        <is>
          <t>602</t>
        </is>
      </c>
      <c r="D41" s="9">
        <v>55.20</v>
      </c>
      <c r="E41" t="inlineStr" s="8">
        <is>
          <t>74994601</t>
        </is>
      </c>
      <c r="F41" t="inlineStr" s="8">
        <is>
          <t>KENOBI HARRY</t>
        </is>
      </c>
      <c r="G41" t="inlineStr" s="8">
        <is>
          <t>ROGERS DAENERYS</t>
        </is>
      </c>
      <c r="H41" t="inlineStr" s="8">
        <is>
          <t>BANCO DE OCCIDENTE</t>
        </is>
      </c>
      <c r="I41" s="9">
        <v>192172500.00</v>
      </c>
      <c r="J41" t="inlineStr" s="8">
        <is>
          <t>NCR5543 - NCR5541 - NCR5542 - NCR5544 - NCR5539 - NC5536TRASLADO - NCR5547CR</t>
        </is>
      </c>
      <c r="K41" t="inlineStr" s="8">
        <is>
          <t>NCR5537 - NCR5540 - NCR5538 - NCR5546 - NCR5545</t>
        </is>
      </c>
      <c r="L41" t="inlineStr" s="8">
        <is>
          <t>JUL.12/23F - AGO.7/23 - AGO.27/23 - SEP.25/23 - OCT.8/23 - OCT.22/23 - DIC.24/23F - JUN.23/24F - JUL.7/24F - (JUL.23/24TRASLADO) - NOV.21/24F</t>
        </is>
      </c>
      <c r="M41" s="9">
        <f>1223000+6804000+1348000+5738000+5016000</f>
      </c>
      <c r="N41" s="9">
        <v>15000000</v>
      </c>
      <c r="O41" t="inlineStr" s="8">
        <is>
          <t>SEP.24/24</t>
        </is>
      </c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>
        <v>345000</v>
      </c>
      <c r="AJ41" s="10"/>
      <c r="AK41" s="10"/>
      <c r="AL41" s="10"/>
      <c r="AM41" s="10"/>
      <c r="AN41" s="10">
        <v>6647000</v>
      </c>
      <c r="AO41" s="10"/>
      <c r="AP41" s="10"/>
      <c r="AQ41" s="10"/>
      <c r="AR41" s="10"/>
      <c r="AS41" s="10"/>
      <c r="AT41" s="10">
        <v>251000</v>
      </c>
      <c r="AU41" s="10">
        <v>2663667</v>
      </c>
      <c r="AV41" s="10"/>
      <c r="AW41" s="10"/>
      <c r="AX41" s="10"/>
      <c r="AY41" s="10">
        <v>1317000</v>
      </c>
      <c r="AZ41" s="10"/>
      <c r="BA41" s="10"/>
      <c r="BB41" s="10"/>
      <c r="BC41" s="10"/>
      <c r="BD41" s="10"/>
      <c r="BE41" s="9">
        <v>23176333</v>
      </c>
      <c r="BF41" s="9"/>
      <c r="BG41" s="9"/>
      <c r="BH41" s="9"/>
      <c r="BI41" s="9">
        <f>SUM(M41,N41,Q41,R41,S41,T41,U41,V41,W41,X41,Y41,Z41,AA41,AB41,AC41,AD41,AE41,AF41,AG41,AH41,AI41,AJ41,AK41,AL41,AM41,AN41,AO41,AP41,AQ41,AR41,AS41,AT41,AU41,AV41,AW41,AX41,AY41,AZ41,BA41,BB41,BC41,BD41,BE41,BF41,BG41,BH41)</f>
      </c>
      <c r="BJ41" s="9">
        <f>I41-BI41</f>
      </c>
      <c r="BK41" s="9">
        <f>BJ41-BL41-BM41-BN41-BO41</f>
      </c>
      <c r="BL41" s="9"/>
      <c r="BM41" s="9"/>
      <c r="BN41" s="9"/>
      <c r="BO41" s="9"/>
      <c r="BP41" s="8"/>
      <c r="BQ41" t="inlineStr" s="8">
        <is>
          <t>2023-09-07</t>
        </is>
      </c>
      <c r="BR41" t="inlineStr" s="8">
        <is>
          <t>2023-11-11</t>
        </is>
      </c>
      <c r="BS41" s="8"/>
      <c r="BT41" s="8"/>
      <c r="BU41" s="8"/>
      <c r="BV41" s="8"/>
      <c r="BW41" s="8"/>
      <c r="BX41" s="8"/>
      <c r="BY41" s="8"/>
      <c r="BZ41" s="9"/>
      <c r="CA41" s="9"/>
      <c r="CB41" t="inlineStr" s="8">
        <is>
          <t>3166386787</t>
        </is>
      </c>
      <c r="CC41" t="inlineStr" s="8">
        <is>
          <t>kenobi.harry.74994601@example.com</t>
        </is>
      </c>
      <c r="CD41" t="inlineStr" s="8">
        <is>
          <t>MOUSE MICKEY CEL: 3166388186</t>
        </is>
      </c>
      <c r="CE41" s="8"/>
    </row>
    <row r="42" ht="12.75" customHeight="1">
      <c r="A42" t="inlineStr" s="8">
        <is>
          <t>60007919098309</t>
        </is>
      </c>
      <c r="B42" s="8"/>
      <c r="C42" t="inlineStr" s="8">
        <is>
          <t>603</t>
        </is>
      </c>
      <c r="D42" s="9">
        <v>55.20</v>
      </c>
      <c r="E42" t="inlineStr" s="8">
        <is>
          <t>75016852</t>
        </is>
      </c>
      <c r="F42" t="inlineStr" s="8">
        <is>
          <t>SANCHEZ JOHN</t>
        </is>
      </c>
      <c r="G42" s="8"/>
      <c r="H42" s="8"/>
      <c r="I42" s="9">
        <v>192172500.00</v>
      </c>
      <c r="J42" t="inlineStr" s="8">
        <is>
          <t>NCR5550 - NCR5551 - NCR5549 - NCR5552 - NC5548TRASLADO</t>
        </is>
      </c>
      <c r="K42" s="8"/>
      <c r="L42" t="inlineStr" s="8">
        <is>
          <t>DIC.13/23 - DIC.18/23 - DIC.23/23 - DIC.24/23 - (ABR.18/24TRASLADO)</t>
        </is>
      </c>
      <c r="M42" s="9">
        <f>37629000+51181000+39647000+15715500</f>
      </c>
      <c r="N42" s="9">
        <v>18000000</v>
      </c>
      <c r="O42" s="8"/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9"/>
      <c r="BF42" s="9"/>
      <c r="BG42" s="9"/>
      <c r="BH42" s="9"/>
      <c r="BI42" s="9">
        <f>SUM(M42,N42,Q42,R42,S42,T42,U42,V42,W42,X42,Y42,Z42,AA42,AB42,AC42,AD42,AE42,AF42,AG42,AH42,AI42,AJ42,AK42,AL42,AM42,AN42,AO42,AP42,AQ42,AR42,AS42,AT42,AU42,AV42,AW42,AX42,AY42,AZ42,BA42,BB42,BC42,BD42,BE42,BF42,BG42,BH42)</f>
      </c>
      <c r="BJ42" s="9">
        <f>I42-BI42</f>
      </c>
      <c r="BK42" s="9">
        <f>BJ42-BL42-BM42-BN42-BO42</f>
      </c>
      <c r="BL42" s="9"/>
      <c r="BM42" s="9"/>
      <c r="BN42" s="9"/>
      <c r="BO42" s="9"/>
      <c r="BP42" s="8"/>
      <c r="BQ42" t="inlineStr" s="8">
        <is>
          <t>2023-06-26</t>
        </is>
      </c>
      <c r="BR42" t="inlineStr" s="8">
        <is>
          <t>2023-09-25</t>
        </is>
      </c>
      <c r="BS42" t="inlineStr" s="8">
        <is>
          <t>2024-09-01</t>
        </is>
      </c>
      <c r="BT42" s="8"/>
      <c r="BU42" s="8"/>
      <c r="BV42" s="8"/>
      <c r="BW42" s="8"/>
      <c r="BX42" s="8"/>
      <c r="BY42" s="8"/>
      <c r="BZ42" s="9"/>
      <c r="CA42" s="9"/>
      <c r="CB42" t="inlineStr" s="8">
        <is>
          <t>3166389591</t>
        </is>
      </c>
      <c r="CC42" t="inlineStr" s="8">
        <is>
          <t>sanchez.john.75016852@example.com</t>
        </is>
      </c>
      <c r="CD42" t="inlineStr" s="8">
        <is>
          <t>FINN CEL: 3166389799</t>
        </is>
      </c>
      <c r="CE42" t="inlineStr" s="8">
        <is>
          <t>NC5548 ABR.18/24 TRASLADO DE CHANDLER FRING A JOHN SANCHEZ *ANTIC $18.000.000 *ARRAS $4'640</t>
        </is>
      </c>
    </row>
    <row r="43" ht="12.75" customHeight="1">
      <c r="A43" t="inlineStr" s="8">
        <is>
          <t>60007919098453</t>
        </is>
      </c>
      <c r="B43" s="8"/>
      <c r="C43" t="inlineStr" s="8">
        <is>
          <t>604</t>
        </is>
      </c>
      <c r="D43" s="9">
        <v>55.20</v>
      </c>
      <c r="E43" t="inlineStr" s="8">
        <is>
          <t>75025993</t>
        </is>
      </c>
      <c r="F43" t="inlineStr" s="8">
        <is>
          <t>BARTON STEVE</t>
        </is>
      </c>
      <c r="G43" s="8"/>
      <c r="H43" t="inlineStr" s="8">
        <is>
          <t>BBVA</t>
        </is>
      </c>
      <c r="I43" s="9">
        <v>192172500.00</v>
      </c>
      <c r="J43" t="inlineStr" s="8">
        <is>
          <t>NCR5560CR</t>
        </is>
      </c>
      <c r="K43" t="inlineStr" s="8">
        <is>
          <t>NCR5557 - NCR5554 - NCR5555 - NCR5556 - NCR5559 - NCR5558</t>
        </is>
      </c>
      <c r="L43" t="inlineStr" s="8">
        <is>
          <t>AGO.23/22F - NOV.12/23F - NOV.16/23F - NOV.28/23F - DIC.24/23F - ENE.5/24F</t>
        </is>
      </c>
      <c r="M43" s="9"/>
      <c r="N43" s="9"/>
      <c r="O43" t="inlineStr" s="8">
        <is>
          <t>ABR.22/24</t>
        </is>
      </c>
      <c r="P43" s="8"/>
      <c r="Q43" s="10"/>
      <c r="R43" s="10"/>
      <c r="S43" s="10"/>
      <c r="T43" s="10"/>
      <c r="U43" s="10"/>
      <c r="V43" s="10"/>
      <c r="W43" s="10"/>
      <c r="X43" s="10">
        <v>3163000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>
        <f>6241000+8379000+2992000</f>
      </c>
      <c r="AN43" s="10">
        <v>36508000</v>
      </c>
      <c r="AO43" s="10">
        <v>28214000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9">
        <v>65000000</v>
      </c>
      <c r="BF43" s="9"/>
      <c r="BG43" s="9"/>
      <c r="BH43" s="9"/>
      <c r="BI43" s="9">
        <f>SUM(M43,N43,Q43,R43,S43,T43,U43,V43,W43,X43,Y43,Z43,AA43,AB43,AC43,AD43,AE43,AF43,AG43,AH43,AI43,AJ43,AK43,AL43,AM43,AN43,AO43,AP43,AQ43,AR43,AS43,AT43,AU43,AV43,AW43,AX43,AY43,AZ43,BA43,BB43,BC43,BD43,BE43,BF43,BG43,BH43)</f>
      </c>
      <c r="BJ43" s="9">
        <f>I43-BI43</f>
      </c>
      <c r="BK43" s="9">
        <f>BJ43-BL43-BM43-BN43-BO43</f>
      </c>
      <c r="BL43" s="9"/>
      <c r="BM43" s="9"/>
      <c r="BN43" s="9"/>
      <c r="BO43" s="9"/>
      <c r="BP43" s="8"/>
      <c r="BQ43" t="inlineStr" s="8">
        <is>
          <t>2022-09-28</t>
        </is>
      </c>
      <c r="BR43" t="inlineStr" s="8">
        <is>
          <t>2022-12-07</t>
        </is>
      </c>
      <c r="BS43" s="8"/>
      <c r="BT43" s="8"/>
      <c r="BU43" s="8"/>
      <c r="BV43" s="8"/>
      <c r="BW43" s="8"/>
      <c r="BX43" s="8"/>
      <c r="BY43" s="8"/>
      <c r="BZ43" s="9"/>
      <c r="CA43" s="9"/>
      <c r="CB43" t="inlineStr" s="8">
        <is>
          <t>3166390521</t>
        </is>
      </c>
      <c r="CC43" t="inlineStr" s="8">
        <is>
          <t>barton.steve.75025993@example.com</t>
        </is>
      </c>
      <c r="CD43" t="inlineStr" s="8">
        <is>
          <t>JAKE CEL: 3166390574</t>
        </is>
      </c>
      <c r="CE43" s="8"/>
    </row>
    <row r="44" ht="12.75" customHeight="1">
      <c r="A44" t="inlineStr" s="8">
        <is>
          <t>60007919098651</t>
        </is>
      </c>
      <c r="B44" s="8"/>
      <c r="C44" t="inlineStr" s="8">
        <is>
          <t>605</t>
        </is>
      </c>
      <c r="D44" s="9">
        <v>55.20</v>
      </c>
      <c r="E44" t="inlineStr" s="8">
        <is>
          <t>75029127</t>
        </is>
      </c>
      <c r="F44" t="inlineStr" s="8">
        <is>
          <t>BUELLER HERCULE</t>
        </is>
      </c>
      <c r="G44" s="8"/>
      <c r="H44" t="inlineStr" s="8">
        <is>
          <t>BANCOLOMBIA</t>
        </is>
      </c>
      <c r="I44" s="9">
        <v>192172500.00</v>
      </c>
      <c r="J44" t="inlineStr" s="8">
        <is>
          <t>NCR5578 - NCR5581CR</t>
        </is>
      </c>
      <c r="K44" t="inlineStr" s="8">
        <is>
          <t>NCR5579 - NCR5576 - NCR5574 - NCR5580 - NCR5577 - NCR5575 - NCR5573</t>
        </is>
      </c>
      <c r="L44" t="inlineStr" s="8">
        <is>
          <t>AGO.25/23F - AGO.27/23F - DIC.28/23F - JUN.7/24 - JUL.21/24F - NOV.21/24F - DIC.25/24F - FEB.24/25F</t>
        </is>
      </c>
      <c r="M44" s="9">
        <v>5506000</v>
      </c>
      <c r="N44" s="9"/>
      <c r="O44" t="inlineStr" s="8">
        <is>
          <t>AGO.13/24</t>
        </is>
      </c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f>7478000+29829000</f>
      </c>
      <c r="AK44" s="10"/>
      <c r="AL44" s="10"/>
      <c r="AM44" s="10"/>
      <c r="AN44" s="10">
        <v>15859000</v>
      </c>
      <c r="AO44" s="10"/>
      <c r="AP44" s="10"/>
      <c r="AQ44" s="10"/>
      <c r="AR44" s="10"/>
      <c r="AS44" s="10"/>
      <c r="AT44" s="10"/>
      <c r="AU44" s="10">
        <v>1395500</v>
      </c>
      <c r="AV44" s="10"/>
      <c r="AW44" s="10"/>
      <c r="AX44" s="10"/>
      <c r="AY44" s="10">
        <v>16106000</v>
      </c>
      <c r="AZ44" s="10">
        <v>5506000</v>
      </c>
      <c r="BA44" s="10"/>
      <c r="BB44" s="10">
        <v>493000</v>
      </c>
      <c r="BC44" s="10"/>
      <c r="BD44" s="10"/>
      <c r="BE44" s="9">
        <v>110000000</v>
      </c>
      <c r="BF44" s="9"/>
      <c r="BG44" s="9"/>
      <c r="BH44" s="9"/>
      <c r="BI44" s="9">
        <f>SUM(M44,N44,Q44,R44,S44,T44,U44,V44,W44,X44,Y44,Z44,AA44,AB44,AC44,AD44,AE44,AF44,AG44,AH44,AI44,AJ44,AK44,AL44,AM44,AN44,AO44,AP44,AQ44,AR44,AS44,AT44,AU44,AV44,AW44,AX44,AY44,AZ44,BA44,BB44,BC44,BD44,BE44,BF44,BG44,BH44)</f>
      </c>
      <c r="BJ44" s="9">
        <f>I44-BI44</f>
      </c>
      <c r="BK44" s="9">
        <f>BJ44-BL44-BM44-BN44-BO44</f>
      </c>
      <c r="BL44" s="9"/>
      <c r="BM44" s="9"/>
      <c r="BN44" s="9"/>
      <c r="BO44" s="9"/>
      <c r="BP44" s="8"/>
      <c r="BQ44" t="inlineStr" s="8">
        <is>
          <t>2023-11-18</t>
        </is>
      </c>
      <c r="BR44" t="inlineStr" s="8">
        <is>
          <t>2024-02-05</t>
        </is>
      </c>
      <c r="BS44" t="inlineStr" s="8">
        <is>
          <t>2025-05-23</t>
        </is>
      </c>
      <c r="BT44" s="8"/>
      <c r="BU44" s="8"/>
      <c r="BV44" s="8"/>
      <c r="BW44" s="8"/>
      <c r="BX44" s="8"/>
      <c r="BY44" s="8"/>
      <c r="BZ44" s="9"/>
      <c r="CA44" s="9"/>
      <c r="CB44" t="inlineStr" s="8">
        <is>
          <t>3166391523</t>
        </is>
      </c>
      <c r="CC44" t="inlineStr" s="8">
        <is>
          <t>bueller.hercule.75029127@example.com</t>
        </is>
      </c>
      <c r="CD44" t="inlineStr" s="8">
        <is>
          <t>MOUSE MINNIE CEL: 3166391849</t>
        </is>
      </c>
      <c r="CE44" s="8"/>
    </row>
    <row r="45" ht="12.75" customHeight="1">
      <c r="A45" t="inlineStr" s="8">
        <is>
          <t>60007919098692</t>
        </is>
      </c>
      <c r="B45" s="8"/>
      <c r="C45" t="inlineStr" s="8">
        <is>
          <t>606</t>
        </is>
      </c>
      <c r="D45" s="9">
        <v>55.20</v>
      </c>
      <c r="E45" t="inlineStr" s="8">
        <is>
          <t>75036001</t>
        </is>
      </c>
      <c r="F45" t="inlineStr" s="8">
        <is>
          <t>WEASLEY EUGENE</t>
        </is>
      </c>
      <c r="G45" s="8"/>
      <c r="H45" s="8"/>
      <c r="I45" s="9">
        <v>192172500.00</v>
      </c>
      <c r="J45" t="inlineStr" s="8">
        <is>
          <t>NCR5594 - NCR5593 - NCR5582 - NCR5588 - NCR5589 - NCR5583 - NCR5592</t>
        </is>
      </c>
      <c r="K45" t="inlineStr" s="8">
        <is>
          <t>NCR5587 - NCR5590 - NCR5591 - NCR5585 - NCR5586 - NCR5595 - NCR5584</t>
        </is>
      </c>
      <c r="L45" t="inlineStr" s="8">
        <is>
          <t>JUL.17/23F - AGO.28/23 - OCT.19/23 - OCT.27/23 - OCT.27/23F - DIC.14/23 - DIC.24/23 - DIC.25/23 - ENE.25/24F - MAR.12/24F - MAY.13/24F - JUN.14/24 - OCT.20/24F - OCT.22/24F</t>
        </is>
      </c>
      <c r="M45" s="9">
        <f>200000+948000+1613000+715000+1630000+1697000+582000</f>
      </c>
      <c r="N45" s="9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649000</v>
      </c>
      <c r="AJ45" s="10"/>
      <c r="AK45" s="10"/>
      <c r="AL45" s="10">
        <v>2379000</v>
      </c>
      <c r="AM45" s="10"/>
      <c r="AN45" s="10"/>
      <c r="AO45" s="10">
        <v>499000</v>
      </c>
      <c r="AP45" s="10"/>
      <c r="AQ45" s="10">
        <v>748000</v>
      </c>
      <c r="AR45" s="10"/>
      <c r="AS45" s="10">
        <v>931000</v>
      </c>
      <c r="AT45" s="10"/>
      <c r="AU45" s="10"/>
      <c r="AV45" s="10"/>
      <c r="AW45" s="10"/>
      <c r="AX45" s="10">
        <f>266000+3776000</f>
      </c>
      <c r="AY45" s="10"/>
      <c r="AZ45" s="10"/>
      <c r="BA45" s="10"/>
      <c r="BB45" s="10"/>
      <c r="BC45" s="10"/>
      <c r="BD45" s="10"/>
      <c r="BE45" s="9"/>
      <c r="BF45" s="9"/>
      <c r="BG45" s="9"/>
      <c r="BH45" s="9"/>
      <c r="BI45" s="9">
        <f>SUM(M45,N45,Q45,R45,S45,T45,U45,V45,W45,X45,Y45,Z45,AA45,AB45,AC45,AD45,AE45,AF45,AG45,AH45,AI45,AJ45,AK45,AL45,AM45,AN45,AO45,AP45,AQ45,AR45,AS45,AT45,AU45,AV45,AW45,AX45,AY45,AZ45,BA45,BB45,BC45,BD45,BE45,BF45,BG45,BH45)</f>
      </c>
      <c r="BJ45" s="9">
        <f>I45-BI45</f>
      </c>
      <c r="BK45" s="9">
        <f>BJ45-BL45-BM45-BN45-BO45</f>
      </c>
      <c r="BL45" s="9"/>
      <c r="BM45" s="9"/>
      <c r="BN45" s="9"/>
      <c r="BO45" s="9"/>
      <c r="BP45" s="8"/>
      <c r="BQ45" t="inlineStr" s="8">
        <is>
          <t>2023-07-25</t>
        </is>
      </c>
      <c r="BR45" t="inlineStr" s="8">
        <is>
          <t>2023-09-24</t>
        </is>
      </c>
      <c r="BS45" s="8"/>
      <c r="BT45" s="8"/>
      <c r="BU45" s="8"/>
      <c r="BV45" s="8"/>
      <c r="BW45" s="8"/>
      <c r="BX45" s="8"/>
      <c r="BY45" s="8"/>
      <c r="BZ45" s="9"/>
      <c r="CA45" s="9"/>
      <c r="CB45" t="inlineStr" s="8">
        <is>
          <t>3166392467</t>
        </is>
      </c>
      <c r="CC45" t="inlineStr" s="8">
        <is>
          <t>weasley.eugene.75036001@example.com</t>
        </is>
      </c>
      <c r="CD45" t="inlineStr" s="8">
        <is>
          <t>MOUSE MICKEY CEL: 3166393142</t>
        </is>
      </c>
      <c r="CE45" s="8"/>
    </row>
    <row r="46" ht="12.75" customHeight="1">
      <c r="A46" t="inlineStr" s="8">
        <is>
          <t>60007919098693</t>
        </is>
      </c>
      <c r="B46" s="8"/>
      <c r="C46" t="inlineStr" s="8">
        <is>
          <t>607</t>
        </is>
      </c>
      <c r="D46" s="9">
        <v>55.20</v>
      </c>
      <c r="E46" t="inlineStr" s="8">
        <is>
          <t>75040537</t>
        </is>
      </c>
      <c r="F46" t="inlineStr" s="8">
        <is>
          <t>SCOTT AHSOKA</t>
        </is>
      </c>
      <c r="G46" s="8"/>
      <c r="H46" t="inlineStr" s="8">
        <is>
          <t>BANCOLOMBIA</t>
        </is>
      </c>
      <c r="I46" s="9">
        <v>192172500.00</v>
      </c>
      <c r="J46" t="inlineStr" s="8">
        <is>
          <t>NCR5602 - NCR5611CR</t>
        </is>
      </c>
      <c r="K46" t="inlineStr" s="8">
        <is>
          <t>NCR5605 - NCR5608 - NCR5609 - NCR5603 - NCR5604 - NCR5601 - NCR5610 - NCR5606 - NCR5599 - NCR5607 - NCR5600 - NCR5597 - NCR5598</t>
        </is>
      </c>
      <c r="L46" t="inlineStr" s="8">
        <is>
          <t>NOV.20/23F - NOV.23/23F - DIC.22/23F - ENE.4/24F - FEB.10/24F - ABR.13/24F - MAY.13/24F - OCT.11/24F - OCT.22/24F - NOV.17/24F - DIC.17/24 - ENE.16/25F - FEB.6/25F - FEB.7/25F</t>
        </is>
      </c>
      <c r="M46" s="9">
        <v>5033000</v>
      </c>
      <c r="N46" s="9"/>
      <c r="O46" t="inlineStr" s="8">
        <is>
          <t>SEP.29/24</t>
        </is>
      </c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>
        <f>2002000+5845000</f>
      </c>
      <c r="AN46" s="10">
        <v>7252000</v>
      </c>
      <c r="AO46" s="10">
        <v>541000</v>
      </c>
      <c r="AP46" s="10">
        <v>4816000</v>
      </c>
      <c r="AQ46" s="10"/>
      <c r="AR46" s="10">
        <v>2922000</v>
      </c>
      <c r="AS46" s="10">
        <v>2110334</v>
      </c>
      <c r="AT46" s="10"/>
      <c r="AU46" s="10"/>
      <c r="AV46" s="10"/>
      <c r="AW46" s="10"/>
      <c r="AX46" s="10">
        <f>866000+6007000</f>
      </c>
      <c r="AY46" s="10">
        <v>3518000</v>
      </c>
      <c r="AZ46" s="10"/>
      <c r="BA46" s="10">
        <v>2111000</v>
      </c>
      <c r="BB46" s="10">
        <f>4221000+6873000</f>
      </c>
      <c r="BC46" s="10"/>
      <c r="BD46" s="10"/>
      <c r="BE46" s="9">
        <v>27058666</v>
      </c>
      <c r="BF46" s="9"/>
      <c r="BG46" s="9"/>
      <c r="BH46" s="9"/>
      <c r="BI46" s="9">
        <f>SUM(M46,N46,Q46,R46,S46,T46,U46,V46,W46,X46,Y46,Z46,AA46,AB46,AC46,AD46,AE46,AF46,AG46,AH46,AI46,AJ46,AK46,AL46,AM46,AN46,AO46,AP46,AQ46,AR46,AS46,AT46,AU46,AV46,AW46,AX46,AY46,AZ46,BA46,BB46,BC46,BD46,BE46,BF46,BG46,BH46)</f>
      </c>
      <c r="BJ46" s="9">
        <f>I46-BI46</f>
      </c>
      <c r="BK46" s="9">
        <f>BJ46-BL46-BM46-BN46-BO46</f>
      </c>
      <c r="BL46" s="9"/>
      <c r="BM46" s="9"/>
      <c r="BN46" s="9"/>
      <c r="BO46" s="9"/>
      <c r="BP46" s="8"/>
      <c r="BQ46" t="inlineStr" s="8">
        <is>
          <t>2024-01-06</t>
        </is>
      </c>
      <c r="BR46" t="inlineStr" s="8">
        <is>
          <t>2024-02-16</t>
        </is>
      </c>
      <c r="BS46" s="8"/>
      <c r="BT46" s="8"/>
      <c r="BU46" s="8"/>
      <c r="BV46" s="8"/>
      <c r="BW46" s="8"/>
      <c r="BX46" s="8"/>
      <c r="BY46" s="8"/>
      <c r="BZ46" s="9"/>
      <c r="CA46" s="9"/>
      <c r="CB46" t="inlineStr" s="8">
        <is>
          <t>3166393337</t>
        </is>
      </c>
      <c r="CC46" t="inlineStr" s="8">
        <is>
          <t>scott.ahsoka.75040537@example.com</t>
        </is>
      </c>
      <c r="CD46" t="inlineStr" s="8">
        <is>
          <t>MOUSE MINNIE CEL: 3166393382</t>
        </is>
      </c>
      <c r="CE46" s="8"/>
    </row>
    <row r="47" ht="12.75" customHeight="1">
      <c r="A47" t="inlineStr" s="8">
        <is>
          <t>60007919098794</t>
        </is>
      </c>
      <c r="B47" s="8"/>
      <c r="C47" t="inlineStr" s="8">
        <is>
          <t>701</t>
        </is>
      </c>
      <c r="D47" s="9">
        <v>55.20</v>
      </c>
      <c r="E47" t="inlineStr" s="8">
        <is>
          <t>75049059</t>
        </is>
      </c>
      <c r="F47" t="inlineStr" s="8">
        <is>
          <t>GRIFFIN HARRY</t>
        </is>
      </c>
      <c r="G47" t="inlineStr" s="8">
        <is>
          <t>COOPER PHOEBE</t>
        </is>
      </c>
      <c r="H47" t="inlineStr" s="8">
        <is>
          <t>BANCO DAVIVIENDA</t>
        </is>
      </c>
      <c r="I47" s="9">
        <v>192172500.00</v>
      </c>
      <c r="J47" t="inlineStr" s="8">
        <is>
          <t>NCR5624CR</t>
        </is>
      </c>
      <c r="K47" t="inlineStr" s="8">
        <is>
          <t>NCR5619 - NCR5612 - NCR5620 - NCR5623 - NCR5622 - NCR5617 - NCR5616 - NCR5615 - NCR5614 - NCR5621 - NCR5613 - NCR5618</t>
        </is>
      </c>
      <c r="L47" t="inlineStr" s="8">
        <is>
          <t>JUN.19/22F - AGO.21/22F - AGO.26/22F - SEP.3/22F - NOV.19/22F - DIC.16/22F - ENE.12/23F - MAR.2/23F - MAR.9/23F - MAR.17/23F - MAY.8/23F - MAY.24/23F</t>
        </is>
      </c>
      <c r="M47" s="9"/>
      <c r="N47" s="9"/>
      <c r="O47" t="inlineStr" s="8">
        <is>
          <t>ABR.12/23</t>
        </is>
      </c>
      <c r="P47" s="8"/>
      <c r="Q47" s="10"/>
      <c r="R47" s="10"/>
      <c r="S47" s="10"/>
      <c r="T47" s="10"/>
      <c r="U47" s="10"/>
      <c r="V47" s="10">
        <v>405000</v>
      </c>
      <c r="W47" s="10"/>
      <c r="X47" s="10">
        <f>5564000+20234000</f>
      </c>
      <c r="Y47" s="10">
        <v>4249500</v>
      </c>
      <c r="Z47" s="10"/>
      <c r="AA47" s="10">
        <v>11230000</v>
      </c>
      <c r="AB47" s="10">
        <v>1214000</v>
      </c>
      <c r="AC47" s="10">
        <v>1922000</v>
      </c>
      <c r="AD47" s="10"/>
      <c r="AE47" s="10">
        <f>16289000+5362000+14063000</f>
      </c>
      <c r="AF47" s="10"/>
      <c r="AG47" s="10">
        <f>2732000+17908000</f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9">
        <v>65000000</v>
      </c>
      <c r="BF47" s="9"/>
      <c r="BG47" s="9"/>
      <c r="BH47" s="9"/>
      <c r="BI47" s="9">
        <f>SUM(M47,N47,Q47,R47,S47,T47,U47,V47,W47,X47,Y47,Z47,AA47,AB47,AC47,AD47,AE47,AF47,AG47,AH47,AI47,AJ47,AK47,AL47,AM47,AN47,AO47,AP47,AQ47,AR47,AS47,AT47,AU47,AV47,AW47,AX47,AY47,AZ47,BA47,BB47,BC47,BD47,BE47,BF47,BG47,BH47)</f>
      </c>
      <c r="BJ47" s="9">
        <f>I47-BI47</f>
      </c>
      <c r="BK47" s="9">
        <f>BJ47-BL47-BM47-BN47-BO47</f>
      </c>
      <c r="BL47" s="9"/>
      <c r="BM47" s="9"/>
      <c r="BN47" s="9"/>
      <c r="BO47" s="9"/>
      <c r="BP47" s="8"/>
      <c r="BQ47" t="inlineStr" s="8">
        <is>
          <t>2022-08-08</t>
        </is>
      </c>
      <c r="BR47" t="inlineStr" s="8">
        <is>
          <t>2022-09-27</t>
        </is>
      </c>
      <c r="BS47" t="inlineStr" s="8">
        <is>
          <t>2023-09-14</t>
        </is>
      </c>
      <c r="BT47" s="8"/>
      <c r="BU47" s="8"/>
      <c r="BV47" s="8"/>
      <c r="BW47" s="8"/>
      <c r="BX47" s="8"/>
      <c r="BY47" s="8"/>
      <c r="BZ47" s="9"/>
      <c r="CA47" s="9"/>
      <c r="CB47" t="inlineStr" s="8">
        <is>
          <t>3166394192</t>
        </is>
      </c>
      <c r="CC47" t="inlineStr" s="8">
        <is>
          <t>griffin.harry.75049059@example.com</t>
        </is>
      </c>
      <c r="CD47" t="inlineStr" s="8">
        <is>
          <t>MOUSE MICKEY CEL: 3166395263</t>
        </is>
      </c>
      <c r="CE47" s="8"/>
    </row>
    <row r="48" ht="12.75" customHeight="1">
      <c r="A48" t="inlineStr" s="8">
        <is>
          <t>60007919099061</t>
        </is>
      </c>
      <c r="B48" s="8"/>
      <c r="C48" t="inlineStr" s="8">
        <is>
          <t>702</t>
        </is>
      </c>
      <c r="D48" s="9">
        <v>55.20</v>
      </c>
      <c r="E48" t="inlineStr" s="8">
        <is>
          <t>75072377</t>
        </is>
      </c>
      <c r="F48" t="inlineStr" s="8">
        <is>
          <t>COOPER STEVE</t>
        </is>
      </c>
      <c r="G48" t="inlineStr" s="8">
        <is>
          <t>PINKMAN DAENERYS</t>
        </is>
      </c>
      <c r="H48" t="inlineStr" s="8">
        <is>
          <t>BANCOLOMBIA</t>
        </is>
      </c>
      <c r="I48" s="9">
        <v>192172500.00</v>
      </c>
      <c r="J48" t="inlineStr" s="8">
        <is>
          <t>NCR5640CR</t>
        </is>
      </c>
      <c r="K48" t="inlineStr" s="8">
        <is>
          <t>NCR5638 - NCR5636 - NCR5637 - NCR5639</t>
        </is>
      </c>
      <c r="L48" t="inlineStr" s="8">
        <is>
          <t>JUN.13/24F - JUN.18/24F - JUN.26/24F - MAR.24/25F</t>
        </is>
      </c>
      <c r="M48" s="9"/>
      <c r="N48" s="9"/>
      <c r="O48" t="inlineStr" s="8">
        <is>
          <t>AGO.18/24</t>
        </is>
      </c>
      <c r="P48" s="8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>
        <f>4126000+6564000+31693000</f>
      </c>
      <c r="AU48" s="10"/>
      <c r="AV48" s="10"/>
      <c r="AW48" s="10"/>
      <c r="AX48" s="10"/>
      <c r="AY48" s="10"/>
      <c r="AZ48" s="10"/>
      <c r="BA48" s="10"/>
      <c r="BB48" s="10"/>
      <c r="BC48" s="10">
        <v>20127000</v>
      </c>
      <c r="BD48" s="10"/>
      <c r="BE48" s="9">
        <v>80000000</v>
      </c>
      <c r="BF48" s="9"/>
      <c r="BG48" s="9"/>
      <c r="BH48" s="9"/>
      <c r="BI48" s="9">
        <f>SUM(M48,N48,Q48,R48,S48,T48,U48,V48,W48,X48,Y48,Z48,AA48,AB48,AC48,AD48,AE48,AF48,AG48,AH48,AI48,AJ48,AK48,AL48,AM48,AN48,AO48,AP48,AQ48,AR48,AS48,AT48,AU48,AV48,AW48,AX48,AY48,AZ48,BA48,BB48,BC48,BD48,BE48,BF48,BG48,BH48)</f>
      </c>
      <c r="BJ48" s="9">
        <f>I48-BI48</f>
      </c>
      <c r="BK48" s="9">
        <f>BJ48-BL48-BM48-BN48-BO48</f>
      </c>
      <c r="BL48" s="9"/>
      <c r="BM48" s="9"/>
      <c r="BN48" s="9"/>
      <c r="BO48" s="9"/>
      <c r="BP48" s="8"/>
      <c r="BQ48" t="inlineStr" s="8">
        <is>
          <t>2024-02-03</t>
        </is>
      </c>
      <c r="BR48" t="inlineStr" s="8">
        <is>
          <t>2024-04-15</t>
        </is>
      </c>
      <c r="BS48" s="8"/>
      <c r="BT48" s="8"/>
      <c r="BU48" s="8"/>
      <c r="BV48" s="8"/>
      <c r="BW48" s="8"/>
      <c r="BX48" s="8"/>
      <c r="BY48" s="8"/>
      <c r="BZ48" s="9"/>
      <c r="CA48" s="9"/>
      <c r="CB48" t="inlineStr" s="8">
        <is>
          <t>3166397106</t>
        </is>
      </c>
      <c r="CC48" t="inlineStr" s="8">
        <is>
          <t>cooper.steve.75072377@example.com</t>
        </is>
      </c>
      <c r="CD48" t="inlineStr" s="8">
        <is>
          <t>FLINTSTONE FRED CEL: 3166398379</t>
        </is>
      </c>
      <c r="CE48" s="8"/>
    </row>
    <row r="49" ht="12.75" customHeight="1">
      <c r="A49" t="inlineStr" s="8">
        <is>
          <t>60007919099158</t>
        </is>
      </c>
      <c r="B49" s="8"/>
      <c r="C49" t="inlineStr" s="8">
        <is>
          <t>703</t>
        </is>
      </c>
      <c r="D49" s="9">
        <v>55.20</v>
      </c>
      <c r="E49" t="inlineStr" s="8">
        <is>
          <t>75088691</t>
        </is>
      </c>
      <c r="F49" t="inlineStr" s="8">
        <is>
          <t>SIMPSON JON</t>
        </is>
      </c>
      <c r="G49" s="8"/>
      <c r="H49" t="inlineStr" s="8">
        <is>
          <t>BANCO DE OCCIDENTE</t>
        </is>
      </c>
      <c r="I49" s="9">
        <v>192172500.00</v>
      </c>
      <c r="J49" t="inlineStr" s="8">
        <is>
          <t>NCR5645 - NCR5643 - NCR5647 - NCR5654CR</t>
        </is>
      </c>
      <c r="K49" t="inlineStr" s="8">
        <is>
          <t>NCR5648 - NCR5649 - NCR5646 - NCR5650 - NCR5652 - NCR5653 - NCR5642 - NCR5644 - NCR5651</t>
        </is>
      </c>
      <c r="L49" t="inlineStr" s="8">
        <is>
          <t>MAY.23/23F - JUN.5/23F - AGO.9/23F - OCT.16/23 - OCT.25/23 - NOV.8/23F - FEB.28/24F - MAR.28/24F - ABR.16/24F - JUN.2/24 - AGO.7/24F - AGO.17/24F</t>
        </is>
      </c>
      <c r="M49" s="9">
        <f>4849000+4663000+7025000</f>
      </c>
      <c r="N49" s="9"/>
      <c r="O49" t="inlineStr" s="8">
        <is>
          <t>DIC.11/23</t>
        </is>
      </c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>
        <v>7585000</v>
      </c>
      <c r="AH49" s="10">
        <v>1492000</v>
      </c>
      <c r="AI49" s="10"/>
      <c r="AJ49" s="10">
        <v>18217000</v>
      </c>
      <c r="AK49" s="10"/>
      <c r="AL49" s="10"/>
      <c r="AM49" s="10">
        <v>12124000</v>
      </c>
      <c r="AN49" s="10"/>
      <c r="AO49" s="10"/>
      <c r="AP49" s="10">
        <v>560000</v>
      </c>
      <c r="AQ49" s="10">
        <v>1180500</v>
      </c>
      <c r="AR49" s="10">
        <v>187000</v>
      </c>
      <c r="AS49" s="10"/>
      <c r="AT49" s="10"/>
      <c r="AU49" s="10"/>
      <c r="AV49" s="10">
        <f>746000+3544000</f>
      </c>
      <c r="AW49" s="10"/>
      <c r="AX49" s="10"/>
      <c r="AY49" s="10"/>
      <c r="AZ49" s="10"/>
      <c r="BA49" s="10"/>
      <c r="BB49" s="10"/>
      <c r="BC49" s="10"/>
      <c r="BD49" s="10"/>
      <c r="BE49" s="9">
        <v>110000000</v>
      </c>
      <c r="BF49" s="9"/>
      <c r="BG49" s="9"/>
      <c r="BH49" s="9"/>
      <c r="BI49" s="9">
        <f>SUM(M49,N49,Q49,R49,S49,T49,U49,V49,W49,X49,Y49,Z49,AA49,AB49,AC49,AD49,AE49,AF49,AG49,AH49,AI49,AJ49,AK49,AL49,AM49,AN49,AO49,AP49,AQ49,AR49,AS49,AT49,AU49,AV49,AW49,AX49,AY49,AZ49,BA49,BB49,BC49,BD49,BE49,BF49,BG49,BH49)</f>
      </c>
      <c r="BJ49" s="9">
        <f>I49-BI49</f>
      </c>
      <c r="BK49" s="9">
        <f>BJ49-BL49-BM49-BN49-BO49</f>
      </c>
      <c r="BL49" s="9"/>
      <c r="BM49" s="9"/>
      <c r="BN49" s="9"/>
      <c r="BO49" s="9"/>
      <c r="BP49" s="8"/>
      <c r="BQ49" t="inlineStr" s="8">
        <is>
          <t>2023-05-29</t>
        </is>
      </c>
      <c r="BR49" t="inlineStr" s="8">
        <is>
          <t>2023-09-09</t>
        </is>
      </c>
      <c r="BS49" t="inlineStr" s="8">
        <is>
          <t>2024-11-20</t>
        </is>
      </c>
      <c r="BT49" s="8"/>
      <c r="BU49" s="8"/>
      <c r="BV49" s="8"/>
      <c r="BW49" s="8"/>
      <c r="BX49" s="8"/>
      <c r="BY49" s="8"/>
      <c r="BZ49" s="9"/>
      <c r="CA49" s="9"/>
      <c r="CB49" t="inlineStr" s="8">
        <is>
          <t>3166398471</t>
        </is>
      </c>
      <c r="CC49" t="inlineStr" s="8">
        <is>
          <t>simpson.jon.75088691@example.com</t>
        </is>
      </c>
      <c r="CD49" t="inlineStr" s="8">
        <is>
          <t>JETSON GEORGE CEL: 3166398507</t>
        </is>
      </c>
      <c r="CE49" s="8"/>
    </row>
    <row r="50" ht="12.75" customHeight="1">
      <c r="A50" t="inlineStr" s="8">
        <is>
          <t>60007919099245</t>
        </is>
      </c>
      <c r="B50" s="8"/>
      <c r="C50" t="inlineStr" s="8">
        <is>
          <t>704</t>
        </is>
      </c>
      <c r="D50" s="9">
        <v>55.20</v>
      </c>
      <c r="E50" t="inlineStr" s="8">
        <is>
          <t>75089432</t>
        </is>
      </c>
      <c r="F50" t="inlineStr" s="8">
        <is>
          <t>BENDER AMY</t>
        </is>
      </c>
      <c r="G50" s="8"/>
      <c r="H50" t="inlineStr" s="8">
        <is>
          <t>BANCO DE BOGOTA</t>
        </is>
      </c>
      <c r="I50" s="9">
        <v>192172500.00</v>
      </c>
      <c r="J50" t="inlineStr" s="8">
        <is>
          <t>NCR5667 - NCR5661 - NCR5668CR</t>
        </is>
      </c>
      <c r="K50" t="inlineStr" s="8">
        <is>
          <t>NCR5662 - NCR5656 - NCR5659 - NCR5663 - NCR5657 - NCR5665 - NCR5666 - NCR5664 - NCR5658 - NCR5660</t>
        </is>
      </c>
      <c r="L50" t="inlineStr" s="8">
        <is>
          <t>OCT.18/22F - NOV.14/22F - ABR.2/23F - MAY.4/23F - JUN.15/23F - SEP.22/23F - OCT.2/23F - OCT.12/23F - NOV.18/23F - DIC.2/23 - DIC.16/23 - ENE.2/24F</t>
        </is>
      </c>
      <c r="M50" s="9">
        <f>4152000+108000</f>
      </c>
      <c r="N50" s="9"/>
      <c r="O50" t="inlineStr" s="8">
        <is>
          <t>JUN.24/23</t>
        </is>
      </c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>
        <v>2373000</v>
      </c>
      <c r="AA50" s="10">
        <v>3397000</v>
      </c>
      <c r="AB50" s="10"/>
      <c r="AC50" s="10"/>
      <c r="AD50" s="10"/>
      <c r="AE50" s="10"/>
      <c r="AF50" s="10">
        <v>5770000</v>
      </c>
      <c r="AG50" s="10">
        <v>108000</v>
      </c>
      <c r="AH50" s="10">
        <v>4692000</v>
      </c>
      <c r="AI50" s="10"/>
      <c r="AJ50" s="10"/>
      <c r="AK50" s="10">
        <v>12403000</v>
      </c>
      <c r="AL50" s="10">
        <f>10785000+4368000</f>
      </c>
      <c r="AM50" s="10">
        <v>2157000</v>
      </c>
      <c r="AN50" s="10"/>
      <c r="AO50" s="10">
        <v>3613000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9">
        <v>26963000</v>
      </c>
      <c r="BF50" s="9"/>
      <c r="BG50" s="9"/>
      <c r="BH50" s="9"/>
      <c r="BI50" s="9">
        <f>SUM(M50,N50,Q50,R50,S50,T50,U50,V50,W50,X50,Y50,Z50,AA50,AB50,AC50,AD50,AE50,AF50,AG50,AH50,AI50,AJ50,AK50,AL50,AM50,AN50,AO50,AP50,AQ50,AR50,AS50,AT50,AU50,AV50,AW50,AX50,AY50,AZ50,BA50,BB50,BC50,BD50,BE50,BF50,BG50,BH50)</f>
      </c>
      <c r="BJ50" s="9">
        <f>I50-BI50</f>
      </c>
      <c r="BK50" s="9">
        <f>BJ50-BL50-BM50-BN50-BO50</f>
      </c>
      <c r="BL50" s="9"/>
      <c r="BM50" s="9"/>
      <c r="BN50" s="9"/>
      <c r="BO50" s="9"/>
      <c r="BP50" s="8"/>
      <c r="BQ50" t="inlineStr" s="8">
        <is>
          <t>2022-11-20</t>
        </is>
      </c>
      <c r="BR50" t="inlineStr" s="8">
        <is>
          <t>2022-12-09</t>
        </is>
      </c>
      <c r="BS50" s="8"/>
      <c r="BT50" s="8"/>
      <c r="BU50" s="8"/>
      <c r="BV50" s="8"/>
      <c r="BW50" s="8"/>
      <c r="BX50" s="8"/>
      <c r="BY50" s="8"/>
      <c r="BZ50" s="9"/>
      <c r="CA50" s="9"/>
      <c r="CB50" t="inlineStr" s="8">
        <is>
          <t>3166399123</t>
        </is>
      </c>
      <c r="CC50" t="inlineStr" s="8">
        <is>
          <t>bender.amy.75089432@example.com</t>
        </is>
      </c>
      <c r="CD50" t="inlineStr" s="8">
        <is>
          <t>JETSON GEORGE CEL: 3166399818</t>
        </is>
      </c>
      <c r="CE50" s="8"/>
    </row>
    <row r="51" ht="12.75" customHeight="1">
      <c r="A51" t="inlineStr" s="8">
        <is>
          <t>60007919099364</t>
        </is>
      </c>
      <c r="B51" s="8"/>
      <c r="C51" t="inlineStr" s="8">
        <is>
          <t>705</t>
        </is>
      </c>
      <c r="D51" s="9">
        <v>55.20</v>
      </c>
      <c r="E51" t="inlineStr" s="8">
        <is>
          <t>75096168</t>
        </is>
      </c>
      <c r="F51" t="inlineStr" s="8">
        <is>
          <t>FRING JANE</t>
        </is>
      </c>
      <c r="G51" t="inlineStr" s="8">
        <is>
          <t>SNOW SHELDON</t>
        </is>
      </c>
      <c r="H51" t="inlineStr" s="8">
        <is>
          <t>BANCO DAVIVIENDA</t>
        </is>
      </c>
      <c r="I51" s="9">
        <v>192172500.00</v>
      </c>
      <c r="J51" t="inlineStr" s="8">
        <is>
          <t>NCR5672 - NCR5673 - NCR5678CR</t>
        </is>
      </c>
      <c r="K51" t="inlineStr" s="8">
        <is>
          <t>NCR5676 - NCR5671 - NCR5675 - NCR5677 - NCR5674</t>
        </is>
      </c>
      <c r="L51" t="inlineStr" s="8">
        <is>
          <t>JUN.4/22F - ENE.12/23F - ABR.14/23F - JUL.14/23 - JUL.17/23 - AGO.9/23F - OCT.13/23F</t>
        </is>
      </c>
      <c r="M51" s="9">
        <f>3525000+275000</f>
      </c>
      <c r="N51" s="9"/>
      <c r="O51" t="inlineStr" s="8">
        <is>
          <t>JUN.28/23</t>
        </is>
      </c>
      <c r="P51" s="8"/>
      <c r="Q51" s="10"/>
      <c r="R51" s="10"/>
      <c r="S51" s="10"/>
      <c r="T51" s="10"/>
      <c r="U51" s="10"/>
      <c r="V51" s="10">
        <v>100000</v>
      </c>
      <c r="W51" s="10"/>
      <c r="X51" s="10"/>
      <c r="Y51" s="10"/>
      <c r="Z51" s="10"/>
      <c r="AA51" s="10"/>
      <c r="AB51" s="10"/>
      <c r="AC51" s="10">
        <v>833000</v>
      </c>
      <c r="AD51" s="10"/>
      <c r="AE51" s="10"/>
      <c r="AF51" s="10">
        <v>1675000</v>
      </c>
      <c r="AG51" s="10"/>
      <c r="AH51" s="10"/>
      <c r="AI51" s="10"/>
      <c r="AJ51" s="10">
        <v>992000</v>
      </c>
      <c r="AK51" s="10"/>
      <c r="AL51" s="10">
        <v>933000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9">
        <v>110000000</v>
      </c>
      <c r="BF51" s="9"/>
      <c r="BG51" s="9"/>
      <c r="BH51" s="9"/>
      <c r="BI51" s="9">
        <f>SUM(M51,N51,Q51,R51,S51,T51,U51,V51,W51,X51,Y51,Z51,AA51,AB51,AC51,AD51,AE51,AF51,AG51,AH51,AI51,AJ51,AK51,AL51,AM51,AN51,AO51,AP51,AQ51,AR51,AS51,AT51,AU51,AV51,AW51,AX51,AY51,AZ51,BA51,BB51,BC51,BD51,BE51,BF51,BG51,BH51)</f>
      </c>
      <c r="BJ51" s="9">
        <f>I51-BI51</f>
      </c>
      <c r="BK51" s="9">
        <f>BJ51-BL51-BM51-BN51-BO51</f>
      </c>
      <c r="BL51" s="9"/>
      <c r="BM51" s="9"/>
      <c r="BN51" s="9"/>
      <c r="BO51" s="9"/>
      <c r="BP51" s="8"/>
      <c r="BQ51" t="inlineStr" s="8">
        <is>
          <t>2022-05-12</t>
        </is>
      </c>
      <c r="BR51" t="inlineStr" s="8">
        <is>
          <t>2022-06-29</t>
        </is>
      </c>
      <c r="BS51" s="8"/>
      <c r="BT51" s="8"/>
      <c r="BU51" s="8"/>
      <c r="BV51" s="8"/>
      <c r="BW51" s="8"/>
      <c r="BX51" s="8"/>
      <c r="BY51" s="8"/>
      <c r="BZ51" s="9"/>
      <c r="CA51" s="9"/>
      <c r="CB51" t="inlineStr" s="8">
        <is>
          <t>3166400473</t>
        </is>
      </c>
      <c r="CC51" t="inlineStr" s="8">
        <is>
          <t>fring.jane.75096168@example.com</t>
        </is>
      </c>
      <c r="CD51" t="inlineStr" s="8">
        <is>
          <t>FINN CEL: 3166401559</t>
        </is>
      </c>
      <c r="CE51" s="8"/>
    </row>
    <row r="52" ht="12.75" customHeight="1">
      <c r="A52" t="inlineStr" s="8">
        <is>
          <t>60007919099550</t>
        </is>
      </c>
      <c r="B52" s="8"/>
      <c r="C52" t="inlineStr" s="8">
        <is>
          <t>706</t>
        </is>
      </c>
      <c r="D52" s="9">
        <v>55.20</v>
      </c>
      <c r="E52" t="inlineStr" s="8">
        <is>
          <t>75105618</t>
        </is>
      </c>
      <c r="F52" t="inlineStr" s="8">
        <is>
          <t>LANNISTER MIKE</t>
        </is>
      </c>
      <c r="G52" s="8"/>
      <c r="H52" t="inlineStr" s="8">
        <is>
          <t>BANCO DE OCCIDENTE</t>
        </is>
      </c>
      <c r="I52" s="9">
        <v>192172500.00</v>
      </c>
      <c r="J52" t="inlineStr" s="8">
        <is>
          <t>NC5681CESION - NCR5686CR</t>
        </is>
      </c>
      <c r="K52" t="inlineStr" s="8">
        <is>
          <t>NCR5683 - NCR5682 - NCR5685 - NCR5684</t>
        </is>
      </c>
      <c r="L52" t="inlineStr" s="8">
        <is>
          <t>JUN.7/22F - JUN.28/22F - JUL.25/22F - SEP.9/22F - (ENE.13/23CESION)</t>
        </is>
      </c>
      <c r="M52" s="9"/>
      <c r="N52" s="9">
        <v>12000000</v>
      </c>
      <c r="O52" t="inlineStr" s="8">
        <is>
          <t>AGO.19/22</t>
        </is>
      </c>
      <c r="P52" s="8"/>
      <c r="Q52" s="10"/>
      <c r="R52" s="10"/>
      <c r="S52" s="10"/>
      <c r="T52" s="10"/>
      <c r="U52" s="10"/>
      <c r="V52" s="10">
        <f>1270000+249000</f>
      </c>
      <c r="W52" s="10">
        <v>357000</v>
      </c>
      <c r="X52" s="10"/>
      <c r="Y52" s="10">
        <v>130000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>
        <v>80000000</v>
      </c>
      <c r="BF52" s="9"/>
      <c r="BG52" s="9"/>
      <c r="BH52" s="9"/>
      <c r="BI52" s="9">
        <f>SUM(M52,N52,Q52,R52,S52,T52,U52,V52,W52,X52,Y52,Z52,AA52,AB52,AC52,AD52,AE52,AF52,AG52,AH52,AI52,AJ52,AK52,AL52,AM52,AN52,AO52,AP52,AQ52,AR52,AS52,AT52,AU52,AV52,AW52,AX52,AY52,AZ52,BA52,BB52,BC52,BD52,BE52,BF52,BG52,BH52)</f>
      </c>
      <c r="BJ52" s="9">
        <f>I52-BI52</f>
      </c>
      <c r="BK52" s="9">
        <f>BJ52-BL52-BM52-BN52-BO52</f>
      </c>
      <c r="BL52" s="9"/>
      <c r="BM52" s="9"/>
      <c r="BN52" s="9"/>
      <c r="BO52" s="9"/>
      <c r="BP52" s="8"/>
      <c r="BQ52" t="inlineStr" s="8">
        <is>
          <t>2022-07-21</t>
        </is>
      </c>
      <c r="BR52" t="inlineStr" s="8">
        <is>
          <t>2022-08-16</t>
        </is>
      </c>
      <c r="BS52" s="8"/>
      <c r="BT52" s="8"/>
      <c r="BU52" s="8"/>
      <c r="BV52" s="8"/>
      <c r="BW52" s="8"/>
      <c r="BX52" s="8"/>
      <c r="BY52" s="8"/>
      <c r="BZ52" s="9"/>
      <c r="CA52" s="9"/>
      <c r="CB52" t="inlineStr" s="8">
        <is>
          <t>3166402447</t>
        </is>
      </c>
      <c r="CC52" t="inlineStr" s="8">
        <is>
          <t>lannister.mike.75105618@example.com</t>
        </is>
      </c>
      <c r="CD52" t="inlineStr" s="8">
        <is>
          <t>MOUSE MINNIE CEL: 3166402750</t>
        </is>
      </c>
      <c r="CE52" t="inlineStr" s="8">
        <is>
          <t>NC5681 ENE.13/23 CESION DE WILL POTTER A MIKE LANNISTER *ANTIC $12.000.000 *ARRAS $4'640</t>
        </is>
      </c>
    </row>
    <row r="53" ht="12.75" customHeight="1">
      <c r="A53" t="inlineStr" s="8">
        <is>
          <t>60007919099689</t>
        </is>
      </c>
      <c r="B53" s="8"/>
      <c r="C53" t="inlineStr" s="8">
        <is>
          <t>707</t>
        </is>
      </c>
      <c r="D53" s="9">
        <v>55.20</v>
      </c>
      <c r="E53" t="inlineStr" s="8">
        <is>
          <t>75106567</t>
        </is>
      </c>
      <c r="F53" t="inlineStr" s="8">
        <is>
          <t>PINKMAN JANE</t>
        </is>
      </c>
      <c r="G53" s="8"/>
      <c r="H53" t="inlineStr" s="8">
        <is>
          <t>BBVA</t>
        </is>
      </c>
      <c r="I53" s="9">
        <v>192172500.00</v>
      </c>
      <c r="J53" t="inlineStr" s="8">
        <is>
          <t>NCR5692CR</t>
        </is>
      </c>
      <c r="K53" t="inlineStr" s="8">
        <is>
          <t>NCR5691 - NCR5690 - NCR5689 - NCR5688 - NCR5687</t>
        </is>
      </c>
      <c r="L53" t="inlineStr" s="8">
        <is>
          <t>JUL.12/22F - OCT.19/22F - MAR.9/23F - OCT.9/23F - OCT.18/23F</t>
        </is>
      </c>
      <c r="M53" s="9"/>
      <c r="N53" s="9"/>
      <c r="O53" t="inlineStr" s="8">
        <is>
          <t>MAR.25/23</t>
        </is>
      </c>
      <c r="P53" s="8"/>
      <c r="Q53" s="10"/>
      <c r="R53" s="10"/>
      <c r="S53" s="10"/>
      <c r="T53" s="10"/>
      <c r="U53" s="10"/>
      <c r="V53" s="10"/>
      <c r="W53" s="10">
        <v>1216667</v>
      </c>
      <c r="X53" s="10"/>
      <c r="Y53" s="10"/>
      <c r="Z53" s="10">
        <v>10006000</v>
      </c>
      <c r="AA53" s="10"/>
      <c r="AB53" s="10"/>
      <c r="AC53" s="10"/>
      <c r="AD53" s="10"/>
      <c r="AE53" s="10">
        <v>7825000</v>
      </c>
      <c r="AF53" s="10"/>
      <c r="AG53" s="10"/>
      <c r="AH53" s="10"/>
      <c r="AI53" s="10"/>
      <c r="AJ53" s="10"/>
      <c r="AK53" s="10"/>
      <c r="AL53" s="10">
        <f>1813000+2088000</f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9">
        <v>24474333</v>
      </c>
      <c r="BF53" s="9"/>
      <c r="BG53" s="9"/>
      <c r="BH53" s="9"/>
      <c r="BI53" s="9">
        <f>SUM(M53,N53,Q53,R53,S53,T53,U53,V53,W53,X53,Y53,Z53,AA53,AB53,AC53,AD53,AE53,AF53,AG53,AH53,AI53,AJ53,AK53,AL53,AM53,AN53,AO53,AP53,AQ53,AR53,AS53,AT53,AU53,AV53,AW53,AX53,AY53,AZ53,BA53,BB53,BC53,BD53,BE53,BF53,BG53,BH53)</f>
      </c>
      <c r="BJ53" s="9">
        <f>I53-BI53</f>
      </c>
      <c r="BK53" s="9">
        <f>BJ53-BL53-BM53-BN53-BO53</f>
      </c>
      <c r="BL53" s="9"/>
      <c r="BM53" s="9"/>
      <c r="BN53" s="9"/>
      <c r="BO53" s="9"/>
      <c r="BP53" s="8"/>
      <c r="BQ53" t="inlineStr" s="8">
        <is>
          <t>2022-09-05</t>
        </is>
      </c>
      <c r="BR53" t="inlineStr" s="8">
        <is>
          <t>2022-10-20</t>
        </is>
      </c>
      <c r="BS53" s="8"/>
      <c r="BT53" s="8"/>
      <c r="BU53" s="8"/>
      <c r="BV53" s="8"/>
      <c r="BW53" s="8"/>
      <c r="BX53" s="8"/>
      <c r="BY53" s="8"/>
      <c r="BZ53" s="9"/>
      <c r="CA53" s="9"/>
      <c r="CB53" t="inlineStr" s="8">
        <is>
          <t>3166403595</t>
        </is>
      </c>
      <c r="CC53" t="inlineStr" s="8">
        <is>
          <t>pinkman.jane.75106567@example.com</t>
        </is>
      </c>
      <c r="CD53" t="inlineStr" s="8">
        <is>
          <t>MOUSE MINNIE CEL: 3166404342</t>
        </is>
      </c>
      <c r="CE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9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9">
        <f>SUM(BZ5:BZ53)</f>
      </c>
      <c r="CA54" s="9">
        <f>SUM(CA5:CA53)</f>
      </c>
      <c r="CB54" s="8"/>
      <c r="CC54" s="8"/>
      <c r="CD54" s="8"/>
      <c r="CE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8"/>
      <c r="CC55" s="8"/>
      <c r="CD55" s="8"/>
      <c r="CE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9">
        <f>SUM(BE5:BE53)</f>
      </c>
      <c r="BF56" s="9">
        <f>SUM(BF5:BF53)</f>
      </c>
      <c r="BG56" s="9">
        <f>SUM(BG5:BG53)</f>
      </c>
      <c r="BH56" s="9"/>
      <c r="BI56" s="9">
        <f>SUM(BI5:BI53)</f>
      </c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9">
        <f>SUM(BZ5:BZ53)</f>
      </c>
      <c r="CA56" s="9">
        <f>SUM(CA5:CA53)</f>
      </c>
      <c r="CB56" s="8"/>
      <c r="CC56" s="8"/>
      <c r="CD56" s="8"/>
      <c r="CE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3.7" customHeight="1">
      <c r="A59" t="inlineStr" s="8">
        <is>
          <t>60007919097540</t>
        </is>
      </c>
      <c r="B59" t="inlineStr" s="8">
        <is>
          <t>60007919097547</t>
        </is>
      </c>
      <c r="C59" t="inlineStr" s="8">
        <is>
          <t>503</t>
        </is>
      </c>
      <c r="D59" s="9">
        <v>55.20</v>
      </c>
      <c r="E59" t="inlineStr" s="8">
        <is>
          <t>74934805</t>
        </is>
      </c>
      <c r="F59" t="inlineStr" s="8">
        <is>
          <t>CHEEKS DIANA</t>
        </is>
      </c>
      <c r="G59" t="inlineStr" s="8">
        <is>
          <t>*CESION/ARRAS</t>
        </is>
      </c>
      <c r="H59" t="inlineStr" s="8">
        <is>
          <t>BANCO DE OCCIDENTE</t>
        </is>
      </c>
      <c r="I59" s="9">
        <v>192172500.00</v>
      </c>
      <c r="J59" s="8"/>
      <c r="K59" s="8"/>
      <c r="L59" t="inlineStr" s="8">
        <is>
          <t>2022-06-12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9"/>
      <c r="BF59" s="9"/>
      <c r="BG59" s="9"/>
      <c r="BH59" s="9"/>
      <c r="BI59" s="9">
        <f>SUM(M59,N59,Q59,R59,S59,T59,U59,V59,W59,X59,Y59,Z59,AA59,AB59,AC59,AD59,AE59,AF59,AG59,AH59,AI59,AJ59,AK59,AL59,AM59,AN59,AO59,AP59,AQ59,AR59,AS59,AT59,AU59,AV59,AW59,AX59,AY59,AZ59,BA59,BB59,BC59,BD59,BE59,BF59,BG59,BH59)</f>
      </c>
      <c r="BJ59" s="9">
        <f>I59-BI59</f>
      </c>
      <c r="BK59" s="9">
        <f>BJ59-BL59-BM59-BN59-BO59</f>
      </c>
      <c r="BL59" s="9"/>
      <c r="BM59" s="9"/>
      <c r="BN59" s="9"/>
      <c r="BO59" s="9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t="inlineStr" s="8">
        <is>
          <t>3166379290</t>
        </is>
      </c>
      <c r="CC59" t="inlineStr" s="8">
        <is>
          <t>cheeks.diana.74934805@example.com</t>
        </is>
      </c>
      <c r="CD59" t="inlineStr" s="8">
        <is>
          <t>FLINTSTONE FRED CEL: 3166380525</t>
        </is>
      </c>
      <c r="CE59" t="inlineStr" s="8">
        <is>
          <t>NC5471 JUN.12/22 CESION DE DIANA CHEEKS/JERRY SKYWALKER A DUSTIN ROGERS *ANTIC $15.000.000 *ARRAS $4'640</t>
        </is>
      </c>
    </row>
    <row r="60" ht="13.7" customHeight="1">
      <c r="A60" t="inlineStr" s="8">
        <is>
          <t>60007919097547</t>
        </is>
      </c>
      <c r="B60" s="8"/>
      <c r="C60" t="inlineStr" s="8">
        <is>
          <t>503</t>
        </is>
      </c>
      <c r="D60" s="9">
        <v>55.20</v>
      </c>
      <c r="E60" t="inlineStr" s="8">
        <is>
          <t>74947703</t>
        </is>
      </c>
      <c r="F60" t="inlineStr" s="8">
        <is>
          <t>ROGERS DUSTIN</t>
        </is>
      </c>
      <c r="G60" t="inlineStr" s="8">
        <is>
          <t>*CESION/ARRAS</t>
        </is>
      </c>
      <c r="H60" t="inlineStr" s="8">
        <is>
          <t>BANCO DE OCCIDENTE</t>
        </is>
      </c>
      <c r="I60" s="9">
        <v>192172500.00</v>
      </c>
      <c r="J60" t="inlineStr" s="8">
        <is>
          <t>NC5471CESION - NCR5479CR</t>
        </is>
      </c>
      <c r="K60" t="inlineStr" s="8">
        <is>
          <t>NCR5477 - NCR5478 - NCR5476 - NCR5472 - NCR5473 - NCR5475 - NCR5474</t>
        </is>
      </c>
      <c r="L60" t="inlineStr" s="8">
        <is>
          <t>2022-06-12</t>
        </is>
      </c>
      <c r="M60" s="9"/>
      <c r="N60" s="9">
        <v>15000000</v>
      </c>
      <c r="O60" t="inlineStr" s="8">
        <is>
          <t>OCT.30/22</t>
        </is>
      </c>
      <c r="P60" s="8"/>
      <c r="Q60" s="10"/>
      <c r="R60" s="10"/>
      <c r="S60" s="10">
        <f>20854000+13807000+2847000+8470000</f>
      </c>
      <c r="T60" s="10"/>
      <c r="U60" s="10">
        <v>12669000</v>
      </c>
      <c r="V60" s="10"/>
      <c r="W60" s="10">
        <v>11173500</v>
      </c>
      <c r="X60" s="10"/>
      <c r="Y60" s="10"/>
      <c r="Z60" s="10"/>
      <c r="AA60" s="10">
        <v>1352000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>
        <v>80000000</v>
      </c>
      <c r="BF60" s="9"/>
      <c r="BG60" s="9"/>
      <c r="BH60" s="9"/>
      <c r="BI60" s="9">
        <f>SUM(M60,N60,Q60,R60,S60,T60,U60,V60,W60,X60,Y60,Z60,AA60,AB60,AC60,AD60,AE60,AF60,AG60,AH60,AI60,AJ60,AK60,AL60,AM60,AN60,AO60,AP60,AQ60,AR60,AS60,AT60,AU60,AV60,AW60,AX60,AY60,AZ60,BA60,BB60,BC60,BD60,BE60,BF60,BG60,BH60)</f>
      </c>
      <c r="BJ60" s="9">
        <f>I60-BI60</f>
      </c>
      <c r="BK60" s="9">
        <f>BJ60-BL60-BM60-BN60-BO60</f>
      </c>
      <c r="BL60" s="9"/>
      <c r="BM60" s="9"/>
      <c r="BN60" s="9"/>
      <c r="BO60" s="9"/>
      <c r="BP60" s="8"/>
      <c r="BQ60" t="inlineStr" s="8">
        <is>
          <t>2022-05-15</t>
        </is>
      </c>
      <c r="BR60" t="inlineStr" s="8">
        <is>
          <t>2022-06-07</t>
        </is>
      </c>
      <c r="BS60" t="inlineStr" s="8">
        <is>
          <t>2023-04-09</t>
        </is>
      </c>
      <c r="BT60" s="8"/>
      <c r="BU60" s="8"/>
      <c r="BV60" s="8"/>
      <c r="BW60" s="8"/>
      <c r="BX60" s="8"/>
      <c r="BY60" s="8"/>
      <c r="BZ60" s="9"/>
      <c r="CA60" s="9"/>
      <c r="CB60" t="inlineStr" s="8">
        <is>
          <t>3166379930</t>
        </is>
      </c>
      <c r="CC60" t="inlineStr" s="8">
        <is>
          <t>rogers.dustin.74947703@example.com</t>
        </is>
      </c>
      <c r="CD60" t="inlineStr" s="8">
        <is>
          <t>FLINTSTONE FRED CEL: 3166380525</t>
        </is>
      </c>
      <c r="CE60" t="inlineStr" s="8">
        <is>
          <t>NC5471 JUN.12/22 CESION DE DIANA CHEEKS/JERRY SKYWALKER A DUSTIN ROGERS *ANTIC $15.000.000 *ARRAS $4'640</t>
        </is>
      </c>
    </row>
    <row r="61" ht="13.7" customHeight="1">
      <c r="A61" t="inlineStr" s="8">
        <is>
          <t>60007919095140</t>
        </is>
      </c>
      <c r="B61" s="8"/>
      <c r="C61" t="inlineStr" s="8">
        <is>
          <t>106</t>
        </is>
      </c>
      <c r="D61" s="9">
        <v>55.20</v>
      </c>
      <c r="E61" t="inlineStr" s="8">
        <is>
          <t>74771007</t>
        </is>
      </c>
      <c r="F61" t="inlineStr" s="8">
        <is>
          <t>STARK HARRY</t>
        </is>
      </c>
      <c r="G61" t="inlineStr" s="8">
        <is>
          <t>*INCLUSION</t>
        </is>
      </c>
      <c r="H61" s="8"/>
      <c r="I61" s="9">
        <v>192172500.00</v>
      </c>
      <c r="J61" s="8"/>
      <c r="K61" t="inlineStr" s="8">
        <is>
          <t>NCR5196 - NCR5195 - NCR5194 - NCR5193</t>
        </is>
      </c>
      <c r="L61" t="inlineStr" s="8">
        <is>
          <t>2022-10-01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>
        <v>491000</v>
      </c>
      <c r="Z61" s="10"/>
      <c r="AA61" s="10">
        <v>5887000</v>
      </c>
      <c r="AB61" s="10"/>
      <c r="AC61" s="10">
        <f>104493000+52656000</f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/>
      <c r="BF61" s="9"/>
      <c r="BG61" s="9"/>
      <c r="BH61" s="9"/>
      <c r="BI61" s="9">
        <f>SUM(M61,N61,Q61,R61,S61,T61,U61,V61,W61,X61,Y61,Z61,AA61,AB61,AC61,AD61,AE61,AF61,AG61,AH61,AI61,AJ61,AK61,AL61,AM61,AN61,AO61,AP61,AQ61,AR61,AS61,AT61,AU61,AV61,AW61,AX61,AY61,AZ61,BA61,BB61,BC61,BD61,BE61,BF61,BG61,BH61)</f>
      </c>
      <c r="BJ61" s="9">
        <f>I61-BI61</f>
      </c>
      <c r="BK61" s="9">
        <f>BJ61-BL61-BM61-BN61-BO61</f>
      </c>
      <c r="BL61" s="9"/>
      <c r="BM61" s="9"/>
      <c r="BN61" s="9"/>
      <c r="BO61" s="9"/>
      <c r="BP61" s="8"/>
      <c r="BQ61" t="inlineStr" s="8">
        <is>
          <t>2022-08-13</t>
        </is>
      </c>
      <c r="BR61" t="inlineStr" s="8">
        <is>
          <t>2022-10-08</t>
        </is>
      </c>
      <c r="BS61" s="8"/>
      <c r="BT61" s="8"/>
      <c r="BU61" s="8"/>
      <c r="BV61" s="8"/>
      <c r="BW61" s="8"/>
      <c r="BX61" s="8"/>
      <c r="BY61" s="8"/>
      <c r="BZ61" s="9"/>
      <c r="CA61" s="9"/>
      <c r="CB61" t="inlineStr" s="8">
        <is>
          <t>3166351217</t>
        </is>
      </c>
      <c r="CC61" t="inlineStr" s="8">
        <is>
          <t>stark.harry.74771007@example.com</t>
        </is>
      </c>
      <c r="CD61" t="inlineStr" s="8">
        <is>
          <t>MOUSE MICKEY CEL: 3166351595</t>
        </is>
      </c>
      <c r="CE61" t="inlineStr" s="8">
        <is>
          <t>NC5192 OCT.1/22 INCLUSION HOMER TARGARYEN</t>
        </is>
      </c>
    </row>
    <row r="62" ht="13.7" customHeight="1">
      <c r="A62" t="inlineStr" s="8">
        <is>
          <t>60007919095998</t>
        </is>
      </c>
      <c r="B62" s="8"/>
      <c r="C62" t="inlineStr" s="8">
        <is>
          <t>303</t>
        </is>
      </c>
      <c r="D62" s="9">
        <v>55.20</v>
      </c>
      <c r="E62" t="inlineStr" s="8">
        <is>
          <t>74821964</t>
        </is>
      </c>
      <c r="F62" t="inlineStr" s="8">
        <is>
          <t>SINCLAIR WALTER</t>
        </is>
      </c>
      <c r="G62" t="inlineStr" s="8">
        <is>
          <t>*CESION/ARRAS</t>
        </is>
      </c>
      <c r="H62" t="inlineStr" s="8">
        <is>
          <t>BBVA</t>
        </is>
      </c>
      <c r="I62" s="9">
        <v>192172500.00</v>
      </c>
      <c r="J62" t="inlineStr" s="8">
        <is>
          <t>NC5306CESION - NCR5315CR</t>
        </is>
      </c>
      <c r="K62" t="inlineStr" s="8">
        <is>
          <t>NCR5309 - NCR5313 - NCR5312 - NCR5314 - NCR5310 - NCR5311 - NCR5308 - NCR5307</t>
        </is>
      </c>
      <c r="L62" t="inlineStr" s="8">
        <is>
          <t>2022-11-11</t>
        </is>
      </c>
      <c r="M62" s="9"/>
      <c r="N62" s="9">
        <v>20000000</v>
      </c>
      <c r="O62" t="inlineStr" s="8">
        <is>
          <t>SEP.26/22</t>
        </is>
      </c>
      <c r="P62" s="8"/>
      <c r="Q62" s="10"/>
      <c r="R62" s="10"/>
      <c r="S62" s="10"/>
      <c r="T62" s="10">
        <f>13718000+750000</f>
      </c>
      <c r="U62" s="10"/>
      <c r="V62" s="10">
        <v>8359000</v>
      </c>
      <c r="W62" s="10">
        <v>17040000</v>
      </c>
      <c r="X62" s="10"/>
      <c r="Y62" s="10">
        <v>8254500</v>
      </c>
      <c r="Z62" s="10"/>
      <c r="AA62" s="10">
        <v>44369000</v>
      </c>
      <c r="AB62" s="10">
        <f>107000+14575000</f>
      </c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9">
        <v>65000000</v>
      </c>
      <c r="BF62" s="9"/>
      <c r="BG62" s="9"/>
      <c r="BH62" s="9"/>
      <c r="BI62" s="9">
        <f>SUM(M62,N62,Q62,R62,S62,T62,U62,V62,W62,X62,Y62,Z62,AA62,AB62,AC62,AD62,AE62,AF62,AG62,AH62,AI62,AJ62,AK62,AL62,AM62,AN62,AO62,AP62,AQ62,AR62,AS62,AT62,AU62,AV62,AW62,AX62,AY62,AZ62,BA62,BB62,BC62,BD62,BE62,BF62,BG62,BH62)</f>
      </c>
      <c r="BJ62" s="9">
        <f>I62-BI62</f>
      </c>
      <c r="BK62" s="9">
        <f>BJ62-BL62-BM62-BN62-BO62</f>
      </c>
      <c r="BL62" s="9"/>
      <c r="BM62" s="9"/>
      <c r="BN62" s="9"/>
      <c r="BO62" s="9"/>
      <c r="BP62" s="8"/>
      <c r="BQ62" t="inlineStr" s="8">
        <is>
          <t>2022-04-05</t>
        </is>
      </c>
      <c r="BR62" t="inlineStr" s="8">
        <is>
          <t>2022-05-21</t>
        </is>
      </c>
      <c r="BS62" t="inlineStr" s="8">
        <is>
          <t>2023-04-08</t>
        </is>
      </c>
      <c r="BT62" s="8"/>
      <c r="BU62" s="8"/>
      <c r="BV62" s="8"/>
      <c r="BW62" s="8"/>
      <c r="BX62" s="8"/>
      <c r="BY62" s="8"/>
      <c r="BZ62" s="9"/>
      <c r="CA62" s="9"/>
      <c r="CB62" t="inlineStr" s="8">
        <is>
          <t>3166360653</t>
        </is>
      </c>
      <c r="CC62" t="inlineStr" s="8">
        <is>
          <t>sinclair.walter.74821964@example.com</t>
        </is>
      </c>
      <c r="CD62" t="inlineStr" s="8">
        <is>
          <t>PANTHER PINK CEL: 3166361771</t>
        </is>
      </c>
      <c r="CE62" t="inlineStr" s="8">
        <is>
          <t>NC5306 NOV.11/22 CESION DE WALTER SINCLAIR A SUMMER TARGARYEN *ANTIC $20.000.000 *ARRAS $4'640</t>
        </is>
      </c>
    </row>
    <row r="63" ht="13.7" customHeight="1">
      <c r="A63" t="inlineStr" s="8">
        <is>
          <t>60007919095998</t>
        </is>
      </c>
      <c r="B63" s="8"/>
      <c r="C63" t="inlineStr" s="8">
        <is>
          <t>303</t>
        </is>
      </c>
      <c r="D63" s="9">
        <v>55.20</v>
      </c>
      <c r="E63" t="inlineStr" s="8">
        <is>
          <t>74824770</t>
        </is>
      </c>
      <c r="F63" t="inlineStr" s="8">
        <is>
          <t>TARGARYEN SUMMER</t>
        </is>
      </c>
      <c r="G63" t="inlineStr" s="8">
        <is>
          <t>*CESION/ARRAS</t>
        </is>
      </c>
      <c r="H63" t="inlineStr" s="8">
        <is>
          <t>BBVA</t>
        </is>
      </c>
      <c r="I63" s="9">
        <v>192172500.00</v>
      </c>
      <c r="J63" t="inlineStr" s="8">
        <is>
          <t>NC5306CESION - NCR5315CR</t>
        </is>
      </c>
      <c r="K63" t="inlineStr" s="8">
        <is>
          <t>NCR5309 - NCR5313 - NCR5312 - NCR5314 - NCR5310 - NCR5311 - NCR5308 - NCR5307</t>
        </is>
      </c>
      <c r="L63" t="inlineStr" s="8">
        <is>
          <t>2022-11-11</t>
        </is>
      </c>
      <c r="M63" s="9"/>
      <c r="N63" s="9">
        <v>20000000</v>
      </c>
      <c r="O63" t="inlineStr" s="8">
        <is>
          <t>SEP.26/22</t>
        </is>
      </c>
      <c r="P63" s="8"/>
      <c r="Q63" s="10"/>
      <c r="R63" s="10"/>
      <c r="S63" s="10"/>
      <c r="T63" s="10">
        <f>13718000+750000</f>
      </c>
      <c r="U63" s="10"/>
      <c r="V63" s="10">
        <v>8359000</v>
      </c>
      <c r="W63" s="10">
        <v>17040000</v>
      </c>
      <c r="X63" s="10"/>
      <c r="Y63" s="10">
        <v>8254500</v>
      </c>
      <c r="Z63" s="10"/>
      <c r="AA63" s="10">
        <v>44369000</v>
      </c>
      <c r="AB63" s="10">
        <f>107000+14575000</f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>
        <v>65000000</v>
      </c>
      <c r="BF63" s="9"/>
      <c r="BG63" s="9"/>
      <c r="BH63" s="9"/>
      <c r="BI63" s="9">
        <f>SUM(M63,N63,Q63,R63,S63,T63,U63,V63,W63,X63,Y63,Z63,AA63,AB63,AC63,AD63,AE63,AF63,AG63,AH63,AI63,AJ63,AK63,AL63,AM63,AN63,AO63,AP63,AQ63,AR63,AS63,AT63,AU63,AV63,AW63,AX63,AY63,AZ63,BA63,BB63,BC63,BD63,BE63,BF63,BG63,BH63)</f>
      </c>
      <c r="BJ63" s="9">
        <f>I63-BI63</f>
      </c>
      <c r="BK63" s="9">
        <f>BJ63-BL63-BM63-BN63-BO63</f>
      </c>
      <c r="BL63" s="9"/>
      <c r="BM63" s="9"/>
      <c r="BN63" s="9"/>
      <c r="BO63" s="9"/>
      <c r="BP63" s="8"/>
      <c r="BQ63" t="inlineStr" s="8">
        <is>
          <t>2022-04-05</t>
        </is>
      </c>
      <c r="BR63" t="inlineStr" s="8">
        <is>
          <t>2022-05-21</t>
        </is>
      </c>
      <c r="BS63" t="inlineStr" s="8">
        <is>
          <t>2023-04-08</t>
        </is>
      </c>
      <c r="BT63" s="8"/>
      <c r="BU63" s="8"/>
      <c r="BV63" s="8"/>
      <c r="BW63" s="8"/>
      <c r="BX63" s="8"/>
      <c r="BY63" s="8"/>
      <c r="BZ63" s="9"/>
      <c r="CA63" s="9"/>
      <c r="CB63" t="inlineStr" s="8">
        <is>
          <t>3166360922</t>
        </is>
      </c>
      <c r="CC63" t="inlineStr" s="8">
        <is>
          <t>targaryen.summer.74824770@example.com</t>
        </is>
      </c>
      <c r="CD63" t="inlineStr" s="8">
        <is>
          <t>PANTHER PINK CEL: 3166361771</t>
        </is>
      </c>
      <c r="CE63" t="inlineStr" s="8">
        <is>
          <t>NC5306 NOV.11/22 CESION DE WALTER SINCLAIR A SUMMER TARGARYEN *ANTIC $20.000.000 *ARRAS $4'640</t>
        </is>
      </c>
    </row>
    <row r="64" ht="13.7" customHeight="1">
      <c r="A64" t="inlineStr" s="8">
        <is>
          <t>60007919097887</t>
        </is>
      </c>
      <c r="B64" s="8"/>
      <c r="C64" t="inlineStr" s="8">
        <is>
          <t>507</t>
        </is>
      </c>
      <c r="D64" s="9">
        <v>55.20</v>
      </c>
      <c r="E64" t="inlineStr" s="8">
        <is>
          <t>74971146</t>
        </is>
      </c>
      <c r="F64" t="inlineStr" s="8">
        <is>
          <t>GELLER JOHN</t>
        </is>
      </c>
      <c r="G64" t="inlineStr" s="8">
        <is>
          <t>*INCLUSION</t>
        </is>
      </c>
      <c r="H64" t="inlineStr" s="8">
        <is>
          <t>BANCO DE OCCIDENTE</t>
        </is>
      </c>
      <c r="I64" s="9">
        <v>192172500.00</v>
      </c>
      <c r="J64" s="8"/>
      <c r="K64" s="8"/>
      <c r="L64" t="inlineStr" s="8">
        <is>
          <t>2022-12-04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/>
      <c r="BF64" s="9"/>
      <c r="BG64" s="9"/>
      <c r="BH64" s="9"/>
      <c r="BI64" s="9">
        <f>SUM(M64,N64,Q64,R64,S64,T64,U64,V64,W64,X64,Y64,Z64,AA64,AB64,AC64,AD64,AE64,AF64,AG64,AH64,AI64,AJ64,AK64,AL64,AM64,AN64,AO64,AP64,AQ64,AR64,AS64,AT64,AU64,AV64,AW64,AX64,AY64,AZ64,BA64,BB64,BC64,BD64,BE64,BF64,BG64,BH64)</f>
      </c>
      <c r="BJ64" s="9">
        <f>I64-BI64</f>
      </c>
      <c r="BK64" s="9">
        <f>BJ64-BL64-BM64-BN64-BO64</f>
      </c>
      <c r="BL64" s="9"/>
      <c r="BM64" s="9"/>
      <c r="BN64" s="9"/>
      <c r="BO64" s="9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t="inlineStr" s="8">
        <is>
          <t>3166384766</t>
        </is>
      </c>
      <c r="CC64" t="inlineStr" s="8">
        <is>
          <t>geller.john.74971146@example.com</t>
        </is>
      </c>
      <c r="CD64" t="inlineStr" s="8">
        <is>
          <t>MOUSE MICKEY CEL: 3166385737</t>
        </is>
      </c>
      <c r="CE64" t="inlineStr" s="8">
        <is>
          <t>NC5519 DIC.4/22 INCLUSION DRACO STAR</t>
        </is>
      </c>
    </row>
    <row r="65" ht="13.7" customHeight="1">
      <c r="A65" t="inlineStr" s="8">
        <is>
          <t>60007919099295</t>
        </is>
      </c>
      <c r="B65" s="8"/>
      <c r="C65" t="inlineStr" s="8">
        <is>
          <t>705</t>
        </is>
      </c>
      <c r="D65" s="9">
        <v>55.20</v>
      </c>
      <c r="E65" t="inlineStr" s="8">
        <is>
          <t>75096168</t>
        </is>
      </c>
      <c r="F65" t="inlineStr" s="8">
        <is>
          <t>FRING JANE</t>
        </is>
      </c>
      <c r="G65" t="inlineStr" s="8">
        <is>
          <t>*INCLUSION</t>
        </is>
      </c>
      <c r="H65" t="inlineStr" s="8">
        <is>
          <t>BANCO DAVIVIENDA</t>
        </is>
      </c>
      <c r="I65" s="9">
        <v>192172500.00</v>
      </c>
      <c r="J65" s="8"/>
      <c r="K65" s="8"/>
      <c r="L65" t="inlineStr" s="8">
        <is>
          <t>2022-12-15</t>
        </is>
      </c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/>
      <c r="BF65" s="9"/>
      <c r="BG65" s="9"/>
      <c r="BH65" s="9"/>
      <c r="BI65" s="9">
        <f>SUM(M65,N65,Q65,R65,S65,T65,U65,V65,W65,X65,Y65,Z65,AA65,AB65,AC65,AD65,AE65,AF65,AG65,AH65,AI65,AJ65,AK65,AL65,AM65,AN65,AO65,AP65,AQ65,AR65,AS65,AT65,AU65,AV65,AW65,AX65,AY65,AZ65,BA65,BB65,BC65,BD65,BE65,BF65,BG65,BH65)</f>
      </c>
      <c r="BJ65" s="9">
        <f>I65-BI65</f>
      </c>
      <c r="BK65" s="9">
        <f>BJ65-BL65-BM65-BN65-BO65</f>
      </c>
      <c r="BL65" s="9"/>
      <c r="BM65" s="9"/>
      <c r="BN65" s="9"/>
      <c r="BO65" s="9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9"/>
      <c r="CA65" s="9"/>
      <c r="CB65" t="inlineStr" s="8">
        <is>
          <t>3166400473</t>
        </is>
      </c>
      <c r="CC65" t="inlineStr" s="8">
        <is>
          <t>fring.jane.75096168@example.com</t>
        </is>
      </c>
      <c r="CD65" t="inlineStr" s="8">
        <is>
          <t>FINN CEL: 3166401559</t>
        </is>
      </c>
      <c r="CE65" t="inlineStr" s="8">
        <is>
          <t>NC5670 DIC.15/22 INCLUSION SHELDON SNOW</t>
        </is>
      </c>
    </row>
    <row r="66" ht="13.7" customHeight="1">
      <c r="A66" t="inlineStr" s="8">
        <is>
          <t>60007919099480</t>
        </is>
      </c>
      <c r="B66" t="inlineStr" s="8">
        <is>
          <t>60007919099550</t>
        </is>
      </c>
      <c r="C66" t="inlineStr" s="8">
        <is>
          <t>706</t>
        </is>
      </c>
      <c r="D66" s="9">
        <v>55.20</v>
      </c>
      <c r="E66" t="inlineStr" s="8">
        <is>
          <t>75104761</t>
        </is>
      </c>
      <c r="F66" t="inlineStr" s="8">
        <is>
          <t>POTTER WILL</t>
        </is>
      </c>
      <c r="G66" t="inlineStr" s="8">
        <is>
          <t>*CESION/ARRAS</t>
        </is>
      </c>
      <c r="H66" t="inlineStr" s="8">
        <is>
          <t>BANCO DE OCCIDENTE</t>
        </is>
      </c>
      <c r="I66" s="9">
        <v>192172500.00</v>
      </c>
      <c r="J66" s="8"/>
      <c r="K66" s="8"/>
      <c r="L66" t="inlineStr" s="8">
        <is>
          <t>2023-01-13</t>
        </is>
      </c>
      <c r="M66" s="9"/>
      <c r="N66" s="9"/>
      <c r="O66" s="8"/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/>
      <c r="BF66" s="9"/>
      <c r="BG66" s="9"/>
      <c r="BH66" s="9"/>
      <c r="BI66" s="9">
        <f>SUM(M66,N66,Q66,R66,S66,T66,U66,V66,W66,X66,Y66,Z66,AA66,AB66,AC66,AD66,AE66,AF66,AG66,AH66,AI66,AJ66,AK66,AL66,AM66,AN66,AO66,AP66,AQ66,AR66,AS66,AT66,AU66,AV66,AW66,AX66,AY66,AZ66,BA66,BB66,BC66,BD66,BE66,BF66,BG66,BH66)</f>
      </c>
      <c r="BJ66" s="9">
        <f>I66-BI66</f>
      </c>
      <c r="BK66" s="9">
        <f>BJ66-BL66-BM66-BN66-BO66</f>
      </c>
      <c r="BL66" s="9"/>
      <c r="BM66" s="9"/>
      <c r="BN66" s="9"/>
      <c r="BO66" s="9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9"/>
      <c r="CA66" s="9"/>
      <c r="CB66" t="inlineStr" s="8">
        <is>
          <t>3166402408</t>
        </is>
      </c>
      <c r="CC66" t="inlineStr" s="8">
        <is>
          <t>potter.will.75104761@example.com</t>
        </is>
      </c>
      <c r="CD66" t="inlineStr" s="8">
        <is>
          <t>MOUSE MINNIE CEL: 3166402750</t>
        </is>
      </c>
      <c r="CE66" t="inlineStr" s="8">
        <is>
          <t>NC5681 ENE.13/23 CESION DE WILL POTTER A MIKE LANNISTER *ANTIC $12.000.000 *ARRAS $4'640</t>
        </is>
      </c>
    </row>
    <row r="67" ht="13.7" customHeight="1">
      <c r="A67" t="inlineStr" s="8">
        <is>
          <t>60007919099550</t>
        </is>
      </c>
      <c r="B67" s="8"/>
      <c r="C67" t="inlineStr" s="8">
        <is>
          <t>706</t>
        </is>
      </c>
      <c r="D67" s="9">
        <v>55.20</v>
      </c>
      <c r="E67" t="inlineStr" s="8">
        <is>
          <t>75105618</t>
        </is>
      </c>
      <c r="F67" t="inlineStr" s="8">
        <is>
          <t>LANNISTER MIKE</t>
        </is>
      </c>
      <c r="G67" t="inlineStr" s="8">
        <is>
          <t>*CESION/ARRAS</t>
        </is>
      </c>
      <c r="H67" t="inlineStr" s="8">
        <is>
          <t>BANCO DE OCCIDENTE</t>
        </is>
      </c>
      <c r="I67" s="9">
        <v>192172500.00</v>
      </c>
      <c r="J67" t="inlineStr" s="8">
        <is>
          <t>NC5681CESION - NCR5686CR</t>
        </is>
      </c>
      <c r="K67" t="inlineStr" s="8">
        <is>
          <t>NCR5684 - NCR5685 - NCR5682 - NCR5683</t>
        </is>
      </c>
      <c r="L67" t="inlineStr" s="8">
        <is>
          <t>2023-01-13</t>
        </is>
      </c>
      <c r="M67" s="9"/>
      <c r="N67" s="9">
        <v>12000000</v>
      </c>
      <c r="O67" t="inlineStr" s="8">
        <is>
          <t>AGO.19/22</t>
        </is>
      </c>
      <c r="P67" s="8"/>
      <c r="Q67" s="10"/>
      <c r="R67" s="10"/>
      <c r="S67" s="10"/>
      <c r="T67" s="10"/>
      <c r="U67" s="10"/>
      <c r="V67" s="10">
        <f>249000+1270000</f>
      </c>
      <c r="W67" s="10">
        <v>357000</v>
      </c>
      <c r="X67" s="10"/>
      <c r="Y67" s="10">
        <v>130000</v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>
        <v>80000000</v>
      </c>
      <c r="BF67" s="9"/>
      <c r="BG67" s="9"/>
      <c r="BH67" s="9"/>
      <c r="BI67" s="9">
        <f>SUM(M67,N67,Q67,R67,S67,T67,U67,V67,W67,X67,Y67,Z67,AA67,AB67,AC67,AD67,AE67,AF67,AG67,AH67,AI67,AJ67,AK67,AL67,AM67,AN67,AO67,AP67,AQ67,AR67,AS67,AT67,AU67,AV67,AW67,AX67,AY67,AZ67,BA67,BB67,BC67,BD67,BE67,BF67,BG67,BH67)</f>
      </c>
      <c r="BJ67" s="9">
        <f>I67-BI67</f>
      </c>
      <c r="BK67" s="9">
        <f>BJ67-BL67-BM67-BN67-BO67</f>
      </c>
      <c r="BL67" s="9"/>
      <c r="BM67" s="9"/>
      <c r="BN67" s="9"/>
      <c r="BO67" s="9"/>
      <c r="BP67" s="8"/>
      <c r="BQ67" t="inlineStr" s="8">
        <is>
          <t>2022-07-21</t>
        </is>
      </c>
      <c r="BR67" t="inlineStr" s="8">
        <is>
          <t>2022-08-16</t>
        </is>
      </c>
      <c r="BS67" s="8"/>
      <c r="BT67" s="8"/>
      <c r="BU67" s="8"/>
      <c r="BV67" s="8"/>
      <c r="BW67" s="8"/>
      <c r="BX67" s="8"/>
      <c r="BY67" s="8"/>
      <c r="BZ67" s="9"/>
      <c r="CA67" s="9"/>
      <c r="CB67" t="inlineStr" s="8">
        <is>
          <t>3166402447</t>
        </is>
      </c>
      <c r="CC67" t="inlineStr" s="8">
        <is>
          <t>lannister.mike.75105618@example.com</t>
        </is>
      </c>
      <c r="CD67" t="inlineStr" s="8">
        <is>
          <t>MOUSE MINNIE CEL: 3166402750</t>
        </is>
      </c>
      <c r="CE67" t="inlineStr" s="8">
        <is>
          <t>NC5681 ENE.13/23 CESION DE WILL POTTER A MIKE LANNISTER *ANTIC $12.000.000 *ARRAS $4'640</t>
        </is>
      </c>
    </row>
    <row r="68" ht="13.7" customHeight="1">
      <c r="A68" t="inlineStr" s="8">
        <is>
          <t>60007919096281</t>
        </is>
      </c>
      <c r="B68" t="inlineStr" s="8">
        <is>
          <t>60007919096287</t>
        </is>
      </c>
      <c r="C68" t="inlineStr" s="8">
        <is>
          <t>305</t>
        </is>
      </c>
      <c r="D68" s="9">
        <v>55.20</v>
      </c>
      <c r="E68" t="inlineStr" s="8">
        <is>
          <t>74836703</t>
        </is>
      </c>
      <c r="F68" t="inlineStr" s="8">
        <is>
          <t>PINKMAN HARRY</t>
        </is>
      </c>
      <c r="G68" t="inlineStr" s="8">
        <is>
          <t>*CESION/ARRAS</t>
        </is>
      </c>
      <c r="H68" t="inlineStr" s="8">
        <is>
          <t>BBVA</t>
        </is>
      </c>
      <c r="I68" s="9">
        <v>192172500.00</v>
      </c>
      <c r="J68" s="8"/>
      <c r="K68" s="8"/>
      <c r="L68" t="inlineStr" s="8">
        <is>
          <t>2023-06-22</t>
        </is>
      </c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/>
      <c r="BF68" s="9"/>
      <c r="BG68" s="9"/>
      <c r="BH68" s="9"/>
      <c r="BI68" s="9">
        <f>SUM(M68,N68,Q68,R68,S68,T68,U68,V68,W68,X68,Y68,Z68,AA68,AB68,AC68,AD68,AE68,AF68,AG68,AH68,AI68,AJ68,AK68,AL68,AM68,AN68,AO68,AP68,AQ68,AR68,AS68,AT68,AU68,AV68,AW68,AX68,AY68,AZ68,BA68,BB68,BC68,BD68,BE68,BF68,BG68,BH68)</f>
      </c>
      <c r="BJ68" s="9">
        <f>I68-BI68</f>
      </c>
      <c r="BK68" s="9">
        <f>BJ68-BL68-BM68-BN68-BO68</f>
      </c>
      <c r="BL68" s="9"/>
      <c r="BM68" s="9"/>
      <c r="BN68" s="9"/>
      <c r="BO68" s="9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9"/>
      <c r="CA68" s="9"/>
      <c r="CB68" t="inlineStr" s="8">
        <is>
          <t>3166363196</t>
        </is>
      </c>
      <c r="CC68" t="inlineStr" s="8">
        <is>
          <t>pinkman.harry.74836703@example.com</t>
        </is>
      </c>
      <c r="CD68" t="inlineStr" s="8">
        <is>
          <t>PANTHER PINK CEL: 3166363823</t>
        </is>
      </c>
      <c r="CE68" t="inlineStr" s="8">
        <is>
          <t>NC5324 JUN.22/23 CESION DE HARRY PINKMAN/DWIGHT JANE A RICK GELLER *ANTIC $25.000.000 *ARRAS $4'640</t>
        </is>
      </c>
    </row>
    <row r="69" ht="13.7" customHeight="1">
      <c r="A69" t="inlineStr" s="8">
        <is>
          <t>60007919096287</t>
        </is>
      </c>
      <c r="B69" s="8"/>
      <c r="C69" t="inlineStr" s="8">
        <is>
          <t>305</t>
        </is>
      </c>
      <c r="D69" s="9">
        <v>55.20</v>
      </c>
      <c r="E69" t="inlineStr" s="8">
        <is>
          <t>74844068</t>
        </is>
      </c>
      <c r="F69" t="inlineStr" s="8">
        <is>
          <t>GELLER RICK</t>
        </is>
      </c>
      <c r="G69" t="inlineStr" s="8">
        <is>
          <t>*CESION/ARRAS</t>
        </is>
      </c>
      <c r="H69" t="inlineStr" s="8">
        <is>
          <t>BBVA</t>
        </is>
      </c>
      <c r="I69" s="9">
        <v>192172500.00</v>
      </c>
      <c r="J69" t="inlineStr" s="8">
        <is>
          <t>NCR5328 - NCR5326 - NCR5325 - NCR5331 - NCR5332 - NC5324CESION - NCR5333CR</t>
        </is>
      </c>
      <c r="K69" t="inlineStr" s="8">
        <is>
          <t>NCR5329 - NCR5327 - NCR5330</t>
        </is>
      </c>
      <c r="L69" t="inlineStr" s="8">
        <is>
          <t>2023-06-22</t>
        </is>
      </c>
      <c r="M69" s="9">
        <f>4433000+3463000+13621000+1293000+5863500</f>
      </c>
      <c r="N69" s="9">
        <v>25000000</v>
      </c>
      <c r="O69" t="inlineStr" s="8">
        <is>
          <t>JUL.21/23</t>
        </is>
      </c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>
        <v>7803000</v>
      </c>
      <c r="AH69" s="10"/>
      <c r="AI69" s="10"/>
      <c r="AJ69" s="10">
        <v>2770000</v>
      </c>
      <c r="AK69" s="10"/>
      <c r="AL69" s="10"/>
      <c r="AM69" s="10">
        <v>6926000</v>
      </c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>
        <v>95000000</v>
      </c>
      <c r="BF69" s="9"/>
      <c r="BG69" s="9"/>
      <c r="BH69" s="9"/>
      <c r="BI69" s="9">
        <f>SUM(M69,N69,Q69,R69,S69,T69,U69,V69,W69,X69,Y69,Z69,AA69,AB69,AC69,AD69,AE69,AF69,AG69,AH69,AI69,AJ69,AK69,AL69,AM69,AN69,AO69,AP69,AQ69,AR69,AS69,AT69,AU69,AV69,AW69,AX69,AY69,AZ69,BA69,BB69,BC69,BD69,BE69,BF69,BG69,BH69)</f>
      </c>
      <c r="BJ69" s="9">
        <f>I69-BI69</f>
      </c>
      <c r="BK69" s="9">
        <f>BJ69-BL69-BM69-BN69-BO69</f>
      </c>
      <c r="BL69" s="9"/>
      <c r="BM69" s="9"/>
      <c r="BN69" s="9"/>
      <c r="BO69" s="9"/>
      <c r="BP69" s="8"/>
      <c r="BQ69" t="inlineStr" s="8">
        <is>
          <t>2023-02-17</t>
        </is>
      </c>
      <c r="BR69" t="inlineStr" s="8">
        <is>
          <t>2023-03-12</t>
        </is>
      </c>
      <c r="BS69" t="inlineStr" s="8">
        <is>
          <t>2024-02-27</t>
        </is>
      </c>
      <c r="BT69" s="8"/>
      <c r="BU69" s="8"/>
      <c r="BV69" s="8"/>
      <c r="BW69" s="8"/>
      <c r="BX69" s="8"/>
      <c r="BY69" s="8"/>
      <c r="BZ69" s="9"/>
      <c r="CA69" s="9"/>
      <c r="CB69" t="inlineStr" s="8">
        <is>
          <t>3166363626</t>
        </is>
      </c>
      <c r="CC69" t="inlineStr" s="8">
        <is>
          <t>geller.rick.74844068@example.com</t>
        </is>
      </c>
      <c r="CD69" t="inlineStr" s="8">
        <is>
          <t>PANTHER PINK CEL: 3166363823</t>
        </is>
      </c>
      <c r="CE69" t="inlineStr" s="8">
        <is>
          <t>NC5324 JUN.22/23 CESION DE HARRY PINKMAN/DWIGHT JANE A RICK GELLER *ANTIC $25.000.000 *ARRAS $4'640</t>
        </is>
      </c>
    </row>
    <row r="70" ht="13.7" customHeight="1">
      <c r="A70" t="inlineStr" s="8">
        <is>
          <t>60007919094849</t>
        </is>
      </c>
      <c r="B70" s="8"/>
      <c r="C70" t="inlineStr" s="8">
        <is>
          <t>103</t>
        </is>
      </c>
      <c r="D70" s="9">
        <v>55.20</v>
      </c>
      <c r="E70" t="inlineStr" s="8">
        <is>
          <t>74746265</t>
        </is>
      </c>
      <c r="F70" t="inlineStr" s="8">
        <is>
          <t>FOWLER LEONARD</t>
        </is>
      </c>
      <c r="G70" t="inlineStr" s="8">
        <is>
          <t>*INCLUSION</t>
        </is>
      </c>
      <c r="H70" t="inlineStr" s="8">
        <is>
          <t>BANCO DE BOGOTA</t>
        </is>
      </c>
      <c r="I70" s="9">
        <v>192172500.00</v>
      </c>
      <c r="J70" s="8"/>
      <c r="K70" s="8"/>
      <c r="L70" t="inlineStr" s="8">
        <is>
          <t>2023-09-16</t>
        </is>
      </c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/>
      <c r="BF70" s="9"/>
      <c r="BG70" s="9"/>
      <c r="BH70" s="9"/>
      <c r="BI70" s="9">
        <f>SUM(M70,N70,Q70,R70,S70,T70,U70,V70,W70,X70,Y70,Z70,AA70,AB70,AC70,AD70,AE70,AF70,AG70,AH70,AI70,AJ70,AK70,AL70,AM70,AN70,AO70,AP70,AQ70,AR70,AS70,AT70,AU70,AV70,AW70,AX70,AY70,AZ70,BA70,BB70,BC70,BD70,BE70,BF70,BG70,BH70)</f>
      </c>
      <c r="BJ70" s="9">
        <f>I70-BI70</f>
      </c>
      <c r="BK70" s="9">
        <f>BJ70-BL70-BM70-BN70-BO70</f>
      </c>
      <c r="BL70" s="9"/>
      <c r="BM70" s="9"/>
      <c r="BN70" s="9"/>
      <c r="BO70" s="9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t="inlineStr" s="8">
        <is>
          <t>3166346905</t>
        </is>
      </c>
      <c r="CC70" t="inlineStr" s="8">
        <is>
          <t>fowler.leonard.74746265@example.com</t>
        </is>
      </c>
      <c r="CD70" t="inlineStr" s="8">
        <is>
          <t>MOUSE MICKEY CEL: 3166347537</t>
        </is>
      </c>
      <c r="CE70" t="inlineStr" s="8">
        <is>
          <t>NC5159 SEP.16/23 INCLUSION DWIGHT PARKER</t>
        </is>
      </c>
    </row>
    <row r="71" ht="13.7" customHeight="1">
      <c r="A71" t="inlineStr" s="8">
        <is>
          <t>60007919097414</t>
        </is>
      </c>
      <c r="B71" s="8"/>
      <c r="C71" t="inlineStr" s="8">
        <is>
          <t>502</t>
        </is>
      </c>
      <c r="D71" s="9">
        <v>55.20</v>
      </c>
      <c r="E71" t="inlineStr" s="8">
        <is>
          <t>74908484</t>
        </is>
      </c>
      <c r="F71" t="inlineStr" s="8">
        <is>
          <t>KOOTHRAPPALI TYRION</t>
        </is>
      </c>
      <c r="G71" t="inlineStr" s="8">
        <is>
          <t>*INCLUSION</t>
        </is>
      </c>
      <c r="H71" t="inlineStr" s="8">
        <is>
          <t>BBVA</t>
        </is>
      </c>
      <c r="I71" s="9">
        <v>192172500.00</v>
      </c>
      <c r="J71" t="inlineStr" s="8">
        <is>
          <t>NCR5446 - NCR5443 - NCR5452 - NCR5444 - NCR5455 - NCR5445 - NCR5449 - NCR5456CR</t>
        </is>
      </c>
      <c r="K71" t="inlineStr" s="8">
        <is>
          <t>NCR5450 - NCR5448 - NCR5454 - NCR5447 - NCR5451 - NCR5453</t>
        </is>
      </c>
      <c r="L71" t="inlineStr" s="8">
        <is>
          <t>2023-12-10</t>
        </is>
      </c>
      <c r="M71" s="9">
        <f>100000+1968000+220000+587000+411000+74334+529000</f>
      </c>
      <c r="N71" s="9"/>
      <c r="O71" t="inlineStr" s="8">
        <is>
          <t>NOV.11/24</t>
        </is>
      </c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>
        <v>558000</v>
      </c>
      <c r="AS71" s="10">
        <v>2335000</v>
      </c>
      <c r="AT71" s="10"/>
      <c r="AU71" s="10"/>
      <c r="AV71" s="10"/>
      <c r="AW71" s="10">
        <v>764000</v>
      </c>
      <c r="AX71" s="10"/>
      <c r="AY71" s="10"/>
      <c r="AZ71" s="10">
        <f>573000+1733000</f>
      </c>
      <c r="BA71" s="10">
        <v>4831000</v>
      </c>
      <c r="BB71" s="10"/>
      <c r="BC71" s="10"/>
      <c r="BD71" s="10"/>
      <c r="BE71" s="9">
        <v>20341666</v>
      </c>
      <c r="BF71" s="9"/>
      <c r="BG71" s="9"/>
      <c r="BH71" s="9"/>
      <c r="BI71" s="9">
        <f>SUM(M71,N71,Q71,R71,S71,T71,U71,V71,W71,X71,Y71,Z71,AA71,AB71,AC71,AD71,AE71,AF71,AG71,AH71,AI71,AJ71,AK71,AL71,AM71,AN71,AO71,AP71,AQ71,AR71,AS71,AT71,AU71,AV71,AW71,AX71,AY71,AZ71,BA71,BB71,BC71,BD71,BE71,BF71,BG71,BH71)</f>
      </c>
      <c r="BJ71" s="9">
        <f>I71-BI71</f>
      </c>
      <c r="BK71" s="9">
        <f>BJ71-BL71-BM71-BN71-BO71</f>
      </c>
      <c r="BL71" s="9"/>
      <c r="BM71" s="9"/>
      <c r="BN71" s="9"/>
      <c r="BO71" s="9"/>
      <c r="BP71" s="8"/>
      <c r="BQ71" t="inlineStr" s="8">
        <is>
          <t>2023-10-20</t>
        </is>
      </c>
      <c r="BR71" t="inlineStr" s="8">
        <is>
          <t>2023-11-04</t>
        </is>
      </c>
      <c r="BS71" s="8"/>
      <c r="BT71" s="8"/>
      <c r="BU71" s="8"/>
      <c r="BV71" s="8"/>
      <c r="BW71" s="8"/>
      <c r="BX71" s="8"/>
      <c r="BY71" s="8"/>
      <c r="BZ71" s="9"/>
      <c r="CA71" s="9"/>
      <c r="CB71" t="inlineStr" s="8">
        <is>
          <t>3166376077</t>
        </is>
      </c>
      <c r="CC71" t="inlineStr" s="8">
        <is>
          <t>koothrappali.tyrion.74908484@example.com</t>
        </is>
      </c>
      <c r="CD71" t="inlineStr" s="8">
        <is>
          <t>JETSON GEORGE CEL: 3166376897</t>
        </is>
      </c>
      <c r="CE71" t="inlineStr" s="8">
        <is>
          <t>NC5442 DIC.10/23 INCLUSION DIANA BEESLY</t>
        </is>
      </c>
    </row>
    <row r="72" ht="13.7" customHeight="1">
      <c r="A72" t="inlineStr" s="8">
        <is>
          <t>60007919098274</t>
        </is>
      </c>
      <c r="B72" t="inlineStr" s="8">
        <is>
          <t>60007919098309</t>
        </is>
      </c>
      <c r="C72" t="inlineStr" s="8">
        <is>
          <t>603</t>
        </is>
      </c>
      <c r="D72" s="9">
        <v>55.20</v>
      </c>
      <c r="E72" t="inlineStr" s="8">
        <is>
          <t>75012317</t>
        </is>
      </c>
      <c r="F72" t="inlineStr" s="8">
        <is>
          <t>FRING CHANDLER</t>
        </is>
      </c>
      <c r="G72" t="inlineStr" s="8">
        <is>
          <t>*TRASLADO</t>
        </is>
      </c>
      <c r="H72" s="8"/>
      <c r="I72" s="9">
        <v>192172500.00</v>
      </c>
      <c r="J72" s="8"/>
      <c r="K72" s="8"/>
      <c r="L72" t="inlineStr" s="8">
        <is>
          <t>2024-04-18</t>
        </is>
      </c>
      <c r="M72" s="9"/>
      <c r="N72" s="9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/>
      <c r="BF72" s="9"/>
      <c r="BG72" s="9"/>
      <c r="BH72" s="9"/>
      <c r="BI72" s="9">
        <f>SUM(M72,N72,Q72,R72,S72,T72,U72,V72,W72,X72,Y72,Z72,AA72,AB72,AC72,AD72,AE72,AF72,AG72,AH72,AI72,AJ72,AK72,AL72,AM72,AN72,AO72,AP72,AQ72,AR72,AS72,AT72,AU72,AV72,AW72,AX72,AY72,AZ72,BA72,BB72,BC72,BD72,BE72,BF72,BG72,BH72)</f>
      </c>
      <c r="BJ72" s="9">
        <f>I72-BI72</f>
      </c>
      <c r="BK72" s="9">
        <f>BJ72-BL72-BM72-BN72-BO72</f>
      </c>
      <c r="BL72" s="9"/>
      <c r="BM72" s="9"/>
      <c r="BN72" s="9"/>
      <c r="BO72" s="9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t="inlineStr" s="8">
        <is>
          <t>3166388903</t>
        </is>
      </c>
      <c r="CC72" t="inlineStr" s="8">
        <is>
          <t>fring.chandler.75012317@example.com</t>
        </is>
      </c>
      <c r="CD72" t="inlineStr" s="8">
        <is>
          <t>FINN CEL: 3166389799</t>
        </is>
      </c>
      <c r="CE72" t="inlineStr" s="8">
        <is>
          <t>NC5548 ABR.18/24 TRASLADO DE CHANDLER FRING A JOHN SANCHEZ *ANTIC $18.000.000 *ARRAS $4'640</t>
        </is>
      </c>
    </row>
    <row r="73" ht="13.7" customHeight="1">
      <c r="A73" t="inlineStr" s="8">
        <is>
          <t>60007919098309</t>
        </is>
      </c>
      <c r="B73" s="8"/>
      <c r="C73" t="inlineStr" s="8">
        <is>
          <t>603</t>
        </is>
      </c>
      <c r="D73" s="9">
        <v>55.20</v>
      </c>
      <c r="E73" t="inlineStr" s="8">
        <is>
          <t>75016852</t>
        </is>
      </c>
      <c r="F73" t="inlineStr" s="8">
        <is>
          <t>SANCHEZ JOHN</t>
        </is>
      </c>
      <c r="G73" t="inlineStr" s="8">
        <is>
          <t>*TRASLADO</t>
        </is>
      </c>
      <c r="H73" s="8"/>
      <c r="I73" s="9">
        <v>192172500.00</v>
      </c>
      <c r="J73" t="inlineStr" s="8">
        <is>
          <t>NC5548TRASLADO - NCR5552 - NCR5549 - NCR5551 - NCR5550</t>
        </is>
      </c>
      <c r="K73" s="8"/>
      <c r="L73" t="inlineStr" s="8">
        <is>
          <t>2024-04-18</t>
        </is>
      </c>
      <c r="M73" s="9">
        <f>15715500+39647000+51181000+37629000</f>
      </c>
      <c r="N73" s="9">
        <v>18000000</v>
      </c>
      <c r="O73" s="8"/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9"/>
      <c r="BF73" s="9"/>
      <c r="BG73" s="9"/>
      <c r="BH73" s="9"/>
      <c r="BI73" s="9">
        <f>SUM(M73,N73,Q73,R73,S73,T73,U73,V73,W73,X73,Y73,Z73,AA73,AB73,AC73,AD73,AE73,AF73,AG73,AH73,AI73,AJ73,AK73,AL73,AM73,AN73,AO73,AP73,AQ73,AR73,AS73,AT73,AU73,AV73,AW73,AX73,AY73,AZ73,BA73,BB73,BC73,BD73,BE73,BF73,BG73,BH73)</f>
      </c>
      <c r="BJ73" s="9">
        <f>I73-BI73</f>
      </c>
      <c r="BK73" s="9">
        <f>BJ73-BL73-BM73-BN73-BO73</f>
      </c>
      <c r="BL73" s="9"/>
      <c r="BM73" s="9"/>
      <c r="BN73" s="9"/>
      <c r="BO73" s="9"/>
      <c r="BP73" s="8"/>
      <c r="BQ73" t="inlineStr" s="8">
        <is>
          <t>2023-06-26</t>
        </is>
      </c>
      <c r="BR73" t="inlineStr" s="8">
        <is>
          <t>2023-09-25</t>
        </is>
      </c>
      <c r="BS73" t="inlineStr" s="8">
        <is>
          <t>2024-09-01</t>
        </is>
      </c>
      <c r="BT73" s="8"/>
      <c r="BU73" s="8"/>
      <c r="BV73" s="8"/>
      <c r="BW73" s="8"/>
      <c r="BX73" s="8"/>
      <c r="BY73" s="8"/>
      <c r="BZ73" s="9"/>
      <c r="CA73" s="9"/>
      <c r="CB73" t="inlineStr" s="8">
        <is>
          <t>3166389591</t>
        </is>
      </c>
      <c r="CC73" t="inlineStr" s="8">
        <is>
          <t>sanchez.john.75016852@example.com</t>
        </is>
      </c>
      <c r="CD73" t="inlineStr" s="8">
        <is>
          <t>FINN CEL: 3166389799</t>
        </is>
      </c>
      <c r="CE73" t="inlineStr" s="8">
        <is>
          <t>NC5548 ABR.18/24 TRASLADO DE CHANDLER FRING A JOHN SANCHEZ *ANTIC $18.000.000 *ARRAS $4'640</t>
        </is>
      </c>
    </row>
    <row r="74" ht="13.7" customHeight="1">
      <c r="A74" t="inlineStr" s="8">
        <is>
          <t>60007919098163</t>
        </is>
      </c>
      <c r="B74" s="8"/>
      <c r="C74" t="inlineStr" s="8">
        <is>
          <t>602</t>
        </is>
      </c>
      <c r="D74" s="9">
        <v>55.20</v>
      </c>
      <c r="E74" t="inlineStr" s="8">
        <is>
          <t>74986209</t>
        </is>
      </c>
      <c r="F74" t="inlineStr" s="8">
        <is>
          <t>PINKMAN MAX</t>
        </is>
      </c>
      <c r="G74" t="inlineStr" s="8">
        <is>
          <t>*TRASLADO</t>
        </is>
      </c>
      <c r="H74" t="inlineStr" s="8">
        <is>
          <t>BANCO DE OCCIDENTE</t>
        </is>
      </c>
      <c r="I74" s="9">
        <v>192172500.00</v>
      </c>
      <c r="J74" s="8"/>
      <c r="K74" s="8"/>
      <c r="L74" t="inlineStr" s="8">
        <is>
          <t>2024-07-23</t>
        </is>
      </c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/>
      <c r="BF74" s="9"/>
      <c r="BG74" s="9"/>
      <c r="BH74" s="9"/>
      <c r="BI74" s="9">
        <f>SUM(M74,N74,Q74,R74,S74,T74,U74,V74,W74,X74,Y74,Z74,AA74,AB74,AC74,AD74,AE74,AF74,AG74,AH74,AI74,AJ74,AK74,AL74,AM74,AN74,AO74,AP74,AQ74,AR74,AS74,AT74,AU74,AV74,AW74,AX74,AY74,AZ74,BA74,BB74,BC74,BD74,BE74,BF74,BG74,BH74)</f>
      </c>
      <c r="BJ74" s="9">
        <f>I74-BI74</f>
      </c>
      <c r="BK74" s="9">
        <f>BJ74-BL74-BM74-BN74-BO74</f>
      </c>
      <c r="BL74" s="9"/>
      <c r="BM74" s="9"/>
      <c r="BN74" s="9"/>
      <c r="BO74" s="9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9"/>
      <c r="CA74" s="9"/>
      <c r="CB74" t="inlineStr" s="8">
        <is>
          <t>3166386419</t>
        </is>
      </c>
      <c r="CC74" t="inlineStr" s="8">
        <is>
          <t>pinkman.max.74986209@example.com</t>
        </is>
      </c>
      <c r="CD74" t="inlineStr" s="8">
        <is>
          <t>MOUSE MICKEY CEL: 3166388186</t>
        </is>
      </c>
      <c r="CE74" t="inlineStr" s="8">
        <is>
          <t>NC5536 JUL.23/24 TRASLADO DE MAX PINKMAN A HARRY KENOBI/DAENERYS ROGERS *ANTIC $15.000.000 *ARRAS $4'640</t>
        </is>
      </c>
    </row>
    <row r="75" ht="13.7" customHeight="1">
      <c r="A75" t="inlineStr" s="8">
        <is>
          <t>60007919097793</t>
        </is>
      </c>
      <c r="B75" t="inlineStr" s="8">
        <is>
          <t>60007919097804</t>
        </is>
      </c>
      <c r="C75" t="inlineStr" s="8">
        <is>
          <t>505</t>
        </is>
      </c>
      <c r="D75" s="9">
        <v>55.20</v>
      </c>
      <c r="E75" t="inlineStr" s="8">
        <is>
          <t>74953535</t>
        </is>
      </c>
      <c r="F75" t="inlineStr" s="8">
        <is>
          <t>GREEN ROSS</t>
        </is>
      </c>
      <c r="G75" t="inlineStr" s="8">
        <is>
          <t>*CESION/ARRAS</t>
        </is>
      </c>
      <c r="H75" t="inlineStr" s="8">
        <is>
          <t>BANCOLOMBIA</t>
        </is>
      </c>
      <c r="I75" s="9">
        <v>192172500.00</v>
      </c>
      <c r="J75" s="8"/>
      <c r="K75" s="8"/>
      <c r="L75" t="inlineStr" s="8">
        <is>
          <t>2024-09-16</t>
        </is>
      </c>
      <c r="M75" s="9"/>
      <c r="N75" s="9"/>
      <c r="O75" s="8"/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/>
      <c r="BF75" s="9"/>
      <c r="BG75" s="9"/>
      <c r="BH75" s="9"/>
      <c r="BI75" s="9">
        <f>SUM(M75,N75,Q75,R75,S75,T75,U75,V75,W75,X75,Y75,Z75,AA75,AB75,AC75,AD75,AE75,AF75,AG75,AH75,AI75,AJ75,AK75,AL75,AM75,AN75,AO75,AP75,AQ75,AR75,AS75,AT75,AU75,AV75,AW75,AX75,AY75,AZ75,BA75,BB75,BC75,BD75,BE75,BF75,BG75,BH75)</f>
      </c>
      <c r="BJ75" s="9">
        <f>I75-BI75</f>
      </c>
      <c r="BK75" s="9">
        <f>BJ75-BL75-BM75-BN75-BO75</f>
      </c>
      <c r="BL75" s="9"/>
      <c r="BM75" s="9"/>
      <c r="BN75" s="9"/>
      <c r="BO75" s="9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9"/>
      <c r="CA75" s="9"/>
      <c r="CB75" t="inlineStr" s="8">
        <is>
          <t>3166381693</t>
        </is>
      </c>
      <c r="CC75" t="inlineStr" s="8">
        <is>
          <t>green.ross.74953535@example.com</t>
        </is>
      </c>
      <c r="CD75" t="inlineStr" s="8">
        <is>
          <t>PANTHER PINK CEL: 3166382895</t>
        </is>
      </c>
      <c r="CE75" t="inlineStr" s="8">
        <is>
          <t>NC5493 SEP.16/24 CESION DE ROSS GREEN A SQUIDWARD PINKMAN *ANTIC $18.000.000 *ARRAS $4'640</t>
        </is>
      </c>
    </row>
    <row r="76" ht="13.7" customHeight="1">
      <c r="A76" t="inlineStr" s="8">
        <is>
          <t>60007919097804</t>
        </is>
      </c>
      <c r="B76" s="8"/>
      <c r="C76" t="inlineStr" s="8">
        <is>
          <t>505</t>
        </is>
      </c>
      <c r="D76" s="9">
        <v>55.20</v>
      </c>
      <c r="E76" t="inlineStr" s="8">
        <is>
          <t>74956704</t>
        </is>
      </c>
      <c r="F76" t="inlineStr" s="8">
        <is>
          <t>PINKMAN SQUIDWARD</t>
        </is>
      </c>
      <c r="G76" t="inlineStr" s="8">
        <is>
          <t>*CESION/ARRAS</t>
        </is>
      </c>
      <c r="H76" t="inlineStr" s="8">
        <is>
          <t>BANCOLOMBIA</t>
        </is>
      </c>
      <c r="I76" s="9">
        <v>192172500.00</v>
      </c>
      <c r="J76" t="inlineStr" s="8">
        <is>
          <t>NC5493CESION - NCR5494 - NCR5496 - NCR5501 - NCR5502 - NCR5503 - NCR5499 - NCR5504CR</t>
        </is>
      </c>
      <c r="K76" t="inlineStr" s="8">
        <is>
          <t>NCR5495 - NCR5498 - NCR5500 - NCR5497</t>
        </is>
      </c>
      <c r="L76" t="inlineStr" s="8">
        <is>
          <t>2024-09-16</t>
        </is>
      </c>
      <c r="M76" s="9">
        <f>451000+3807000+2405000+2705000+2204000+6112000</f>
      </c>
      <c r="N76" s="9">
        <v>18000000</v>
      </c>
      <c r="O76" t="inlineStr" s="8">
        <is>
          <t>FEB.13/24</t>
        </is>
      </c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>
        <f>9118000+4659000</f>
      </c>
      <c r="AP76" s="10">
        <v>8667000</v>
      </c>
      <c r="AQ76" s="10"/>
      <c r="AR76" s="10"/>
      <c r="AS76" s="10"/>
      <c r="AT76" s="10">
        <v>9969000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>
        <v>65000000</v>
      </c>
      <c r="BF76" s="9"/>
      <c r="BG76" s="9"/>
      <c r="BH76" s="9"/>
      <c r="BI76" s="9">
        <f>SUM(M76,N76,Q76,R76,S76,T76,U76,V76,W76,X76,Y76,Z76,AA76,AB76,AC76,AD76,AE76,AF76,AG76,AH76,AI76,AJ76,AK76,AL76,AM76,AN76,AO76,AP76,AQ76,AR76,AS76,AT76,AU76,AV76,AW76,AX76,AY76,AZ76,BA76,BB76,BC76,BD76,BE76,BF76,BG76,BH76)</f>
      </c>
      <c r="BJ76" s="9">
        <f>I76-BI76</f>
      </c>
      <c r="BK76" s="9">
        <f>BJ76-BL76-BM76-BN76-BO76</f>
      </c>
      <c r="BL76" s="9"/>
      <c r="BM76" s="9"/>
      <c r="BN76" s="9"/>
      <c r="BO76" s="9"/>
      <c r="BP76" s="8"/>
      <c r="BQ76" t="inlineStr" s="8">
        <is>
          <t>2023-11-26</t>
        </is>
      </c>
      <c r="BR76" t="inlineStr" s="8">
        <is>
          <t>2024-01-26</t>
        </is>
      </c>
      <c r="BS76" s="8"/>
      <c r="BT76" s="8"/>
      <c r="BU76" s="8"/>
      <c r="BV76" s="8"/>
      <c r="BW76" s="8"/>
      <c r="BX76" s="8"/>
      <c r="BY76" s="8"/>
      <c r="BZ76" s="9"/>
      <c r="CA76" s="9"/>
      <c r="CB76" t="inlineStr" s="8">
        <is>
          <t>3166382147</t>
        </is>
      </c>
      <c r="CC76" t="inlineStr" s="8">
        <is>
          <t>pinkman.squidward.74956704@example.com</t>
        </is>
      </c>
      <c r="CD76" t="inlineStr" s="8">
        <is>
          <t>PANTHER PINK CEL: 3166382895</t>
        </is>
      </c>
      <c r="CE76" t="inlineStr" s="8">
        <is>
          <t>NC5493 SEP.16/24 CESION DE ROSS GREEN A SQUIDWARD PINKMAN *ANTIC $18.000.000 *ARRAS $4'640</t>
        </is>
      </c>
    </row>
    <row r="77" ht="13.7" customHeight="1">
      <c r="A77" t="inlineStr" s="8">
        <is>
          <t>60007919099061</t>
        </is>
      </c>
      <c r="B77" s="8"/>
      <c r="C77" t="inlineStr" s="8">
        <is>
          <t>702</t>
        </is>
      </c>
      <c r="D77" s="9">
        <v>55.20</v>
      </c>
      <c r="E77" t="inlineStr" s="8">
        <is>
          <t>75072377</t>
        </is>
      </c>
      <c r="F77" t="inlineStr" s="8">
        <is>
          <t>COOPER STEVE</t>
        </is>
      </c>
      <c r="G77" t="inlineStr" s="8">
        <is>
          <t>*INCLUSION</t>
        </is>
      </c>
      <c r="H77" t="inlineStr" s="8">
        <is>
          <t>BANCOLOMBIA</t>
        </is>
      </c>
      <c r="I77" s="9">
        <v>192172500.00</v>
      </c>
      <c r="J77" t="inlineStr" s="8">
        <is>
          <t>NCR5640CR</t>
        </is>
      </c>
      <c r="K77" t="inlineStr" s="8">
        <is>
          <t>NCR5639 - NCR5637 - NCR5636 - NCR5638</t>
        </is>
      </c>
      <c r="L77" t="inlineStr" s="8">
        <is>
          <t>2024-10-15</t>
        </is>
      </c>
      <c r="M77" s="9"/>
      <c r="N77" s="9"/>
      <c r="O77" t="inlineStr" s="8">
        <is>
          <t>AGO.18/24</t>
        </is>
      </c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>
        <f>31693000+6564000+4126000</f>
      </c>
      <c r="AU77" s="10"/>
      <c r="AV77" s="10"/>
      <c r="AW77" s="10"/>
      <c r="AX77" s="10"/>
      <c r="AY77" s="10"/>
      <c r="AZ77" s="10"/>
      <c r="BA77" s="10"/>
      <c r="BB77" s="10"/>
      <c r="BC77" s="10">
        <v>20127000</v>
      </c>
      <c r="BD77" s="10"/>
      <c r="BE77" s="9">
        <v>80000000</v>
      </c>
      <c r="BF77" s="9"/>
      <c r="BG77" s="9"/>
      <c r="BH77" s="9"/>
      <c r="BI77" s="9">
        <f>SUM(M77,N77,Q77,R77,S77,T77,U77,V77,W77,X77,Y77,Z77,AA77,AB77,AC77,AD77,AE77,AF77,AG77,AH77,AI77,AJ77,AK77,AL77,AM77,AN77,AO77,AP77,AQ77,AR77,AS77,AT77,AU77,AV77,AW77,AX77,AY77,AZ77,BA77,BB77,BC77,BD77,BE77,BF77,BG77,BH77)</f>
      </c>
      <c r="BJ77" s="9">
        <f>I77-BI77</f>
      </c>
      <c r="BK77" s="9">
        <f>BJ77-BL77-BM77-BN77-BO77</f>
      </c>
      <c r="BL77" s="9"/>
      <c r="BM77" s="9"/>
      <c r="BN77" s="9"/>
      <c r="BO77" s="9"/>
      <c r="BP77" s="8"/>
      <c r="BQ77" t="inlineStr" s="8">
        <is>
          <t>2024-02-03</t>
        </is>
      </c>
      <c r="BR77" t="inlineStr" s="8">
        <is>
          <t>2024-04-15</t>
        </is>
      </c>
      <c r="BS77" s="8"/>
      <c r="BT77" s="8"/>
      <c r="BU77" s="8"/>
      <c r="BV77" s="8"/>
      <c r="BW77" s="8"/>
      <c r="BX77" s="8"/>
      <c r="BY77" s="8"/>
      <c r="BZ77" s="9"/>
      <c r="CA77" s="9"/>
      <c r="CB77" t="inlineStr" s="8">
        <is>
          <t>3166397106</t>
        </is>
      </c>
      <c r="CC77" t="inlineStr" s="8">
        <is>
          <t>cooper.steve.75072377@example.com</t>
        </is>
      </c>
      <c r="CD77" t="inlineStr" s="8">
        <is>
          <t>FLINTSTONE FRED CEL: 3166398379</t>
        </is>
      </c>
      <c r="CE77" t="inlineStr" s="8">
        <is>
          <t>NC5635 OCT.15/24 INCLUSION HARRY SOLO</t>
        </is>
      </c>
    </row>
    <row r="78" ht="13.7" customHeight="1">
      <c r="A78" t="inlineStr" s="8">
        <is>
          <t>60007919097053</t>
        </is>
      </c>
      <c r="B78" t="inlineStr" s="8">
        <is>
          <t>60007919097143</t>
        </is>
      </c>
      <c r="C78" t="inlineStr" s="8">
        <is>
          <t>406</t>
        </is>
      </c>
      <c r="D78" s="9">
        <v>55.20</v>
      </c>
      <c r="E78" t="inlineStr" s="8">
        <is>
          <t>74885111</t>
        </is>
      </c>
      <c r="F78" t="inlineStr" s="8">
        <is>
          <t>SQUAREPANTS AHSOKA</t>
        </is>
      </c>
      <c r="G78" t="inlineStr" s="8">
        <is>
          <t>*TRASLADO</t>
        </is>
      </c>
      <c r="H78" t="inlineStr" s="8">
        <is>
          <t>BANCO DAVIVIENDA</t>
        </is>
      </c>
      <c r="I78" s="9">
        <v>192172500.00</v>
      </c>
      <c r="J78" s="8"/>
      <c r="K78" s="8"/>
      <c r="L78" t="inlineStr" s="8">
        <is>
          <t>2025-01-22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/>
      <c r="BF78" s="9"/>
      <c r="BG78" s="9"/>
      <c r="BH78" s="9"/>
      <c r="BI78" s="9">
        <f>SUM(M78,N78,Q78,R78,S78,T78,U78,V78,W78,X78,Y78,Z78,AA78,AB78,AC78,AD78,AE78,AF78,AG78,AH78,AI78,AJ78,AK78,AL78,AM78,AN78,AO78,AP78,AQ78,AR78,AS78,AT78,AU78,AV78,AW78,AX78,AY78,AZ78,BA78,BB78,BC78,BD78,BE78,BF78,BG78,BH78)</f>
      </c>
      <c r="BJ78" s="9">
        <f>I78-BI78</f>
      </c>
      <c r="BK78" s="9">
        <f>BJ78-BL78-BM78-BN78-BO78</f>
      </c>
      <c r="BL78" s="9"/>
      <c r="BM78" s="9"/>
      <c r="BN78" s="9"/>
      <c r="BO78" s="9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t="inlineStr" s="8">
        <is>
          <t>3166372753</t>
        </is>
      </c>
      <c r="CC78" t="inlineStr" s="8">
        <is>
          <t>squarepants.ahsoka.74885111@example.com</t>
        </is>
      </c>
      <c r="CD78" t="inlineStr" s="8">
        <is>
          <t>JETSON GEORGE CEL: 3166373569</t>
        </is>
      </c>
      <c r="CE78" t="inlineStr" s="8">
        <is>
          <t>NC5405 ENE.22/25 TRASLADO DE AHSOKA SQUAREPANTS A EDDIE HOPPER *ANTIC $12.000.000 *ARRAS $4'640</t>
        </is>
      </c>
    </row>
    <row r="79" ht="13.7" customHeight="1">
      <c r="A79" t="inlineStr" s="8">
        <is>
          <t>60007919097143</t>
        </is>
      </c>
      <c r="B79" s="8"/>
      <c r="C79" t="inlineStr" s="8">
        <is>
          <t>406</t>
        </is>
      </c>
      <c r="D79" s="9">
        <v>55.20</v>
      </c>
      <c r="E79" t="inlineStr" s="8">
        <is>
          <t>74888108</t>
        </is>
      </c>
      <c r="F79" t="inlineStr" s="8">
        <is>
          <t>HOPPER EDDIE</t>
        </is>
      </c>
      <c r="G79" t="inlineStr" s="8">
        <is>
          <t>*TRASLADO</t>
        </is>
      </c>
      <c r="H79" t="inlineStr" s="8">
        <is>
          <t>BANCO DAVIVIENDA</t>
        </is>
      </c>
      <c r="I79" s="9">
        <v>192172500.00</v>
      </c>
      <c r="J79" t="inlineStr" s="8">
        <is>
          <t>NC5405TRASLADO - NCR5410 - NCR5415CR</t>
        </is>
      </c>
      <c r="K79" t="inlineStr" s="8">
        <is>
          <t>NCR5412 - NCR5407 - NCR5409 - NCR5414 - NCR5413 - NCR5408 - NCR5406 - NCR5411</t>
        </is>
      </c>
      <c r="L79" t="inlineStr" s="8">
        <is>
          <t>2025-01-22</t>
        </is>
      </c>
      <c r="M79" s="9">
        <v>7240000</v>
      </c>
      <c r="N79" s="9">
        <v>12000000</v>
      </c>
      <c r="O79" t="inlineStr" s="8">
        <is>
          <t>ENE.27/25</t>
        </is>
      </c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>
        <v>32962000</v>
      </c>
      <c r="AT79" s="10"/>
      <c r="AU79" s="10">
        <v>1959000</v>
      </c>
      <c r="AV79" s="10">
        <f>2384500+1278000+7580000</f>
      </c>
      <c r="AW79" s="10"/>
      <c r="AX79" s="10">
        <f>8091000+5877000</f>
      </c>
      <c r="AY79" s="10">
        <v>17801000</v>
      </c>
      <c r="AZ79" s="10"/>
      <c r="BA79" s="10"/>
      <c r="BB79" s="10"/>
      <c r="BC79" s="10"/>
      <c r="BD79" s="10"/>
      <c r="BE79" s="9">
        <v>80000000</v>
      </c>
      <c r="BF79" s="9"/>
      <c r="BG79" s="9"/>
      <c r="BH79" s="9"/>
      <c r="BI79" s="9">
        <f>SUM(M79,N79,Q79,R79,S79,T79,U79,V79,W79,X79,Y79,Z79,AA79,AB79,AC79,AD79,AE79,AF79,AG79,AH79,AI79,AJ79,AK79,AL79,AM79,AN79,AO79,AP79,AQ79,AR79,AS79,AT79,AU79,AV79,AW79,AX79,AY79,AZ79,BA79,BB79,BC79,BD79,BE79,BF79,BG79,BH79)</f>
      </c>
      <c r="BJ79" s="9">
        <f>I79-BI79</f>
      </c>
      <c r="BK79" s="9">
        <f>BJ79-BL79-BM79-BN79-BO79</f>
      </c>
      <c r="BL79" s="9"/>
      <c r="BM79" s="9"/>
      <c r="BN79" s="9"/>
      <c r="BO79" s="9"/>
      <c r="BP79" s="8"/>
      <c r="BQ79" t="inlineStr" s="8">
        <is>
          <t>2024-02-06</t>
        </is>
      </c>
      <c r="BR79" t="inlineStr" s="8">
        <is>
          <t>2024-06-04</t>
        </is>
      </c>
      <c r="BS79" s="8"/>
      <c r="BT79" s="8"/>
      <c r="BU79" s="8"/>
      <c r="BV79" s="8"/>
      <c r="BW79" s="8"/>
      <c r="BX79" s="8"/>
      <c r="BY79" s="8"/>
      <c r="BZ79" s="9"/>
      <c r="CA79" s="9"/>
      <c r="CB79" t="inlineStr" s="8">
        <is>
          <t>3166373215</t>
        </is>
      </c>
      <c r="CC79" t="inlineStr" s="8">
        <is>
          <t>hopper.eddie.74888108@example.com</t>
        </is>
      </c>
      <c r="CD79" t="inlineStr" s="8">
        <is>
          <t>JETSON GEORGE CEL: 3166373569</t>
        </is>
      </c>
      <c r="CE79" t="inlineStr" s="8">
        <is>
          <t>NC5405 ENE.22/25 TRASLADO DE AHSOKA SQUAREPANTS A EDDIE HOPPER *ANTIC $12.000.000 *ARRAS $4'640</t>
        </is>
      </c>
    </row>
    <row r="80" ht="13.7" customHeight="1">
      <c r="A80" t="inlineStr" s="8">
        <is>
          <t>60007919097657</t>
        </is>
      </c>
      <c r="B80" s="8"/>
      <c r="C80" t="inlineStr" s="8">
        <is>
          <t>504</t>
        </is>
      </c>
      <c r="D80" s="9">
        <v>55.20</v>
      </c>
      <c r="E80" t="inlineStr" s="8">
        <is>
          <t>74949314</t>
        </is>
      </c>
      <c r="F80" t="inlineStr" s="8">
        <is>
          <t>POTTER HERMIONE</t>
        </is>
      </c>
      <c r="G80" t="inlineStr" s="8">
        <is>
          <t>*DESISTIM/ARRAS</t>
        </is>
      </c>
      <c r="H80" s="8"/>
      <c r="I80" s="9">
        <v>192172500.00</v>
      </c>
      <c r="J80" s="8"/>
      <c r="K80" s="8"/>
      <c r="L80" s="8"/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9"/>
      <c r="BF80" s="9"/>
      <c r="BG80" s="9"/>
      <c r="BH80" s="9"/>
      <c r="BI80" s="9">
        <f>SUM(M80,N80,Q80,R80,S80,T80,U80,V80,W80,X80,Y80,Z80,AA80,AB80,AC80,AD80,AE80,AF80,AG80,AH80,AI80,AJ80,AK80,AL80,AM80,AN80,AO80,AP80,AQ80,AR80,AS80,AT80,AU80,AV80,AW80,AX80,AY80,AZ80,BA80,BB80,BC80,BD80,BE80,BF80,BG80,BH80)</f>
      </c>
      <c r="BJ80" s="9">
        <f>I80-BI80</f>
      </c>
      <c r="BK80" s="9">
        <f>BJ80-BL80-BM80-BN80-BO80</f>
      </c>
      <c r="BL80" s="9"/>
      <c r="BM80" s="9"/>
      <c r="BN80" s="9"/>
      <c r="BO80" s="9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9"/>
      <c r="CA80" s="9"/>
      <c r="CB80" t="inlineStr" s="8">
        <is>
          <t>3166380638</t>
        </is>
      </c>
      <c r="CC80" t="inlineStr" s="8">
        <is>
          <t>potter.hermione.74949314@example.com</t>
        </is>
      </c>
      <c r="CD80" t="inlineStr" s="8">
        <is>
          <t>JAKE CEL: 3166381576</t>
        </is>
      </c>
      <c r="CE80" t="inlineStr" s="8">
        <is>
          <t>NC5481 MAR.26/23 DESISTIMIENTO POR ARRAS HERMIONE POTTER</t>
        </is>
      </c>
    </row>
    <row r="81" ht="13.7" customHeight="1">
      <c r="A81" t="inlineStr" s="8">
        <is>
          <t>60007919095495</t>
        </is>
      </c>
      <c r="B81" s="8"/>
      <c r="C81" t="inlineStr" s="8">
        <is>
          <t>204</t>
        </is>
      </c>
      <c r="D81" s="9">
        <v>55.20</v>
      </c>
      <c r="E81" t="inlineStr" s="8">
        <is>
          <t>74795955</t>
        </is>
      </c>
      <c r="F81" t="inlineStr" s="8">
        <is>
          <t>WEASLEY ARYA</t>
        </is>
      </c>
      <c r="G81" t="inlineStr" s="8">
        <is>
          <t>*DESISTIM/ARRAS</t>
        </is>
      </c>
      <c r="H81" t="inlineStr" s="8">
        <is>
          <t>BANCO DE OCCIDENTE</t>
        </is>
      </c>
      <c r="I81" s="9">
        <v>192172500.00</v>
      </c>
      <c r="J81" s="8"/>
      <c r="K81" s="8"/>
      <c r="L81" s="8"/>
      <c r="M81" s="9"/>
      <c r="N81" s="9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/>
      <c r="BF81" s="9"/>
      <c r="BG81" s="9"/>
      <c r="BH81" s="9"/>
      <c r="BI81" s="9">
        <f>SUM(M81,N81,Q81,R81,S81,T81,U81,V81,W81,X81,Y81,Z81,AA81,AB81,AC81,AD81,AE81,AF81,AG81,AH81,AI81,AJ81,AK81,AL81,AM81,AN81,AO81,AP81,AQ81,AR81,AS81,AT81,AU81,AV81,AW81,AX81,AY81,AZ81,BA81,BB81,BC81,BD81,BE81,BF81,BG81,BH81)</f>
      </c>
      <c r="BJ81" s="9">
        <f>I81-BI81</f>
      </c>
      <c r="BK81" s="9">
        <f>BJ81-BL81-BM81-BN81-BO81</f>
      </c>
      <c r="BL81" s="9"/>
      <c r="BM81" s="9"/>
      <c r="BN81" s="9"/>
      <c r="BO81" s="9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9"/>
      <c r="CA81" s="9"/>
      <c r="CB81" t="inlineStr" s="8">
        <is>
          <t>3166355971</t>
        </is>
      </c>
      <c r="CC81" t="inlineStr" s="8">
        <is>
          <t>weasley.arya.74795955@example.com</t>
        </is>
      </c>
      <c r="CD81" t="inlineStr" s="8">
        <is>
          <t>PANTHER PINK CEL: 3166356076</t>
        </is>
      </c>
      <c r="CE81" t="inlineStr" s="8">
        <is>
          <t>NC5239 JUN.16/23 DESISTIMIENTO POR ARRAS ARYA WEASLEY</t>
        </is>
      </c>
    </row>
    <row r="82" ht="13.7" customHeight="1">
      <c r="A82" t="inlineStr" s="8">
        <is>
          <t>60007919096136</t>
        </is>
      </c>
      <c r="B82" s="8"/>
      <c r="C82" t="inlineStr" s="8">
        <is>
          <t>304</t>
        </is>
      </c>
      <c r="D82" s="9">
        <v>55.20</v>
      </c>
      <c r="E82" t="inlineStr" s="8">
        <is>
          <t>74830413</t>
        </is>
      </c>
      <c r="F82" t="inlineStr" s="8">
        <is>
          <t>HALPERT EDDIE</t>
        </is>
      </c>
      <c r="G82" t="inlineStr" s="8">
        <is>
          <t>*DESISTIM/ARRAS</t>
        </is>
      </c>
      <c r="H82" t="inlineStr" s="8">
        <is>
          <t>BANCO DE OCCIDENTE</t>
        </is>
      </c>
      <c r="I82" s="9">
        <v>192172500.00</v>
      </c>
      <c r="J82" s="8"/>
      <c r="K82" s="8"/>
      <c r="L82" s="8"/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9"/>
      <c r="BF82" s="9"/>
      <c r="BG82" s="9"/>
      <c r="BH82" s="9"/>
      <c r="BI82" s="9">
        <f>SUM(M82,N82,Q82,R82,S82,T82,U82,V82,W82,X82,Y82,Z82,AA82,AB82,AC82,AD82,AE82,AF82,AG82,AH82,AI82,AJ82,AK82,AL82,AM82,AN82,AO82,AP82,AQ82,AR82,AS82,AT82,AU82,AV82,AW82,AX82,AY82,AZ82,BA82,BB82,BC82,BD82,BE82,BF82,BG82,BH82)</f>
      </c>
      <c r="BJ82" s="9">
        <f>I82-BI82</f>
      </c>
      <c r="BK82" s="9">
        <f>BJ82-BL82-BM82-BN82-BO82</f>
      </c>
      <c r="BL82" s="9"/>
      <c r="BM82" s="9"/>
      <c r="BN82" s="9"/>
      <c r="BO82" s="9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9"/>
      <c r="CA82" s="9"/>
      <c r="CB82" t="inlineStr" s="8">
        <is>
          <t>3166362371</t>
        </is>
      </c>
      <c r="CC82" t="inlineStr" s="8">
        <is>
          <t>halpert.eddie.74830413@example.com</t>
        </is>
      </c>
      <c r="CD82" t="inlineStr" s="8">
        <is>
          <t>MOUSE MICKEY CEL: 3166362452</t>
        </is>
      </c>
      <c r="CE82" t="inlineStr" s="8">
        <is>
          <t>NC5317 AGO.25/23 DESISTIMIENTO POR ARRAS EDDIE HALPERT</t>
        </is>
      </c>
    </row>
    <row r="83" ht="13.7" customHeight="1">
      <c r="A83" t="inlineStr" s="8">
        <is>
          <t>60007919094745</t>
        </is>
      </c>
      <c r="B83" s="8"/>
      <c r="C83" t="inlineStr" s="8">
        <is>
          <t>102</t>
        </is>
      </c>
      <c r="D83" s="9">
        <v>55.20</v>
      </c>
      <c r="E83" t="inlineStr" s="8">
        <is>
          <t>74741301</t>
        </is>
      </c>
      <c r="F83" t="inlineStr" s="8">
        <is>
          <t>COOPER WILL</t>
        </is>
      </c>
      <c r="G83" t="inlineStr" s="8">
        <is>
          <t>*DESISTIM/ARRAS</t>
        </is>
      </c>
      <c r="H83" t="inlineStr" s="8">
        <is>
          <t>BANCO DE OCCIDENTE</t>
        </is>
      </c>
      <c r="I83" s="9">
        <v>192172500.00</v>
      </c>
      <c r="J83" t="inlineStr" s="8">
        <is>
          <t>NCR5156 - NCR5155 - NCR5154 - NCR5158CR</t>
        </is>
      </c>
      <c r="K83" t="inlineStr" s="8">
        <is>
          <t>NCR5157</t>
        </is>
      </c>
      <c r="L83" s="8"/>
      <c r="M83" s="9">
        <f>15099000+10724000+3089000</f>
      </c>
      <c r="N83" s="9"/>
      <c r="O83" t="inlineStr" s="8">
        <is>
          <t>SEP.9/23</t>
        </is>
      </c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>
        <v>13984000</v>
      </c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9">
        <v>21448000</v>
      </c>
      <c r="BF83" s="9"/>
      <c r="BG83" s="9"/>
      <c r="BH83" s="9"/>
      <c r="BI83" s="9">
        <f>SUM(M83,N83,Q83,R83,S83,T83,U83,V83,W83,X83,Y83,Z83,AA83,AB83,AC83,AD83,AE83,AF83,AG83,AH83,AI83,AJ83,AK83,AL83,AM83,AN83,AO83,AP83,AQ83,AR83,AS83,AT83,AU83,AV83,AW83,AX83,AY83,AZ83,BA83,BB83,BC83,BD83,BE83,BF83,BG83,BH83)</f>
      </c>
      <c r="BJ83" s="9">
        <f>I83-BI83</f>
      </c>
      <c r="BK83" s="9">
        <f>BJ83-BL83-BM83-BN83-BO83</f>
      </c>
      <c r="BL83" s="9"/>
      <c r="BM83" s="9"/>
      <c r="BN83" s="9"/>
      <c r="BO83" s="9"/>
      <c r="BP83" s="8"/>
      <c r="BQ83" t="inlineStr" s="8">
        <is>
          <t>2023-10-26</t>
        </is>
      </c>
      <c r="BR83" t="inlineStr" s="8">
        <is>
          <t>2023-12-11</t>
        </is>
      </c>
      <c r="BS83" s="8"/>
      <c r="BT83" s="8"/>
      <c r="BU83" s="8"/>
      <c r="BV83" s="8"/>
      <c r="BW83" s="8"/>
      <c r="BX83" s="8"/>
      <c r="BY83" s="8"/>
      <c r="BZ83" s="9"/>
      <c r="CA83" s="9"/>
      <c r="CB83" t="inlineStr" s="8">
        <is>
          <t>3166345911</t>
        </is>
      </c>
      <c r="CC83" t="inlineStr" s="8">
        <is>
          <t>cooper.will.74741301@example.com</t>
        </is>
      </c>
      <c r="CD83" t="inlineStr" s="8">
        <is>
          <t>DUCK DAFFY CEL: 3166346615</t>
        </is>
      </c>
      <c r="CE83" t="inlineStr" s="8">
        <is>
          <t>NC5153 DIC.9/23 DESISTIMIENTO POR ARRAS WILL COOPER</t>
        </is>
      </c>
    </row>
    <row r="84" ht="13.7" customHeight="1">
      <c r="A84" t="inlineStr" s="8">
        <is>
          <t>60007919094641</t>
        </is>
      </c>
      <c r="B84" s="8"/>
      <c r="C84" t="inlineStr" s="8">
        <is>
          <t>101</t>
        </is>
      </c>
      <c r="D84" s="9">
        <v>55.20</v>
      </c>
      <c r="E84" t="inlineStr" s="8">
        <is>
          <t>74735831</t>
        </is>
      </c>
      <c r="F84" t="inlineStr" s="8">
        <is>
          <t>BROWN SAUL</t>
        </is>
      </c>
      <c r="G84" t="inlineStr" s="8">
        <is>
          <t>*DESISTIM/ARRAS</t>
        </is>
      </c>
      <c r="H84" s="8"/>
      <c r="I84" s="9">
        <v>192172500.00</v>
      </c>
      <c r="J84" s="8"/>
      <c r="K84" s="8"/>
      <c r="L84" s="8"/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9"/>
      <c r="BF84" s="9"/>
      <c r="BG84" s="9"/>
      <c r="BH84" s="9"/>
      <c r="BI84" s="9">
        <f>SUM(M84,N84,Q84,R84,S84,T84,U84,V84,W84,X84,Y84,Z84,AA84,AB84,AC84,AD84,AE84,AF84,AG84,AH84,AI84,AJ84,AK84,AL84,AM84,AN84,AO84,AP84,AQ84,AR84,AS84,AT84,AU84,AV84,AW84,AX84,AY84,AZ84,BA84,BB84,BC84,BD84,BE84,BF84,BG84,BH84)</f>
      </c>
      <c r="BJ84" s="9">
        <f>I84-BI84</f>
      </c>
      <c r="BK84" s="9">
        <f>BJ84-BL84-BM84-BN84-BO84</f>
      </c>
      <c r="BL84" s="9"/>
      <c r="BM84" s="9"/>
      <c r="BN84" s="9"/>
      <c r="BO84" s="9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9"/>
      <c r="CA84" s="9"/>
      <c r="CB84" t="inlineStr" s="8">
        <is>
          <t>3166345205</t>
        </is>
      </c>
      <c r="CC84" t="inlineStr" s="8">
        <is>
          <t>brown.saul.74735831@example.com</t>
        </is>
      </c>
      <c r="CD84" t="inlineStr" s="8">
        <is>
          <t>MOUSE MINNIE CEL: 3166345733</t>
        </is>
      </c>
      <c r="CE84" t="inlineStr" s="8">
        <is>
          <t>NC5147 MAY.21/24 DESISTIMIENTO POR ARRAS SAUL BROWN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2.42578125" customWidth="1"/>
    <col min="58" max="58" width="15.5703125" customWidth="1"/>
    <col min="59" max="59" width="15.28515625" customWidth="1"/>
    <col min="60" max="60" width="14.140625" customWidth="1"/>
    <col min="61" max="61" width="15.28515625" customWidth="1"/>
    <col min="62" max="62" width="11.5703125" customWidth="1"/>
    <col min="63" max="63" width="13.0" customWidth="1"/>
    <col min="64" max="64" width="13.0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8.140625" customWidth="1"/>
    <col min="73" max="73" width="11.42578125" customWidth="1"/>
    <col min="74" max="74" width="11.425781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3.0" customWidth="1"/>
    <col min="81" max="81" width="20.0" customWidth="1"/>
    <col min="82" max="82" width="24.0" customWidth="1"/>
    <col min="83" max="83" width="105.140625" customWidth="1"/>
  </cols>
  <sheetData>
    <row r="1">
      <c r="A1" t="inlineStr" s="1">
        <is>
          <t>CONJUNTO CERRADO KSMP T6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FEB/2022</t>
        </is>
      </c>
      <c r="S4" t="inlineStr" s="5">
        <is>
          <t>RECIBO FIDUCIA MAR/2022</t>
        </is>
      </c>
      <c r="T4" t="inlineStr" s="5">
        <is>
          <t>RECIBO FIDUCIA ABR/2022</t>
        </is>
      </c>
      <c r="U4" t="inlineStr" s="5">
        <is>
          <t>RECIBO FIDUCIA MAY/2022</t>
        </is>
      </c>
      <c r="V4" t="inlineStr" s="5">
        <is>
          <t>RECIBO FIDUCIA JUN/2022</t>
        </is>
      </c>
      <c r="W4" t="inlineStr" s="5">
        <is>
          <t>RECIBO FIDUCIA JUL/2022</t>
        </is>
      </c>
      <c r="X4" t="inlineStr" s="5">
        <is>
          <t>RECIBO FIDUCIA AGO/2022</t>
        </is>
      </c>
      <c r="Y4" t="inlineStr" s="5">
        <is>
          <t>RECIBO FIDUCIA SEP/2022</t>
        </is>
      </c>
      <c r="Z4" t="inlineStr" s="5">
        <is>
          <t>RECIBO FIDUCIA OCT/2022</t>
        </is>
      </c>
      <c r="AA4" t="inlineStr" s="5">
        <is>
          <t>RECIBO FIDUCIA NOV/2022</t>
        </is>
      </c>
      <c r="AB4" t="inlineStr" s="5">
        <is>
          <t>RECIBO FIDUCIA DIC/2022</t>
        </is>
      </c>
      <c r="AC4" t="inlineStr" s="5">
        <is>
          <t>RECIBO FIDUCIA ENE/2023</t>
        </is>
      </c>
      <c r="AD4" t="inlineStr" s="5">
        <is>
          <t>RECIBO FIDUCIA FEB/2023</t>
        </is>
      </c>
      <c r="AE4" t="inlineStr" s="5">
        <is>
          <t>RECIBO FIDUCIA MAR/2023</t>
        </is>
      </c>
      <c r="AF4" t="inlineStr" s="5">
        <is>
          <t>RECIBO FIDUCIA ABR/2023</t>
        </is>
      </c>
      <c r="AG4" t="inlineStr" s="5">
        <is>
          <t>RECIBO FIDUCIA MAY/2023</t>
        </is>
      </c>
      <c r="AH4" t="inlineStr" s="5">
        <is>
          <t>RECIBO FIDUCIA JUN/2023</t>
        </is>
      </c>
      <c r="AI4" t="inlineStr" s="5">
        <is>
          <t>RECIBO FIDUCIA JUL/2023</t>
        </is>
      </c>
      <c r="AJ4" t="inlineStr" s="5">
        <is>
          <t>RECIBO FIDUCIA AGO/2023</t>
        </is>
      </c>
      <c r="AK4" t="inlineStr" s="5">
        <is>
          <t>RECIBO FIDUCIA SEP/2023</t>
        </is>
      </c>
      <c r="AL4" t="inlineStr" s="5">
        <is>
          <t>RECIBO FIDUCIA OCT/2023</t>
        </is>
      </c>
      <c r="AM4" t="inlineStr" s="5">
        <is>
          <t>RECIBO FIDUCIA NOV/2023</t>
        </is>
      </c>
      <c r="AN4" t="inlineStr" s="5">
        <is>
          <t>RECIBO FIDUCIA DIC/2023</t>
        </is>
      </c>
      <c r="AO4" t="inlineStr" s="5">
        <is>
          <t>RECIBO FIDUCIA ENE/2024</t>
        </is>
      </c>
      <c r="AP4" t="inlineStr" s="5">
        <is>
          <t>RECIBO FIDUCIA FEB/2024</t>
        </is>
      </c>
      <c r="AQ4" t="inlineStr" s="5">
        <is>
          <t>RECIBO FIDUCIA MAR/2024</t>
        </is>
      </c>
      <c r="AR4" t="inlineStr" s="5">
        <is>
          <t>RECIBO FIDUCIA ABR/2024</t>
        </is>
      </c>
      <c r="AS4" t="inlineStr" s="5">
        <is>
          <t>RECIBO FIDUCIA MAY/2024</t>
        </is>
      </c>
      <c r="AT4" t="inlineStr" s="5">
        <is>
          <t>RECIBO FIDUCIA JUN/2024</t>
        </is>
      </c>
      <c r="AU4" t="inlineStr" s="5">
        <is>
          <t>RECIBO FIDUCIA JUL/2024</t>
        </is>
      </c>
      <c r="AV4" t="inlineStr" s="5">
        <is>
          <t>RECIBO FIDUCIA AGO/2024</t>
        </is>
      </c>
      <c r="AW4" t="inlineStr" s="5">
        <is>
          <t>RECIBO FIDUCIA SEP/2024</t>
        </is>
      </c>
      <c r="AX4" t="inlineStr" s="5">
        <is>
          <t>RECIBO FIDUCIA OCT/2024</t>
        </is>
      </c>
      <c r="AY4" t="inlineStr" s="5">
        <is>
          <t>RECIBO FIDUCIA NOV/2024</t>
        </is>
      </c>
      <c r="AZ4" t="inlineStr" s="5">
        <is>
          <t>RECIBO FIDUCIA DIC/2024</t>
        </is>
      </c>
      <c r="BA4" t="inlineStr" s="5">
        <is>
          <t>RECIBO FIDUCIA ENE/2025</t>
        </is>
      </c>
      <c r="BB4" t="inlineStr" s="5">
        <is>
          <t>RECIBO FIDUCIA FEB/2025</t>
        </is>
      </c>
      <c r="BC4" t="inlineStr" s="5">
        <is>
          <t>RECIBO FIDUCIA MAR/2025</t>
        </is>
      </c>
      <c r="BD4" t="inlineStr" s="5">
        <is>
          <t>RECIBO FIDUCIA ABR/2025</t>
        </is>
      </c>
      <c r="BE4" t="inlineStr" s="4">
        <is>
          <t>ABONOS CR CONSTRUCTOR</t>
        </is>
      </c>
      <c r="BF4" t="inlineStr" s="4">
        <is>
          <t>DESEMBOLSO SUBSIDIO CAJAS DE COMPENSACION</t>
        </is>
      </c>
      <c r="BG4" t="inlineStr" s="4">
        <is>
          <t>DESEMBOLSO SUBSIDIOS GOBIERNO</t>
        </is>
      </c>
      <c r="BH4" t="inlineStr" s="2">
        <is>
          <t>AJUSTE</t>
        </is>
      </c>
      <c r="BI4" t="inlineStr" s="2">
        <is>
          <t>TOTAL RECIBIDO</t>
        </is>
      </c>
      <c r="BJ4" t="inlineStr" s="2">
        <is>
          <t>SALDO POR COBRAR</t>
        </is>
      </c>
      <c r="BK4" t="inlineStr" s="2">
        <is>
          <t>RECURSOS PROPIOS</t>
        </is>
      </c>
      <c r="BL4" t="inlineStr" s="2">
        <is>
          <t>CREDITO BANCARIO</t>
        </is>
      </c>
      <c r="BM4" t="inlineStr" s="2">
        <is>
          <t>CAJA HONOR</t>
        </is>
      </c>
      <c r="BN4" t="inlineStr" s="6">
        <is>
          <t>SUBSIDIOS MCY</t>
        </is>
      </c>
      <c r="BO4" t="inlineStr" s="6">
        <is>
          <t>SUBSIDIOS CAJA COMP</t>
        </is>
      </c>
      <c r="BP4" t="inlineStr" s="6">
        <is>
          <t>ENTIDAD</t>
        </is>
      </c>
      <c r="BQ4" t="inlineStr" s="2">
        <is>
          <t>FECHA CONTRATO DE ADHESION</t>
        </is>
      </c>
      <c r="BR4" t="inlineStr" s="2">
        <is>
          <t>FECHA DE PROMESA</t>
        </is>
      </c>
      <c r="BS4" t="inlineStr" s="7">
        <is>
          <t>ENTREGA REAL</t>
        </is>
      </c>
      <c r="BT4" t="inlineStr" s="6">
        <is>
          <t>MATRIC</t>
        </is>
      </c>
      <c r="BU4" t="inlineStr" s="6">
        <is>
          <t>FECHA ESC</t>
        </is>
      </c>
      <c r="BV4" t="inlineStr" s="6">
        <is>
          <t>ESC</t>
        </is>
      </c>
      <c r="BW4" t="inlineStr" s="6">
        <is>
          <t>NOT</t>
        </is>
      </c>
      <c r="BX4" t="inlineStr" s="6">
        <is>
          <t>FECHA C/TRADIC</t>
        </is>
      </c>
      <c r="BY4" t="inlineStr" s="6">
        <is>
          <t>FE</t>
        </is>
      </c>
      <c r="BZ4" t="inlineStr" s="2">
        <is>
          <t>INTERESES</t>
        </is>
      </c>
      <c r="CA4" t="inlineStr" s="2">
        <is>
          <t>VALOR</t>
        </is>
      </c>
      <c r="CB4" t="inlineStr" s="2">
        <is>
          <t>TELEFONO</t>
        </is>
      </c>
      <c r="CC4" t="inlineStr" s="2">
        <is>
          <t>E-MAIL</t>
        </is>
      </c>
      <c r="CD4" t="inlineStr" s="2">
        <is>
          <t>CONTACTO</t>
        </is>
      </c>
      <c r="CE4" t="inlineStr" s="2">
        <is>
          <t>OBSERVACIONES</t>
        </is>
      </c>
    </row>
    <row r="5" ht="12.75" customHeight="1">
      <c r="A5" t="inlineStr" s="8">
        <is>
          <t>60007919099768</t>
        </is>
      </c>
      <c r="B5" s="8"/>
      <c r="C5" t="inlineStr" s="8">
        <is>
          <t>101</t>
        </is>
      </c>
      <c r="D5" s="9">
        <v>55.20</v>
      </c>
      <c r="E5" t="inlineStr" s="8">
        <is>
          <t>75107636</t>
        </is>
      </c>
      <c r="F5" t="inlineStr" s="8">
        <is>
          <t>BROWN MORTY</t>
        </is>
      </c>
      <c r="G5" s="8"/>
      <c r="H5" t="inlineStr" s="8">
        <is>
          <t>BANCO DE BOGOTA</t>
        </is>
      </c>
      <c r="I5" s="9">
        <v>192172500.00</v>
      </c>
      <c r="J5" t="inlineStr" s="8">
        <is>
          <t>NCR5694CR</t>
        </is>
      </c>
      <c r="K5" s="8"/>
      <c r="L5" s="8"/>
      <c r="M5" s="9"/>
      <c r="N5" s="9"/>
      <c r="O5" t="inlineStr" s="8">
        <is>
          <t>ABR.27/24</t>
        </is>
      </c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9">
        <v>82997000</v>
      </c>
      <c r="BF5" s="9"/>
      <c r="BG5" s="9"/>
      <c r="BH5" s="9"/>
      <c r="BI5" s="9">
        <f>SUM(M5,N5,Q5,R5,S5,T5,U5,V5,W5,X5,Y5,Z5,AA5,AB5,AC5,AD5,AE5,AF5,AG5,AH5,AI5,AJ5,AK5,AL5,AM5,AN5,AO5,AP5,AQ5,AR5,AS5,AT5,AU5,AV5,AW5,AX5,AY5,AZ5,BA5,BB5,BC5,BD5,BE5,BF5,BG5,BH5)</f>
      </c>
      <c r="BJ5" s="9">
        <f>I5-BI5</f>
      </c>
      <c r="BK5" s="9">
        <f>BJ5-BL5-BM5-BN5-BO5</f>
      </c>
      <c r="BL5" s="9"/>
      <c r="BM5" s="9"/>
      <c r="BN5" s="9"/>
      <c r="BO5" s="9"/>
      <c r="BP5" s="8"/>
      <c r="BQ5" t="inlineStr" s="8">
        <is>
          <t>2024-01-23</t>
        </is>
      </c>
      <c r="BR5" t="inlineStr" s="8">
        <is>
          <t>2024-03-29</t>
        </is>
      </c>
      <c r="BS5" s="8"/>
      <c r="BT5" s="8"/>
      <c r="BU5" s="8"/>
      <c r="BV5" s="8"/>
      <c r="BW5" s="8"/>
      <c r="BX5" s="8"/>
      <c r="BY5" s="8"/>
      <c r="BZ5" s="9"/>
      <c r="CA5" s="9"/>
      <c r="CB5" t="inlineStr" s="8">
        <is>
          <t>3166404394</t>
        </is>
      </c>
      <c r="CC5" t="inlineStr" s="8">
        <is>
          <t>brown.morty.75107636@example.com</t>
        </is>
      </c>
      <c r="CD5" t="inlineStr" s="8">
        <is>
          <t>DUCK DAFFY CEL: 3166404900</t>
        </is>
      </c>
      <c r="CE5" s="8"/>
    </row>
    <row r="6" ht="12.75" customHeight="1">
      <c r="A6" t="inlineStr" s="8">
        <is>
          <t>60007919099838</t>
        </is>
      </c>
      <c r="B6" s="8"/>
      <c r="C6" t="inlineStr" s="8">
        <is>
          <t>102</t>
        </is>
      </c>
      <c r="D6" s="9">
        <v>55.20</v>
      </c>
      <c r="E6" t="inlineStr" s="8">
        <is>
          <t>75115002</t>
        </is>
      </c>
      <c r="F6" t="inlineStr" s="8">
        <is>
          <t>SCHRUTE NANCY</t>
        </is>
      </c>
      <c r="G6" t="inlineStr" s="8">
        <is>
          <t>POTTER STEVE</t>
        </is>
      </c>
      <c r="H6" s="8"/>
      <c r="I6" s="9">
        <v>192172500.00</v>
      </c>
      <c r="J6" t="inlineStr" s="8">
        <is>
          <t>NCR5696 - NCR5701 - NCR5699 - NCR5700 - NCR5705</t>
        </is>
      </c>
      <c r="K6" t="inlineStr" s="8">
        <is>
          <t>NCR5703 - NCR5702 - NCR5698 - NCR5697 - NCR5704</t>
        </is>
      </c>
      <c r="L6" t="inlineStr" s="8">
        <is>
          <t>JUL.6/23 - JUL.23/23 - JUL.24/23F - SEP.22/23F - OCT.1/23F - NOV.6/23 - NOV.8/23 - NOV.19/23 - FEB.3/24F - FEB.18/24F</t>
        </is>
      </c>
      <c r="M6" s="9">
        <f>384000+8263000+25943000+25559500+51310000</f>
      </c>
      <c r="N6" s="9"/>
      <c r="O6" s="8"/>
      <c r="P6" s="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>
        <v>44008000</v>
      </c>
      <c r="AJ6" s="10"/>
      <c r="AK6" s="10">
        <v>18641000</v>
      </c>
      <c r="AL6" s="10">
        <v>5765000</v>
      </c>
      <c r="AM6" s="10"/>
      <c r="AN6" s="10"/>
      <c r="AO6" s="10"/>
      <c r="AP6" s="10">
        <f>8071000+4228000</f>
      </c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/>
      <c r="BF6" s="9"/>
      <c r="BG6" s="9"/>
      <c r="BH6" s="9"/>
      <c r="BI6" s="9">
        <f>SUM(M6,N6,Q6,R6,S6,T6,U6,V6,W6,X6,Y6,Z6,AA6,AB6,AC6,AD6,AE6,AF6,AG6,AH6,AI6,AJ6,AK6,AL6,AM6,AN6,AO6,AP6,AQ6,AR6,AS6,AT6,AU6,AV6,AW6,AX6,AY6,AZ6,BA6,BB6,BC6,BD6,BE6,BF6,BG6,BH6)</f>
      </c>
      <c r="BJ6" s="9">
        <f>I6-BI6</f>
      </c>
      <c r="BK6" s="9">
        <f>BJ6-BL6-BM6-BN6-BO6</f>
      </c>
      <c r="BL6" s="9"/>
      <c r="BM6" s="9"/>
      <c r="BN6" s="9"/>
      <c r="BO6" s="9"/>
      <c r="BP6" s="8"/>
      <c r="BQ6" t="inlineStr" s="8">
        <is>
          <t>2023-08-15</t>
        </is>
      </c>
      <c r="BR6" t="inlineStr" s="8">
        <is>
          <t>2023-09-12</t>
        </is>
      </c>
      <c r="BS6" t="inlineStr" s="8">
        <is>
          <t>2024-05-26</t>
        </is>
      </c>
      <c r="BT6" s="8"/>
      <c r="BU6" s="8"/>
      <c r="BV6" s="8"/>
      <c r="BW6" s="8"/>
      <c r="BX6" s="8"/>
      <c r="BY6" s="8"/>
      <c r="BZ6" s="9"/>
      <c r="CA6" s="9"/>
      <c r="CB6" t="inlineStr" s="8">
        <is>
          <t>3166405534</t>
        </is>
      </c>
      <c r="CC6" t="inlineStr" s="8">
        <is>
          <t>schrute.nancy.75115002@example.com</t>
        </is>
      </c>
      <c r="CD6" t="inlineStr" s="8">
        <is>
          <t>FINN CEL: 3166406754</t>
        </is>
      </c>
      <c r="CE6" s="8"/>
    </row>
    <row r="7" ht="12.75" customHeight="1">
      <c r="A7" t="inlineStr" s="8">
        <is>
          <t>60007919099891</t>
        </is>
      </c>
      <c r="B7" s="8"/>
      <c r="C7" t="inlineStr" s="8">
        <is>
          <t>103</t>
        </is>
      </c>
      <c r="D7" s="9">
        <v>55.20</v>
      </c>
      <c r="E7" t="inlineStr" s="8">
        <is>
          <t>75119912</t>
        </is>
      </c>
      <c r="F7" t="inlineStr" s="8">
        <is>
          <t>MALFOY HAN</t>
        </is>
      </c>
      <c r="G7" s="8"/>
      <c r="H7" t="inlineStr" s="8">
        <is>
          <t>BANCO DE OCCIDENTE</t>
        </is>
      </c>
      <c r="I7" s="9">
        <v>192172500.00</v>
      </c>
      <c r="J7" t="inlineStr" s="8">
        <is>
          <t>NCR5712 - NCR5715 - NCR5719CR</t>
        </is>
      </c>
      <c r="K7" t="inlineStr" s="8">
        <is>
          <t>NCR5716 - NCR5714 - NCR5710 - NCR5713 - NCR5711 - NCR5718 - NCR5709 - NCR5708 - NCR5707 - NCR5717</t>
        </is>
      </c>
      <c r="L7" t="inlineStr" s="8">
        <is>
          <t>AGO.8/22F - AGO.12/22F - AGO.25/22F - SEP.9/22F - SEP.18/22F - NOV.28/22F - DIC.1/22F - DIC.17/22F - DIC.22/22F - ENE.17/23F - JUN.7/23 - JUN.12/23</t>
        </is>
      </c>
      <c r="M7" s="9">
        <f>6834000+5902000</f>
      </c>
      <c r="N7" s="9"/>
      <c r="O7" t="inlineStr" s="8">
        <is>
          <t>MAR.14/23</t>
        </is>
      </c>
      <c r="P7" s="8"/>
      <c r="Q7" s="10"/>
      <c r="R7" s="10"/>
      <c r="S7" s="10"/>
      <c r="T7" s="10"/>
      <c r="U7" s="10"/>
      <c r="V7" s="10"/>
      <c r="W7" s="10"/>
      <c r="X7" s="10">
        <f>6150000+1305000+2112000</f>
      </c>
      <c r="Y7" s="10">
        <f>2236000+5840000</f>
      </c>
      <c r="Z7" s="10"/>
      <c r="AA7" s="10">
        <v>6710000</v>
      </c>
      <c r="AB7" s="10">
        <f>10126000+746000+1988000</f>
      </c>
      <c r="AC7" s="10">
        <v>12176000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>
        <v>95000000</v>
      </c>
      <c r="BF7" s="9"/>
      <c r="BG7" s="9"/>
      <c r="BH7" s="9"/>
      <c r="BI7" s="9">
        <f>SUM(M7,N7,Q7,R7,S7,T7,U7,V7,W7,X7,Y7,Z7,AA7,AB7,AC7,AD7,AE7,AF7,AG7,AH7,AI7,AJ7,AK7,AL7,AM7,AN7,AO7,AP7,AQ7,AR7,AS7,AT7,AU7,AV7,AW7,AX7,AY7,AZ7,BA7,BB7,BC7,BD7,BE7,BF7,BG7,BH7)</f>
      </c>
      <c r="BJ7" s="9">
        <f>I7-BI7</f>
      </c>
      <c r="BK7" s="9">
        <f>BJ7-BL7-BM7-BN7-BO7</f>
      </c>
      <c r="BL7" s="9"/>
      <c r="BM7" s="9"/>
      <c r="BN7" s="9"/>
      <c r="BO7" s="9"/>
      <c r="BP7" s="8"/>
      <c r="BQ7" t="inlineStr" s="8">
        <is>
          <t>2022-08-26</t>
        </is>
      </c>
      <c r="BR7" t="inlineStr" s="8">
        <is>
          <t>2022-12-12</t>
        </is>
      </c>
      <c r="BS7" s="8"/>
      <c r="BT7" s="8"/>
      <c r="BU7" s="8"/>
      <c r="BV7" s="8"/>
      <c r="BW7" s="8"/>
      <c r="BX7" s="8"/>
      <c r="BY7" s="8"/>
      <c r="BZ7" s="9"/>
      <c r="CA7" s="9"/>
      <c r="CB7" t="inlineStr" s="8">
        <is>
          <t>3166406791</t>
        </is>
      </c>
      <c r="CC7" t="inlineStr" s="8">
        <is>
          <t>malfoy.han.75119912@example.com</t>
        </is>
      </c>
      <c r="CD7" t="inlineStr" s="8">
        <is>
          <t>MOUSE MINNIE CEL: 3166407058</t>
        </is>
      </c>
      <c r="CE7" s="8"/>
    </row>
    <row r="8" ht="12.75" customHeight="1">
      <c r="A8" t="inlineStr" s="8">
        <is>
          <t>60007919099969</t>
        </is>
      </c>
      <c r="B8" s="8"/>
      <c r="C8" t="inlineStr" s="8">
        <is>
          <t>104</t>
        </is>
      </c>
      <c r="D8" s="9">
        <v>55.20</v>
      </c>
      <c r="E8" t="inlineStr" s="8">
        <is>
          <t>75121650</t>
        </is>
      </c>
      <c r="F8" t="inlineStr" s="8">
        <is>
          <t>MORNINGSTAR LUCAS</t>
        </is>
      </c>
      <c r="G8" s="8"/>
      <c r="H8" s="8"/>
      <c r="I8" s="9">
        <v>192172500.00</v>
      </c>
      <c r="J8" s="8"/>
      <c r="K8" t="inlineStr" s="8">
        <is>
          <t>NCR5723 - NCR5725 - NCR5729 - NCR5733 - NCR5722 - NCR5732 - NCR5724 - NCR5726 - NCR5728 - NCR5720 - NCR5721 - NCR5731 - NCR5727 - NCR5730</t>
        </is>
      </c>
      <c r="L8" t="inlineStr" s="8">
        <is>
          <t>JUN.10/22F - JUL.12/22F - SEP.10/22F - NOV.4/22F - NOV.9/22F - DIC.4/22F - DIC.27/22F - ENE.12/23F - FEB.4/23F - FEB.14/23F - FEB.22/23F - MAR.11/23F - MAR.14/23F - MAY.13/23F</t>
        </is>
      </c>
      <c r="M8" s="9"/>
      <c r="N8" s="9"/>
      <c r="O8" s="8"/>
      <c r="P8" s="8"/>
      <c r="Q8" s="10"/>
      <c r="R8" s="10"/>
      <c r="S8" s="10"/>
      <c r="T8" s="10"/>
      <c r="U8" s="10"/>
      <c r="V8" s="10">
        <v>8263000</v>
      </c>
      <c r="W8" s="10">
        <v>17872000</v>
      </c>
      <c r="X8" s="10"/>
      <c r="Y8" s="10">
        <v>2498000</v>
      </c>
      <c r="Z8" s="10"/>
      <c r="AA8" s="10">
        <f>2883500+8648000</f>
      </c>
      <c r="AB8" s="10">
        <f>15950000+17296000</f>
      </c>
      <c r="AC8" s="10">
        <v>13068000</v>
      </c>
      <c r="AD8" s="10">
        <f>6726000+2690000+4996000</f>
      </c>
      <c r="AE8" s="10">
        <f>9801000+46698000</f>
      </c>
      <c r="AF8" s="10"/>
      <c r="AG8" s="10">
        <v>34783000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/>
      <c r="BF8" s="9"/>
      <c r="BG8" s="9"/>
      <c r="BH8" s="9"/>
      <c r="BI8" s="9">
        <f>SUM(M8,N8,Q8,R8,S8,T8,U8,V8,W8,X8,Y8,Z8,AA8,AB8,AC8,AD8,AE8,AF8,AG8,AH8,AI8,AJ8,AK8,AL8,AM8,AN8,AO8,AP8,AQ8,AR8,AS8,AT8,AU8,AV8,AW8,AX8,AY8,AZ8,BA8,BB8,BC8,BD8,BE8,BF8,BG8,BH8)</f>
      </c>
      <c r="BJ8" s="9">
        <f>I8-BI8</f>
      </c>
      <c r="BK8" s="9">
        <f>BJ8-BL8-BM8-BN8-BO8</f>
      </c>
      <c r="BL8" s="9"/>
      <c r="BM8" s="9"/>
      <c r="BN8" s="9"/>
      <c r="BO8" s="9"/>
      <c r="BP8" s="8"/>
      <c r="BQ8" t="inlineStr" s="8">
        <is>
          <t>2022-06-29</t>
        </is>
      </c>
      <c r="BR8" t="inlineStr" s="8">
        <is>
          <t>2022-08-08</t>
        </is>
      </c>
      <c r="BS8" t="inlineStr" s="8">
        <is>
          <t>2023-09-11</t>
        </is>
      </c>
      <c r="BT8" s="8"/>
      <c r="BU8" s="8"/>
      <c r="BV8" s="8"/>
      <c r="BW8" s="8"/>
      <c r="BX8" s="8"/>
      <c r="BY8" s="8"/>
      <c r="BZ8" s="9"/>
      <c r="CA8" s="9"/>
      <c r="CB8" t="inlineStr" s="8">
        <is>
          <t>3166407115</t>
        </is>
      </c>
      <c r="CC8" t="inlineStr" s="8">
        <is>
          <t>morningstar.lucas.75121650@example.com</t>
        </is>
      </c>
      <c r="CD8" t="inlineStr" s="8">
        <is>
          <t>JETSON GEORGE CEL: 3166408034</t>
        </is>
      </c>
      <c r="CE8" s="8"/>
    </row>
    <row r="9" ht="12.75" customHeight="1">
      <c r="A9" t="inlineStr" s="8">
        <is>
          <t>60007919100060</t>
        </is>
      </c>
      <c r="B9" s="8"/>
      <c r="C9" t="inlineStr" s="8">
        <is>
          <t>105</t>
        </is>
      </c>
      <c r="D9" s="9">
        <v>55.20</v>
      </c>
      <c r="E9" t="inlineStr" s="8">
        <is>
          <t>75127834</t>
        </is>
      </c>
      <c r="F9" t="inlineStr" s="8">
        <is>
          <t>ORGANA LUKE</t>
        </is>
      </c>
      <c r="G9" s="8"/>
      <c r="H9" t="inlineStr" s="8">
        <is>
          <t>BANCO CAJA SOCIAL</t>
        </is>
      </c>
      <c r="I9" s="9">
        <v>192172500.00</v>
      </c>
      <c r="J9" t="inlineStr" s="8">
        <is>
          <t>NCR5735 - NCR5738 - NCR5741 - NCR5748CR</t>
        </is>
      </c>
      <c r="K9" t="inlineStr" s="8">
        <is>
          <t>NCR5737 - NCR5744 - NCR5746 - NCR5745 - NCR5734 - NCR5739 - NCR5743 - NCR5740 - NCR5747 - NCR5742 - NCR5736</t>
        </is>
      </c>
      <c r="L9" t="inlineStr" s="8">
        <is>
          <t>MAR.5/23F - ABR.9/23F - ABR.13/23F - JUN.9/23 - JUN.26/23F - JUL.2/23F - AGO.5/23 - AGO.18/23 - DIC.12/23F - FEB.12/24F - MAR.9/24F - MAR.17/24F - JUN.1/24F - OCT.2/24F</t>
        </is>
      </c>
      <c r="M9" s="9">
        <f>3762000+14979000+672000</f>
      </c>
      <c r="N9" s="9"/>
      <c r="O9" t="inlineStr" s="8">
        <is>
          <t>DIC.17/23</t>
        </is>
      </c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>
        <v>5710000</v>
      </c>
      <c r="AF9" s="10">
        <f>1276000+6247000</f>
      </c>
      <c r="AG9" s="10"/>
      <c r="AH9" s="10">
        <v>1075000</v>
      </c>
      <c r="AI9" s="10">
        <v>3762000</v>
      </c>
      <c r="AJ9" s="10"/>
      <c r="AK9" s="10"/>
      <c r="AL9" s="10"/>
      <c r="AM9" s="10"/>
      <c r="AN9" s="10">
        <v>470000</v>
      </c>
      <c r="AO9" s="10"/>
      <c r="AP9" s="10">
        <v>3560000</v>
      </c>
      <c r="AQ9" s="10">
        <f>3090000+9806500</f>
      </c>
      <c r="AR9" s="10"/>
      <c r="AS9" s="10"/>
      <c r="AT9" s="10">
        <v>269000</v>
      </c>
      <c r="AU9" s="10"/>
      <c r="AV9" s="10"/>
      <c r="AW9" s="10"/>
      <c r="AX9" s="10">
        <v>12494000</v>
      </c>
      <c r="AY9" s="10"/>
      <c r="AZ9" s="10"/>
      <c r="BA9" s="10"/>
      <c r="BB9" s="10"/>
      <c r="BC9" s="10"/>
      <c r="BD9" s="10"/>
      <c r="BE9" s="9">
        <v>125000000</v>
      </c>
      <c r="BF9" s="9"/>
      <c r="BG9" s="9"/>
      <c r="BH9" s="9"/>
      <c r="BI9" s="9">
        <f>SUM(M9,N9,Q9,R9,S9,T9,U9,V9,W9,X9,Y9,Z9,AA9,AB9,AC9,AD9,AE9,AF9,AG9,AH9,AI9,AJ9,AK9,AL9,AM9,AN9,AO9,AP9,AQ9,AR9,AS9,AT9,AU9,AV9,AW9,AX9,AY9,AZ9,BA9,BB9,BC9,BD9,BE9,BF9,BG9,BH9)</f>
      </c>
      <c r="BJ9" s="9">
        <f>I9-BI9</f>
      </c>
      <c r="BK9" s="9">
        <f>BJ9-BL9-BM9-BN9-BO9</f>
      </c>
      <c r="BL9" s="9"/>
      <c r="BM9" s="9"/>
      <c r="BN9" s="9"/>
      <c r="BO9" s="9"/>
      <c r="BP9" s="8"/>
      <c r="BQ9" t="inlineStr" s="8">
        <is>
          <t>2023-04-01</t>
        </is>
      </c>
      <c r="BR9" t="inlineStr" s="8">
        <is>
          <t>2023-07-21</t>
        </is>
      </c>
      <c r="BS9" t="inlineStr" s="8">
        <is>
          <t>2025-02-25</t>
        </is>
      </c>
      <c r="BT9" s="8"/>
      <c r="BU9" s="8"/>
      <c r="BV9" s="8"/>
      <c r="BW9" s="8"/>
      <c r="BX9" s="8"/>
      <c r="BY9" s="8"/>
      <c r="BZ9" s="9"/>
      <c r="CA9" s="9"/>
      <c r="CB9" t="inlineStr" s="8">
        <is>
          <t>3166408489</t>
        </is>
      </c>
      <c r="CC9" t="inlineStr" s="8">
        <is>
          <t>organa.luke.75127834@example.com</t>
        </is>
      </c>
      <c r="CD9" t="inlineStr" s="8">
        <is>
          <t>PANTHER PINK CEL: 3166409196</t>
        </is>
      </c>
      <c r="CE9" s="8"/>
    </row>
    <row r="10" ht="12.75" customHeight="1">
      <c r="A10" t="inlineStr" s="8">
        <is>
          <t>60007919100260</t>
        </is>
      </c>
      <c r="B10" s="8"/>
      <c r="C10" t="inlineStr" s="8">
        <is>
          <t>106</t>
        </is>
      </c>
      <c r="D10" s="9">
        <v>55.20</v>
      </c>
      <c r="E10" t="inlineStr" s="8">
        <is>
          <t>75137405</t>
        </is>
      </c>
      <c r="F10" t="inlineStr" s="8">
        <is>
          <t>HALPERT MAX</t>
        </is>
      </c>
      <c r="G10" t="inlineStr" s="8">
        <is>
          <t>BEESLY LEGOLAS</t>
        </is>
      </c>
      <c r="H10" t="inlineStr" s="8">
        <is>
          <t>BANCOLOMBIA</t>
        </is>
      </c>
      <c r="I10" s="9">
        <v>192172500.00</v>
      </c>
      <c r="J10" t="inlineStr" s="8">
        <is>
          <t>NCR5768 - NCR5773 - NCR5775 - NCR5770 - NCR5776CR</t>
        </is>
      </c>
      <c r="K10" t="inlineStr" s="8">
        <is>
          <t>NCR5769 - NCR5774 - NCR5767 - NCR5771 - NCR5772</t>
        </is>
      </c>
      <c r="L10" t="inlineStr" s="8">
        <is>
          <t>MAY.25/23F - JUN.20/23F - JUL.28/23 - NOV.16/23 - NOV.27/23F - DIC.7/23 - MAY.22/24F - JUN.8/24 - SEP.25/24F</t>
        </is>
      </c>
      <c r="M10" s="9">
        <f>14582000+3141000+10096500+28155000</f>
      </c>
      <c r="N10" s="9"/>
      <c r="O10" t="inlineStr" s="8">
        <is>
          <t>SEP.19/24</t>
        </is>
      </c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8749000</v>
      </c>
      <c r="AH10" s="10">
        <v>11442000</v>
      </c>
      <c r="AI10" s="10"/>
      <c r="AJ10" s="10"/>
      <c r="AK10" s="10"/>
      <c r="AL10" s="10"/>
      <c r="AM10" s="10">
        <v>1346000</v>
      </c>
      <c r="AN10" s="10"/>
      <c r="AO10" s="10"/>
      <c r="AP10" s="10"/>
      <c r="AQ10" s="10"/>
      <c r="AR10" s="10"/>
      <c r="AS10" s="10">
        <v>11105000</v>
      </c>
      <c r="AT10" s="10"/>
      <c r="AU10" s="10"/>
      <c r="AV10" s="10"/>
      <c r="AW10" s="10">
        <v>23556000</v>
      </c>
      <c r="AX10" s="10"/>
      <c r="AY10" s="10"/>
      <c r="AZ10" s="10"/>
      <c r="BA10" s="10"/>
      <c r="BB10" s="10"/>
      <c r="BC10" s="10"/>
      <c r="BD10" s="10"/>
      <c r="BE10" s="9">
        <v>80000000</v>
      </c>
      <c r="BF10" s="9"/>
      <c r="BG10" s="9"/>
      <c r="BH10" s="9"/>
      <c r="BI10" s="9">
        <f>SUM(M10,N10,Q10,R10,S10,T10,U10,V10,W10,X10,Y10,Z10,AA10,AB10,AC10,AD10,AE10,AF10,AG10,AH10,AI10,AJ10,AK10,AL10,AM10,AN10,AO10,AP10,AQ10,AR10,AS10,AT10,AU10,AV10,AW10,AX10,AY10,AZ10,BA10,BB10,BC10,BD10,BE10,BF10,BG10,BH10)</f>
      </c>
      <c r="BJ10" s="9">
        <f>I10-BI10</f>
      </c>
      <c r="BK10" s="9">
        <f>BJ10-BL10-BM10-BN10-BO10</f>
      </c>
      <c r="BL10" s="9"/>
      <c r="BM10" s="9"/>
      <c r="BN10" s="9"/>
      <c r="BO10" s="9"/>
      <c r="BP10" s="8"/>
      <c r="BQ10" t="inlineStr" s="8">
        <is>
          <t>2023-05-28</t>
        </is>
      </c>
      <c r="BR10" t="inlineStr" s="8">
        <is>
          <t>2023-09-03</t>
        </is>
      </c>
      <c r="BS10" s="8"/>
      <c r="BT10" s="8"/>
      <c r="BU10" s="8"/>
      <c r="BV10" s="8"/>
      <c r="BW10" s="8"/>
      <c r="BX10" s="8"/>
      <c r="BY10" s="8"/>
      <c r="BZ10" s="9"/>
      <c r="CA10" s="9"/>
      <c r="CB10" t="inlineStr" s="8">
        <is>
          <t>3166410583</t>
        </is>
      </c>
      <c r="CC10" t="inlineStr" s="8">
        <is>
          <t>halpert.max.75137405@example.com</t>
        </is>
      </c>
      <c r="CD10" t="inlineStr" s="8">
        <is>
          <t>DUCK DAFFY CEL: 3166411882</t>
        </is>
      </c>
      <c r="CE10" s="8"/>
    </row>
    <row r="11" ht="12.75" customHeight="1">
      <c r="A11" t="inlineStr" s="8">
        <is>
          <t>60007919100394</t>
        </is>
      </c>
      <c r="B11" s="8"/>
      <c r="C11" t="inlineStr" s="8">
        <is>
          <t>107</t>
        </is>
      </c>
      <c r="D11" s="9">
        <v>55.20</v>
      </c>
      <c r="E11" t="inlineStr" s="8">
        <is>
          <t>75151300</t>
        </is>
      </c>
      <c r="F11" t="inlineStr" s="8">
        <is>
          <t>PRINCE MICHAEL</t>
        </is>
      </c>
      <c r="G11" s="8"/>
      <c r="H11" t="inlineStr" s="8">
        <is>
          <t>BANCO DE BOGOTA</t>
        </is>
      </c>
      <c r="I11" s="9">
        <v>192172500.00</v>
      </c>
      <c r="J11" t="inlineStr" s="8">
        <is>
          <t>NC5777CESION - NCR5786CR</t>
        </is>
      </c>
      <c r="K11" t="inlineStr" s="8">
        <is>
          <t>NCR5778 - NCR5782 - NCR5784 - NCR5785 - NCR5779 - NCR5780 - NCR5783 - NCR5781</t>
        </is>
      </c>
      <c r="L11" t="inlineStr" s="8">
        <is>
          <t>OCT.19/23F - DIC.11/23F - DIC.26/23F - ENE.2/24F - FEB.15/24F - MAR.2/24F - (MAY.20/24CESION) - JUL.10/24F - SEP.19/24F</t>
        </is>
      </c>
      <c r="M11" s="9"/>
      <c r="N11" s="9">
        <v>20000000</v>
      </c>
      <c r="O11" t="inlineStr" s="8">
        <is>
          <t>ABR.30/24</t>
        </is>
      </c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>
        <v>2358000</v>
      </c>
      <c r="AM11" s="10"/>
      <c r="AN11" s="10">
        <f>17148000+3001000</f>
      </c>
      <c r="AO11" s="10">
        <v>15861500</v>
      </c>
      <c r="AP11" s="10">
        <v>13611000</v>
      </c>
      <c r="AQ11" s="10">
        <v>24435000</v>
      </c>
      <c r="AR11" s="10"/>
      <c r="AS11" s="10"/>
      <c r="AT11" s="10"/>
      <c r="AU11" s="10">
        <v>29472000</v>
      </c>
      <c r="AV11" s="10"/>
      <c r="AW11" s="10">
        <v>1286000</v>
      </c>
      <c r="AX11" s="10"/>
      <c r="AY11" s="10"/>
      <c r="AZ11" s="10"/>
      <c r="BA11" s="10"/>
      <c r="BB11" s="10"/>
      <c r="BC11" s="10"/>
      <c r="BD11" s="10"/>
      <c r="BE11" s="9">
        <v>65000000</v>
      </c>
      <c r="BF11" s="9"/>
      <c r="BG11" s="9"/>
      <c r="BH11" s="9"/>
      <c r="BI11" s="9">
        <f>SUM(M11,N11,Q11,R11,S11,T11,U11,V11,W11,X11,Y11,Z11,AA11,AB11,AC11,AD11,AE11,AF11,AG11,AH11,AI11,AJ11,AK11,AL11,AM11,AN11,AO11,AP11,AQ11,AR11,AS11,AT11,AU11,AV11,AW11,AX11,AY11,AZ11,BA11,BB11,BC11,BD11,BE11,BF11,BG11,BH11)</f>
      </c>
      <c r="BJ11" s="9">
        <f>I11-BI11</f>
      </c>
      <c r="BK11" s="9">
        <f>BJ11-BL11-BM11-BN11-BO11</f>
      </c>
      <c r="BL11" s="9"/>
      <c r="BM11" s="9"/>
      <c r="BN11" s="9"/>
      <c r="BO11" s="9"/>
      <c r="BP11" s="8"/>
      <c r="BQ11" t="inlineStr" s="8">
        <is>
          <t>2023-10-18</t>
        </is>
      </c>
      <c r="BR11" t="inlineStr" s="8">
        <is>
          <t>2023-11-15</t>
        </is>
      </c>
      <c r="BS11" s="8"/>
      <c r="BT11" s="8"/>
      <c r="BU11" s="8"/>
      <c r="BV11" s="8"/>
      <c r="BW11" s="8"/>
      <c r="BX11" s="8"/>
      <c r="BY11" s="8"/>
      <c r="BZ11" s="9"/>
      <c r="CA11" s="9"/>
      <c r="CB11" t="inlineStr" s="8">
        <is>
          <t>3166413037</t>
        </is>
      </c>
      <c r="CC11" t="inlineStr" s="8">
        <is>
          <t>prince.michael.75151300@example.com</t>
        </is>
      </c>
      <c r="CD11" t="inlineStr" s="8">
        <is>
          <t>MOUSE MINNIE CEL: 3166413639</t>
        </is>
      </c>
      <c r="CE11" t="inlineStr" s="8">
        <is>
          <t>NC5777 MAY.20/24 CESION DE EDDIE COOPER/SHELDON MARPLE A MICHAEL PRINCE *ANTIC $20.000.000 *ARRAS $4'640</t>
        </is>
      </c>
    </row>
    <row r="12" ht="12.75" customHeight="1">
      <c r="A12" t="inlineStr" s="8">
        <is>
          <t>60007919100591</t>
        </is>
      </c>
      <c r="B12" s="8"/>
      <c r="C12" t="inlineStr" s="8">
        <is>
          <t>201</t>
        </is>
      </c>
      <c r="D12" s="9">
        <v>55.20</v>
      </c>
      <c r="E12" t="inlineStr" s="8">
        <is>
          <t>75159129</t>
        </is>
      </c>
      <c r="F12" t="inlineStr" s="8">
        <is>
          <t>EHRMANTRAUT JANE</t>
        </is>
      </c>
      <c r="G12" s="8"/>
      <c r="H12" t="inlineStr" s="8">
        <is>
          <t>BANCO DE BOGOTA</t>
        </is>
      </c>
      <c r="I12" s="9">
        <v>192172500.00</v>
      </c>
      <c r="J12" t="inlineStr" s="8">
        <is>
          <t>NCR5791 - NCR5793CR</t>
        </is>
      </c>
      <c r="K12" t="inlineStr" s="8">
        <is>
          <t>NCR5790 - NCR5787 - NCR5788 - NCR5789 - NCR5792</t>
        </is>
      </c>
      <c r="L12" t="inlineStr" s="8">
        <is>
          <t>ABR.12/23F - MAY.12/23F - JUN.15/23 - AGO.8/23F - SEP.6/23F - SEP.23/23F</t>
        </is>
      </c>
      <c r="M12" s="9">
        <v>1478000</v>
      </c>
      <c r="N12" s="9"/>
      <c r="O12" t="inlineStr" s="8">
        <is>
          <t>JUN.21/23</t>
        </is>
      </c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2620000</v>
      </c>
      <c r="AG12" s="10">
        <v>12898000</v>
      </c>
      <c r="AH12" s="10"/>
      <c r="AI12" s="10"/>
      <c r="AJ12" s="10">
        <v>14443000</v>
      </c>
      <c r="AK12" s="10">
        <f>21967000+13770000</f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>
        <v>95000000</v>
      </c>
      <c r="BF12" s="9"/>
      <c r="BG12" s="9"/>
      <c r="BH12" s="9"/>
      <c r="BI12" s="9">
        <f>SUM(M12,N12,Q12,R12,S12,T12,U12,V12,W12,X12,Y12,Z12,AA12,AB12,AC12,AD12,AE12,AF12,AG12,AH12,AI12,AJ12,AK12,AL12,AM12,AN12,AO12,AP12,AQ12,AR12,AS12,AT12,AU12,AV12,AW12,AX12,AY12,AZ12,BA12,BB12,BC12,BD12,BE12,BF12,BG12,BH12)</f>
      </c>
      <c r="BJ12" s="9">
        <f>I12-BI12</f>
      </c>
      <c r="BK12" s="9">
        <f>BJ12-BL12-BM12-BN12-BO12</f>
      </c>
      <c r="BL12" s="9"/>
      <c r="BM12" s="9"/>
      <c r="BN12" s="9"/>
      <c r="BO12" s="9"/>
      <c r="BP12" s="8"/>
      <c r="BQ12" t="inlineStr" s="8">
        <is>
          <t>2023-04-04</t>
        </is>
      </c>
      <c r="BR12" t="inlineStr" s="8">
        <is>
          <t>2023-05-10</t>
        </is>
      </c>
      <c r="BS12" s="8"/>
      <c r="BT12" s="8"/>
      <c r="BU12" s="8"/>
      <c r="BV12" s="8"/>
      <c r="BW12" s="8"/>
      <c r="BX12" s="8"/>
      <c r="BY12" s="8"/>
      <c r="BZ12" s="9"/>
      <c r="CA12" s="9"/>
      <c r="CB12" t="inlineStr" s="8">
        <is>
          <t>3166414509</t>
        </is>
      </c>
      <c r="CC12" t="inlineStr" s="8">
        <is>
          <t>ehrmantraut.jane.75159129@example.com</t>
        </is>
      </c>
      <c r="CD12" t="inlineStr" s="8">
        <is>
          <t>FINN CEL: 3166415310</t>
        </is>
      </c>
      <c r="CE12" s="8"/>
    </row>
    <row r="13" ht="12.75" customHeight="1">
      <c r="A13" t="inlineStr" s="8">
        <is>
          <t>60007919100683</t>
        </is>
      </c>
      <c r="B13" s="8"/>
      <c r="C13" t="inlineStr" s="8">
        <is>
          <t>202</t>
        </is>
      </c>
      <c r="D13" s="9">
        <v>55.20</v>
      </c>
      <c r="E13" t="inlineStr" s="8">
        <is>
          <t>75167278</t>
        </is>
      </c>
      <c r="F13" t="inlineStr" s="8">
        <is>
          <t>HOPPER JON</t>
        </is>
      </c>
      <c r="G13" s="8"/>
      <c r="H13" t="inlineStr" s="8">
        <is>
          <t>BANCO CAJA SOCIAL</t>
        </is>
      </c>
      <c r="I13" s="9">
        <v>192172500.00</v>
      </c>
      <c r="J13" t="inlineStr" s="8">
        <is>
          <t>NCR5798 - NCR5796 - NCR5799CR</t>
        </is>
      </c>
      <c r="K13" t="inlineStr" s="8">
        <is>
          <t>NCR5794 - NCR5795 - NCR5797</t>
        </is>
      </c>
      <c r="L13" t="inlineStr" s="8">
        <is>
          <t>ABR.22/23F - MAY.5/23F - JUL.22/23 - SEP.19/23 - OCT.13/23F</t>
        </is>
      </c>
      <c r="M13" s="9">
        <f>9704500+6365000</f>
      </c>
      <c r="N13" s="9"/>
      <c r="O13" t="inlineStr" s="8">
        <is>
          <t>NOV.27/23</t>
        </is>
      </c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4435000</v>
      </c>
      <c r="AG13" s="10">
        <v>27599000</v>
      </c>
      <c r="AH13" s="10"/>
      <c r="AI13" s="10"/>
      <c r="AJ13" s="10"/>
      <c r="AK13" s="10"/>
      <c r="AL13" s="10">
        <v>4069000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9">
        <v>125000000</v>
      </c>
      <c r="BF13" s="9"/>
      <c r="BG13" s="9"/>
      <c r="BH13" s="9"/>
      <c r="BI13" s="9">
        <f>SUM(M13,N13,Q13,R13,S13,T13,U13,V13,W13,X13,Y13,Z13,AA13,AB13,AC13,AD13,AE13,AF13,AG13,AH13,AI13,AJ13,AK13,AL13,AM13,AN13,AO13,AP13,AQ13,AR13,AS13,AT13,AU13,AV13,AW13,AX13,AY13,AZ13,BA13,BB13,BC13,BD13,BE13,BF13,BG13,BH13)</f>
      </c>
      <c r="BJ13" s="9">
        <f>I13-BI13</f>
      </c>
      <c r="BK13" s="9">
        <f>BJ13-BL13-BM13-BN13-BO13</f>
      </c>
      <c r="BL13" s="9"/>
      <c r="BM13" s="9"/>
      <c r="BN13" s="9"/>
      <c r="BO13" s="9"/>
      <c r="BP13" s="8"/>
      <c r="BQ13" t="inlineStr" s="8">
        <is>
          <t>2023-05-21</t>
        </is>
      </c>
      <c r="BR13" t="inlineStr" s="8">
        <is>
          <t>2023-08-16</t>
        </is>
      </c>
      <c r="BS13" s="8"/>
      <c r="BT13" s="8"/>
      <c r="BU13" s="8"/>
      <c r="BV13" s="8"/>
      <c r="BW13" s="8"/>
      <c r="BX13" s="8"/>
      <c r="BY13" s="8"/>
      <c r="BZ13" s="9"/>
      <c r="CA13" s="9"/>
      <c r="CB13" t="inlineStr" s="8">
        <is>
          <t>3166415385</t>
        </is>
      </c>
      <c r="CC13" t="inlineStr" s="8">
        <is>
          <t>hopper.jon.75167278@example.com</t>
        </is>
      </c>
      <c r="CD13" t="inlineStr" s="8">
        <is>
          <t>DUCK DAFFY CEL: 3166416016</t>
        </is>
      </c>
      <c r="CE13" s="8"/>
    </row>
    <row r="14" ht="12.75" customHeight="1">
      <c r="A14" s="8"/>
      <c r="B14" s="8"/>
      <c r="C14" t="inlineStr" s="8">
        <is>
          <t>203</t>
        </is>
      </c>
      <c r="D14" s="9">
        <v>55.20</v>
      </c>
      <c r="E14" s="8"/>
      <c r="F14" s="8"/>
      <c r="G14" s="8"/>
      <c r="H14" s="8"/>
      <c r="I14" s="9">
        <v>192172500.00</v>
      </c>
      <c r="J14" s="8"/>
      <c r="K14" s="8"/>
      <c r="L14" s="8"/>
      <c r="M14" s="9"/>
      <c r="N14" s="9"/>
      <c r="O14" s="8"/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9"/>
      <c r="CA14" s="9"/>
      <c r="CB14" s="8"/>
      <c r="CC14" s="8"/>
      <c r="CD14" s="8"/>
      <c r="CE14" s="8"/>
    </row>
    <row r="15" ht="12.75" customHeight="1">
      <c r="A15" t="inlineStr" s="8">
        <is>
          <t>60007919100778</t>
        </is>
      </c>
      <c r="B15" s="8"/>
      <c r="C15" t="inlineStr" s="8">
        <is>
          <t>204</t>
        </is>
      </c>
      <c r="D15" s="9">
        <v>55.20</v>
      </c>
      <c r="E15" t="inlineStr" s="8">
        <is>
          <t>75191825</t>
        </is>
      </c>
      <c r="F15" t="inlineStr" s="8">
        <is>
          <t>HENDERSON LOIS</t>
        </is>
      </c>
      <c r="G15" s="8"/>
      <c r="H15" s="8"/>
      <c r="I15" s="9">
        <v>192172500.00</v>
      </c>
      <c r="J15" t="inlineStr" s="8">
        <is>
          <t>NCR5810 - NCR5811 - NC5809CESION - NCR5812</t>
        </is>
      </c>
      <c r="K15" t="inlineStr" s="8">
        <is>
          <t>NCR5813</t>
        </is>
      </c>
      <c r="L15" t="inlineStr" s="8">
        <is>
          <t>MAY.3/23F - SEP.6/23 - SEP.22/23 - (OCT.1/23CESION) - OCT.18/23</t>
        </is>
      </c>
      <c r="M15" s="9">
        <f>21438000+4784000+109847000</f>
      </c>
      <c r="N15" s="9">
        <v>15000000</v>
      </c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>
        <v>41103500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/>
      <c r="BF15" s="9"/>
      <c r="BG15" s="9"/>
      <c r="BH15" s="9"/>
      <c r="BI15" s="9">
        <f>SUM(M15,N15,Q15,R15,S15,T15,U15,V15,W15,X15,Y15,Z15,AA15,AB15,AC15,AD15,AE15,AF15,AG15,AH15,AI15,AJ15,AK15,AL15,AM15,AN15,AO15,AP15,AQ15,AR15,AS15,AT15,AU15,AV15,AW15,AX15,AY15,AZ15,BA15,BB15,BC15,BD15,BE15,BF15,BG15,BH15)</f>
      </c>
      <c r="BJ15" s="9">
        <f>I15-BI15</f>
      </c>
      <c r="BK15" s="9">
        <f>BJ15-BL15-BM15-BN15-BO15</f>
      </c>
      <c r="BL15" s="9"/>
      <c r="BM15" s="9"/>
      <c r="BN15" s="9"/>
      <c r="BO15" s="9"/>
      <c r="BP15" s="8"/>
      <c r="BQ15" t="inlineStr" s="8">
        <is>
          <t>2023-02-27</t>
        </is>
      </c>
      <c r="BR15" t="inlineStr" s="8">
        <is>
          <t>2023-06-14</t>
        </is>
      </c>
      <c r="BS15" s="8"/>
      <c r="BT15" s="8"/>
      <c r="BU15" s="8"/>
      <c r="BV15" s="8"/>
      <c r="BW15" s="8"/>
      <c r="BX15" s="8"/>
      <c r="BY15" s="8"/>
      <c r="BZ15" s="9"/>
      <c r="CA15" s="9"/>
      <c r="CB15" t="inlineStr" s="8">
        <is>
          <t>3166417739</t>
        </is>
      </c>
      <c r="CC15" t="inlineStr" s="8">
        <is>
          <t>henderson.lois.75191825@example.com</t>
        </is>
      </c>
      <c r="CD15" t="inlineStr" s="8">
        <is>
          <t>FLINTSTONE FRED CEL: 3166417778</t>
        </is>
      </c>
      <c r="CE15" t="inlineStr" s="8">
        <is>
          <t>NC5809 OCT.1/23 CESION DE TYRION ROMANOFF/BART STARK A LOIS HENDERSON *ANTIC $15.000.000 *ARRAS $4'640</t>
        </is>
      </c>
    </row>
    <row r="16" ht="12.75" customHeight="1">
      <c r="A16" t="inlineStr" s="8">
        <is>
          <t>60007919100940</t>
        </is>
      </c>
      <c r="B16" s="8"/>
      <c r="C16" t="inlineStr" s="8">
        <is>
          <t>205</t>
        </is>
      </c>
      <c r="D16" s="9">
        <v>55.20</v>
      </c>
      <c r="E16" t="inlineStr" s="8">
        <is>
          <t>75196974</t>
        </is>
      </c>
      <c r="F16" t="inlineStr" s="8">
        <is>
          <t>BROWN RICK</t>
        </is>
      </c>
      <c r="G16" s="8"/>
      <c r="H16" t="inlineStr" s="8">
        <is>
          <t>BANCOLOMBIA</t>
        </is>
      </c>
      <c r="I16" s="9">
        <v>192172500.00</v>
      </c>
      <c r="J16" t="inlineStr" s="8">
        <is>
          <t>NCR5820 - NCR5821 - NCR5823CR</t>
        </is>
      </c>
      <c r="K16" t="inlineStr" s="8">
        <is>
          <t>NCR5815 - NCR5816 - NCR5814 - NCR5819 - NCR5822 - NCR5818 - NCR5817</t>
        </is>
      </c>
      <c r="L16" t="inlineStr" s="8">
        <is>
          <t>ABR.12/22F - ABR.16/22F - ABR.18/22F - MAY.27/22F - JUL.25/22F - NOV.3/22F - JUN.6/23 - JUL.13/23F - AGO.2/23</t>
        </is>
      </c>
      <c r="M16" s="9">
        <f>10769000+4038000</f>
      </c>
      <c r="N16" s="9"/>
      <c r="O16" t="inlineStr" s="8">
        <is>
          <t>FEB.3/23</t>
        </is>
      </c>
      <c r="P16" s="8"/>
      <c r="Q16" s="10"/>
      <c r="R16" s="10"/>
      <c r="S16" s="10"/>
      <c r="T16" s="10">
        <f>14246000+1458000+1010000</f>
      </c>
      <c r="U16" s="10">
        <v>43074000</v>
      </c>
      <c r="V16" s="10"/>
      <c r="W16" s="10">
        <v>4262500</v>
      </c>
      <c r="X16" s="10"/>
      <c r="Y16" s="10"/>
      <c r="Z16" s="10"/>
      <c r="AA16" s="10">
        <v>26024000</v>
      </c>
      <c r="AB16" s="10"/>
      <c r="AC16" s="10"/>
      <c r="AD16" s="10"/>
      <c r="AE16" s="10"/>
      <c r="AF16" s="10"/>
      <c r="AG16" s="10"/>
      <c r="AH16" s="10"/>
      <c r="AI16" s="10">
        <v>7291000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>
        <v>80000000</v>
      </c>
      <c r="BF16" s="9"/>
      <c r="BG16" s="9"/>
      <c r="BH16" s="9"/>
      <c r="BI16" s="9">
        <f>SUM(M16,N16,Q16,R16,S16,T16,U16,V16,W16,X16,Y16,Z16,AA16,AB16,AC16,AD16,AE16,AF16,AG16,AH16,AI16,AJ16,AK16,AL16,AM16,AN16,AO16,AP16,AQ16,AR16,AS16,AT16,AU16,AV16,AW16,AX16,AY16,AZ16,BA16,BB16,BC16,BD16,BE16,BF16,BG16,BH16)</f>
      </c>
      <c r="BJ16" s="9">
        <f>I16-BI16</f>
      </c>
      <c r="BK16" s="9">
        <f>BJ16-BL16-BM16-BN16-BO16</f>
      </c>
      <c r="BL16" s="9"/>
      <c r="BM16" s="9"/>
      <c r="BN16" s="9"/>
      <c r="BO16" s="9"/>
      <c r="BP16" s="8"/>
      <c r="BQ16" t="inlineStr" s="8">
        <is>
          <t>2022-04-15</t>
        </is>
      </c>
      <c r="BR16" t="inlineStr" s="8">
        <is>
          <t>2022-07-31</t>
        </is>
      </c>
      <c r="BS16" t="inlineStr" s="8">
        <is>
          <t>2024-01-09</t>
        </is>
      </c>
      <c r="BT16" s="8"/>
      <c r="BU16" s="8"/>
      <c r="BV16" s="8"/>
      <c r="BW16" s="8"/>
      <c r="BX16" s="8"/>
      <c r="BY16" s="8"/>
      <c r="BZ16" s="9"/>
      <c r="CA16" s="9"/>
      <c r="CB16" t="inlineStr" s="8">
        <is>
          <t>3166418133</t>
        </is>
      </c>
      <c r="CC16" t="inlineStr" s="8">
        <is>
          <t>brown.rick.75196974@example.com</t>
        </is>
      </c>
      <c r="CD16" t="inlineStr" s="8">
        <is>
          <t>JAKE CEL: 3166418418</t>
        </is>
      </c>
      <c r="CE16" s="8"/>
    </row>
    <row r="17" ht="12.75" customHeight="1">
      <c r="A17" t="inlineStr" s="8">
        <is>
          <t>60007919101214</t>
        </is>
      </c>
      <c r="B17" s="8"/>
      <c r="C17" t="inlineStr" s="8">
        <is>
          <t>206</t>
        </is>
      </c>
      <c r="D17" s="9">
        <v>55.20</v>
      </c>
      <c r="E17" t="inlineStr" s="8">
        <is>
          <t>75223337</t>
        </is>
      </c>
      <c r="F17" t="inlineStr" s="8">
        <is>
          <t>TRIBBIANI CHLOE</t>
        </is>
      </c>
      <c r="G17" t="inlineStr" s="8">
        <is>
          <t>KENT SHERLOCK</t>
        </is>
      </c>
      <c r="H17" t="inlineStr" s="8">
        <is>
          <t>BANCO DE OCCIDENTE</t>
        </is>
      </c>
      <c r="I17" s="9">
        <v>192172500.00</v>
      </c>
      <c r="J17" t="inlineStr" s="8">
        <is>
          <t>NC5830TRASLADO - NCR5843CR</t>
        </is>
      </c>
      <c r="K17" t="inlineStr" s="8">
        <is>
          <t>NCR5839 - NCR5832 - NCR5831 - NCR5833 - NCR5842 - NCR5837 - NCR5838 - NCR5835 - NCR5834 - NCR5836 - NCR5840 - NCR5841</t>
        </is>
      </c>
      <c r="L17" t="inlineStr" s="8">
        <is>
          <t>ABR.11/22F - ABR.18/22F - MAY.2/22F - MAY.16/22F - JUN.14/22F - JUN.22/22F - JUL.18/22F - SEP.3/22F - SEP.23/22F - (OCT.1/22TRASLADO) - OCT.16/22F - ENE.1/23F - FEB.13/23F</t>
        </is>
      </c>
      <c r="M17" s="9"/>
      <c r="N17" s="9">
        <v>20000000</v>
      </c>
      <c r="O17" t="inlineStr" s="8">
        <is>
          <t>ENE.29/23</t>
        </is>
      </c>
      <c r="P17" s="8"/>
      <c r="Q17" s="10"/>
      <c r="R17" s="10"/>
      <c r="S17" s="10"/>
      <c r="T17" s="10">
        <f>5695000+593000</f>
      </c>
      <c r="U17" s="10">
        <f>254000+2901000</f>
      </c>
      <c r="V17" s="10">
        <f>259500+1101000</f>
      </c>
      <c r="W17" s="10">
        <v>100000</v>
      </c>
      <c r="X17" s="10"/>
      <c r="Y17" s="10">
        <f>1482000+5844000</f>
      </c>
      <c r="Z17" s="10">
        <v>318000</v>
      </c>
      <c r="AA17" s="10"/>
      <c r="AB17" s="10"/>
      <c r="AC17" s="10">
        <v>1228000</v>
      </c>
      <c r="AD17" s="10">
        <v>1397262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>
        <v>125000000</v>
      </c>
      <c r="BF17" s="9"/>
      <c r="BG17" s="9"/>
      <c r="BH17" s="9"/>
      <c r="BI17" s="9">
        <f>SUM(M17,N17,Q17,R17,S17,T17,U17,V17,W17,X17,Y17,Z17,AA17,AB17,AC17,AD17,AE17,AF17,AG17,AH17,AI17,AJ17,AK17,AL17,AM17,AN17,AO17,AP17,AQ17,AR17,AS17,AT17,AU17,AV17,AW17,AX17,AY17,AZ17,BA17,BB17,BC17,BD17,BE17,BF17,BG17,BH17)</f>
      </c>
      <c r="BJ17" s="9">
        <f>I17-BI17</f>
      </c>
      <c r="BK17" s="9">
        <f>BJ17-BL17-BM17-BN17-BO17</f>
      </c>
      <c r="BL17" s="9"/>
      <c r="BM17" s="9"/>
      <c r="BN17" s="9"/>
      <c r="BO17" s="9"/>
      <c r="BP17" s="8"/>
      <c r="BQ17" t="inlineStr" s="8">
        <is>
          <t>2022-07-30</t>
        </is>
      </c>
      <c r="BR17" t="inlineStr" s="8">
        <is>
          <t>2022-10-26</t>
        </is>
      </c>
      <c r="BS17" s="8"/>
      <c r="BT17" s="8"/>
      <c r="BU17" s="8"/>
      <c r="BV17" s="8"/>
      <c r="BW17" s="8"/>
      <c r="BX17" s="8"/>
      <c r="BY17" s="8"/>
      <c r="BZ17" s="9"/>
      <c r="CA17" s="9"/>
      <c r="CB17" t="inlineStr" s="8">
        <is>
          <t>3166420443</t>
        </is>
      </c>
      <c r="CC17" t="inlineStr" s="8">
        <is>
          <t>tribbiani.chloe.75223337@example.com</t>
        </is>
      </c>
      <c r="CD17" t="inlineStr" s="8">
        <is>
          <t>BUNNY BUGS CEL: 3166421628</t>
        </is>
      </c>
      <c r="CE17" s="8"/>
    </row>
    <row r="18" ht="12.75" customHeight="1">
      <c r="A18" t="inlineStr" s="8">
        <is>
          <t>60007919101372</t>
        </is>
      </c>
      <c r="B18" s="8"/>
      <c r="C18" t="inlineStr" s="8">
        <is>
          <t>207</t>
        </is>
      </c>
      <c r="D18" s="9">
        <v>55.20</v>
      </c>
      <c r="E18" t="inlineStr" s="8">
        <is>
          <t>75231556</t>
        </is>
      </c>
      <c r="F18" t="inlineStr" s="8">
        <is>
          <t>MAYFIELD WILL</t>
        </is>
      </c>
      <c r="G18" s="8"/>
      <c r="H18" t="inlineStr" s="8">
        <is>
          <t>BANCOLOMBIA</t>
        </is>
      </c>
      <c r="I18" s="9">
        <v>192172500.00</v>
      </c>
      <c r="J18" t="inlineStr" s="8">
        <is>
          <t>NCR5852 - NCR5853CR</t>
        </is>
      </c>
      <c r="K18" t="inlineStr" s="8">
        <is>
          <t>NCR5850 - NCR5851 - NCR5847 - NCR5846 - NCR5849 - NCR5848 - NCR5845</t>
        </is>
      </c>
      <c r="L18" t="inlineStr" s="8">
        <is>
          <t>ENE.18/24F - FEB.27/24F - MAR.7/24F - ABR.2/24F - ABR.15/24F - JUN.6/24 - OCT.19/24F - NOV.8/24F</t>
        </is>
      </c>
      <c r="M18" s="9">
        <v>15248500</v>
      </c>
      <c r="N18" s="9"/>
      <c r="O18" t="inlineStr" s="8">
        <is>
          <t>AGO.3/24</t>
        </is>
      </c>
      <c r="P18" s="8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>
        <v>5172000</v>
      </c>
      <c r="AP18" s="10">
        <v>16390000</v>
      </c>
      <c r="AQ18" s="10">
        <v>4568000</v>
      </c>
      <c r="AR18" s="10">
        <f>10680000+1075000</f>
      </c>
      <c r="AS18" s="10"/>
      <c r="AT18" s="10"/>
      <c r="AU18" s="10"/>
      <c r="AV18" s="10"/>
      <c r="AW18" s="10"/>
      <c r="AX18" s="10">
        <v>3627000</v>
      </c>
      <c r="AY18" s="10">
        <v>10412000</v>
      </c>
      <c r="AZ18" s="10"/>
      <c r="BA18" s="10"/>
      <c r="BB18" s="10"/>
      <c r="BC18" s="10"/>
      <c r="BD18" s="10"/>
      <c r="BE18" s="9">
        <v>95000000</v>
      </c>
      <c r="BF18" s="9"/>
      <c r="BG18" s="9"/>
      <c r="BH18" s="9"/>
      <c r="BI18" s="9">
        <f>SUM(M18,N18,Q18,R18,S18,T18,U18,V18,W18,X18,Y18,Z18,AA18,AB18,AC18,AD18,AE18,AF18,AG18,AH18,AI18,AJ18,AK18,AL18,AM18,AN18,AO18,AP18,AQ18,AR18,AS18,AT18,AU18,AV18,AW18,AX18,AY18,AZ18,BA18,BB18,BC18,BD18,BE18,BF18,BG18,BH18)</f>
      </c>
      <c r="BJ18" s="9">
        <f>I18-BI18</f>
      </c>
      <c r="BK18" s="9">
        <f>BJ18-BL18-BM18-BN18-BO18</f>
      </c>
      <c r="BL18" s="9"/>
      <c r="BM18" s="9"/>
      <c r="BN18" s="9"/>
      <c r="BO18" s="9"/>
      <c r="BP18" s="8"/>
      <c r="BQ18" t="inlineStr" s="8">
        <is>
          <t>2024-02-25</t>
        </is>
      </c>
      <c r="BR18" t="inlineStr" s="8">
        <is>
          <t>2024-03-27</t>
        </is>
      </c>
      <c r="BS18" t="inlineStr" s="8">
        <is>
          <t>2025-01-18</t>
        </is>
      </c>
      <c r="BT18" s="8"/>
      <c r="BU18" s="8"/>
      <c r="BV18" s="8"/>
      <c r="BW18" s="8"/>
      <c r="BX18" s="8"/>
      <c r="BY18" s="8"/>
      <c r="BZ18" s="9"/>
      <c r="CA18" s="9"/>
      <c r="CB18" t="inlineStr" s="8">
        <is>
          <t>3166422240</t>
        </is>
      </c>
      <c r="CC18" t="inlineStr" s="8">
        <is>
          <t>mayfield.will.75231556@example.com</t>
        </is>
      </c>
      <c r="CD18" t="inlineStr" s="8">
        <is>
          <t>FINN CEL: 3166422303</t>
        </is>
      </c>
      <c r="CE18" s="8"/>
    </row>
    <row r="19" ht="12.75" customHeight="1">
      <c r="A19" t="inlineStr" s="8">
        <is>
          <t>60007919101452</t>
        </is>
      </c>
      <c r="B19" s="8"/>
      <c r="C19" t="inlineStr" s="8">
        <is>
          <t>301</t>
        </is>
      </c>
      <c r="D19" s="9">
        <v>55.20</v>
      </c>
      <c r="E19" t="inlineStr" s="8">
        <is>
          <t>75234783</t>
        </is>
      </c>
      <c r="F19" t="inlineStr" s="8">
        <is>
          <t>TARGARYEN SPONGEBOB</t>
        </is>
      </c>
      <c r="G19" s="8"/>
      <c r="H19" t="inlineStr" s="8">
        <is>
          <t>BANCO DAVIVIENDA</t>
        </is>
      </c>
      <c r="I19" s="9">
        <v>192172500.00</v>
      </c>
      <c r="J19" t="inlineStr" s="8">
        <is>
          <t>NCR5856 - NCR5857 - NCR5863CR</t>
        </is>
      </c>
      <c r="K19" t="inlineStr" s="8">
        <is>
          <t>NCR5861 - NCR5855 - NCR5858 - NCR5859 - NCR5862 - NCR5860</t>
        </is>
      </c>
      <c r="L19" t="inlineStr" s="8">
        <is>
          <t>OCT.22/23 - DIC.23/23F - ENE.7/24F - FEB.5/24F - AGO.22/24F - SEP.14/24F - SEP.26/24F - DIC.14/24</t>
        </is>
      </c>
      <c r="M19" s="9">
        <f>3768000+896000</f>
      </c>
      <c r="N19" s="9"/>
      <c r="O19" t="inlineStr" s="8">
        <is>
          <t>DIC.2/24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>
        <v>8154000</v>
      </c>
      <c r="AO19" s="10">
        <v>1792000</v>
      </c>
      <c r="AP19" s="10">
        <v>958000</v>
      </c>
      <c r="AQ19" s="10"/>
      <c r="AR19" s="10"/>
      <c r="AS19" s="10"/>
      <c r="AT19" s="10"/>
      <c r="AU19" s="10"/>
      <c r="AV19" s="10">
        <v>6270000</v>
      </c>
      <c r="AW19" s="10">
        <f>8432000+618000</f>
      </c>
      <c r="AX19" s="10"/>
      <c r="AY19" s="10"/>
      <c r="AZ19" s="10"/>
      <c r="BA19" s="10"/>
      <c r="BB19" s="10"/>
      <c r="BC19" s="10"/>
      <c r="BD19" s="10"/>
      <c r="BE19" s="9">
        <v>80000000</v>
      </c>
      <c r="BF19" s="9"/>
      <c r="BG19" s="9"/>
      <c r="BH19" s="9"/>
      <c r="BI19" s="9">
        <f>SUM(M19,N19,Q19,R19,S19,T19,U19,V19,W19,X19,Y19,Z19,AA19,AB19,AC19,AD19,AE19,AF19,AG19,AH19,AI19,AJ19,AK19,AL19,AM19,AN19,AO19,AP19,AQ19,AR19,AS19,AT19,AU19,AV19,AW19,AX19,AY19,AZ19,BA19,BB19,BC19,BD19,BE19,BF19,BG19,BH19)</f>
      </c>
      <c r="BJ19" s="9">
        <f>I19-BI19</f>
      </c>
      <c r="BK19" s="9">
        <f>BJ19-BL19-BM19-BN19-BO19</f>
      </c>
      <c r="BL19" s="9"/>
      <c r="BM19" s="9"/>
      <c r="BN19" s="9"/>
      <c r="BO19" s="9"/>
      <c r="BP19" s="8"/>
      <c r="BQ19" t="inlineStr" s="8">
        <is>
          <t>2023-09-16</t>
        </is>
      </c>
      <c r="BR19" t="inlineStr" s="8">
        <is>
          <t>2023-10-01</t>
        </is>
      </c>
      <c r="BS19" s="8"/>
      <c r="BT19" s="8"/>
      <c r="BU19" s="8"/>
      <c r="BV19" s="8"/>
      <c r="BW19" s="8"/>
      <c r="BX19" s="8"/>
      <c r="BY19" s="8"/>
      <c r="BZ19" s="9"/>
      <c r="CA19" s="9"/>
      <c r="CB19" t="inlineStr" s="8">
        <is>
          <t>3166422500</t>
        </is>
      </c>
      <c r="CC19" t="inlineStr" s="8">
        <is>
          <t>targaryen.spongebob.75234783@example.com</t>
        </is>
      </c>
      <c r="CD19" t="inlineStr" s="8">
        <is>
          <t>MOUSE MINNIE CEL: 3166423270</t>
        </is>
      </c>
      <c r="CE19" s="8"/>
    </row>
    <row r="20" ht="12.75" customHeight="1">
      <c r="A20" t="inlineStr" s="8">
        <is>
          <t>60007919101512</t>
        </is>
      </c>
      <c r="B20" s="8"/>
      <c r="C20" t="inlineStr" s="8">
        <is>
          <t>302</t>
        </is>
      </c>
      <c r="D20" s="9">
        <v>55.20</v>
      </c>
      <c r="E20" t="inlineStr" s="8">
        <is>
          <t>75239185</t>
        </is>
      </c>
      <c r="F20" t="inlineStr" s="8">
        <is>
          <t>DECKER CHANDLER</t>
        </is>
      </c>
      <c r="G20" s="8"/>
      <c r="H20" t="inlineStr" s="8">
        <is>
          <t>BANCO DE BOGOTA</t>
        </is>
      </c>
      <c r="I20" s="9">
        <v>192172500.00</v>
      </c>
      <c r="J20" t="inlineStr" s="8">
        <is>
          <t>NCR5866 - NCR5870 - NCR5868 - NCR5871 - NCR5873 - NCR5876 - NCR5879CR</t>
        </is>
      </c>
      <c r="K20" t="inlineStr" s="8">
        <is>
          <t>NCR5877 - NCR5878 - NCR5867 - NCR5869 - NCR5865 - NCR5872 - NCR5874 - NCR5875</t>
        </is>
      </c>
      <c r="L20" t="inlineStr" s="8">
        <is>
          <t>MAY.12/23F - JUN.4/23F - JUL.8/23F - JUL.13/23F - JUL.26/23F - AGO.18/23 - AGO.25/23 - SEP.25/23 - OCT.7/23 - NOV.6/23 - DIC.6/23 - ENE.23/24F - FEB.16/24F - MAY.3/24F</t>
        </is>
      </c>
      <c r="M20" s="9">
        <f>122000+109000+343000+333000+100000+163000</f>
      </c>
      <c r="N20" s="9"/>
      <c r="O20" t="inlineStr" s="8">
        <is>
          <t>FEB.11/24</t>
        </is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>
        <v>160000</v>
      </c>
      <c r="AH20" s="10">
        <v>41000</v>
      </c>
      <c r="AI20" s="10">
        <f>632000+608000+183000</f>
      </c>
      <c r="AJ20" s="10"/>
      <c r="AK20" s="10"/>
      <c r="AL20" s="10"/>
      <c r="AM20" s="10"/>
      <c r="AN20" s="10"/>
      <c r="AO20" s="10">
        <v>251000</v>
      </c>
      <c r="AP20" s="10">
        <v>190000</v>
      </c>
      <c r="AQ20" s="10"/>
      <c r="AR20" s="10"/>
      <c r="AS20" s="10">
        <v>163000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9">
        <v>65000000</v>
      </c>
      <c r="BF20" s="9"/>
      <c r="BG20" s="9"/>
      <c r="BH20" s="9"/>
      <c r="BI20" s="9">
        <f>SUM(M20,N20,Q20,R20,S20,T20,U20,V20,W20,X20,Y20,Z20,AA20,AB20,AC20,AD20,AE20,AF20,AG20,AH20,AI20,AJ20,AK20,AL20,AM20,AN20,AO20,AP20,AQ20,AR20,AS20,AT20,AU20,AV20,AW20,AX20,AY20,AZ20,BA20,BB20,BC20,BD20,BE20,BF20,BG20,BH20)</f>
      </c>
      <c r="BJ20" s="9">
        <f>I20-BI20</f>
      </c>
      <c r="BK20" s="9">
        <f>BJ20-BL20-BM20-BN20-BO20</f>
      </c>
      <c r="BL20" s="9"/>
      <c r="BM20" s="9"/>
      <c r="BN20" s="9"/>
      <c r="BO20" s="9"/>
      <c r="BP20" s="8"/>
      <c r="BQ20" t="inlineStr" s="8">
        <is>
          <t>2023-07-03</t>
        </is>
      </c>
      <c r="BR20" t="inlineStr" s="8">
        <is>
          <t>2023-10-12</t>
        </is>
      </c>
      <c r="BS20" s="8"/>
      <c r="BT20" s="8"/>
      <c r="BU20" s="8"/>
      <c r="BV20" s="8"/>
      <c r="BW20" s="8"/>
      <c r="BX20" s="8"/>
      <c r="BY20" s="8"/>
      <c r="BZ20" s="9"/>
      <c r="CA20" s="9"/>
      <c r="CB20" t="inlineStr" s="8">
        <is>
          <t>3166423685</t>
        </is>
      </c>
      <c r="CC20" t="inlineStr" s="8">
        <is>
          <t>decker.chandler.75239185@example.com</t>
        </is>
      </c>
      <c r="CD20" t="inlineStr" s="8">
        <is>
          <t>PANTHER PINK CEL: 3166424384</t>
        </is>
      </c>
      <c r="CE20" s="8"/>
    </row>
    <row r="21" ht="12.75" customHeight="1">
      <c r="A21" t="inlineStr" s="8">
        <is>
          <t>60007919101560</t>
        </is>
      </c>
      <c r="B21" s="8"/>
      <c r="C21" t="inlineStr" s="8">
        <is>
          <t>303</t>
        </is>
      </c>
      <c r="D21" s="9">
        <v>55.20</v>
      </c>
      <c r="E21" t="inlineStr" s="8">
        <is>
          <t>75242535</t>
        </is>
      </c>
      <c r="F21" t="inlineStr" s="8">
        <is>
          <t>KENOBI STEVE</t>
        </is>
      </c>
      <c r="G21" t="inlineStr" s="8">
        <is>
          <t>GREEN LEGOLAS</t>
        </is>
      </c>
      <c r="H21" t="inlineStr" s="8">
        <is>
          <t>BANCOLOMBIA</t>
        </is>
      </c>
      <c r="I21" s="9">
        <v>192172500.00</v>
      </c>
      <c r="J21" t="inlineStr" s="8">
        <is>
          <t>NCR5882 - NCR5881 - NCR5887CR</t>
        </is>
      </c>
      <c r="K21" t="inlineStr" s="8">
        <is>
          <t>NCR5885 - NCR5886 - NCR5883 - NCR5884</t>
        </is>
      </c>
      <c r="L21" t="inlineStr" s="8">
        <is>
          <t>OCT.10/23 - OCT.12/23 - NOV.18/23F - MAR.4/24F - MAY.18/24F - JUN.7/24F</t>
        </is>
      </c>
      <c r="M21" s="9">
        <f>6516000+44267000</f>
      </c>
      <c r="N21" s="9"/>
      <c r="O21" t="inlineStr" s="8">
        <is>
          <t>FEB.22/24</t>
        </is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>
        <v>403000</v>
      </c>
      <c r="AN21" s="10"/>
      <c r="AO21" s="10"/>
      <c r="AP21" s="10"/>
      <c r="AQ21" s="10">
        <v>3425500</v>
      </c>
      <c r="AR21" s="10"/>
      <c r="AS21" s="10">
        <v>5172000</v>
      </c>
      <c r="AT21" s="10">
        <v>7389000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9">
        <v>125000000</v>
      </c>
      <c r="BF21" s="9"/>
      <c r="BG21" s="9"/>
      <c r="BH21" s="9"/>
      <c r="BI21" s="9">
        <f>SUM(M21,N21,Q21,R21,S21,T21,U21,V21,W21,X21,Y21,Z21,AA21,AB21,AC21,AD21,AE21,AF21,AG21,AH21,AI21,AJ21,AK21,AL21,AM21,AN21,AO21,AP21,AQ21,AR21,AS21,AT21,AU21,AV21,AW21,AX21,AY21,AZ21,BA21,BB21,BC21,BD21,BE21,BF21,BG21,BH21)</f>
      </c>
      <c r="BJ21" s="9">
        <f>I21-BI21</f>
      </c>
      <c r="BK21" s="9">
        <f>BJ21-BL21-BM21-BN21-BO21</f>
      </c>
      <c r="BL21" s="9"/>
      <c r="BM21" s="9"/>
      <c r="BN21" s="9"/>
      <c r="BO21" s="9"/>
      <c r="BP21" s="8"/>
      <c r="BQ21" t="inlineStr" s="8">
        <is>
          <t>2023-10-22</t>
        </is>
      </c>
      <c r="BR21" t="inlineStr" s="8">
        <is>
          <t>2024-01-31</t>
        </is>
      </c>
      <c r="BS21" t="inlineStr" s="8">
        <is>
          <t>2024-11-03</t>
        </is>
      </c>
      <c r="BT21" s="8"/>
      <c r="BU21" s="8"/>
      <c r="BV21" s="8"/>
      <c r="BW21" s="8"/>
      <c r="BX21" s="8"/>
      <c r="BY21" s="8"/>
      <c r="BZ21" s="9"/>
      <c r="CA21" s="9"/>
      <c r="CB21" t="inlineStr" s="8">
        <is>
          <t>3166424480</t>
        </is>
      </c>
      <c r="CC21" t="inlineStr" s="8">
        <is>
          <t>kenobi.steve.75242535@example.com</t>
        </is>
      </c>
      <c r="CD21" t="inlineStr" s="8">
        <is>
          <t>DUCK DAFFY CEL: 3166425651</t>
        </is>
      </c>
      <c r="CE21" s="8"/>
    </row>
    <row r="22" ht="12.75" customHeight="1">
      <c r="A22" s="8"/>
      <c r="B22" s="8"/>
      <c r="C22" t="inlineStr" s="8">
        <is>
          <t>304</t>
        </is>
      </c>
      <c r="D22" s="9">
        <v>55.20</v>
      </c>
      <c r="E22" s="8"/>
      <c r="F22" s="8"/>
      <c r="G22" s="8"/>
      <c r="H22" t="inlineStr" s="8">
        <is>
          <t>BANCO DE OCCIDENTE</t>
        </is>
      </c>
      <c r="I22" s="9">
        <v>192172500.00</v>
      </c>
      <c r="J22" s="8"/>
      <c r="K22" s="8"/>
      <c r="L22" s="8"/>
      <c r="M22" s="9"/>
      <c r="N22" s="9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9"/>
      <c r="CA22" s="9"/>
      <c r="CB22" s="8"/>
      <c r="CC22" s="8"/>
      <c r="CD22" s="8"/>
      <c r="CE22" s="8"/>
    </row>
    <row r="23" ht="12.75" customHeight="1">
      <c r="A23" t="inlineStr" s="8">
        <is>
          <t>60007919101809</t>
        </is>
      </c>
      <c r="B23" s="8"/>
      <c r="C23" t="inlineStr" s="8">
        <is>
          <t>305</t>
        </is>
      </c>
      <c r="D23" s="9">
        <v>55.20</v>
      </c>
      <c r="E23" t="inlineStr" s="8">
        <is>
          <t>75256327</t>
        </is>
      </c>
      <c r="F23" t="inlineStr" s="8">
        <is>
          <t>LANNISTER PHOEBE</t>
        </is>
      </c>
      <c r="G23" t="inlineStr" s="8">
        <is>
          <t>WEASLEY SAMWISE</t>
        </is>
      </c>
      <c r="H23" s="8"/>
      <c r="I23" s="9">
        <v>192172500.00</v>
      </c>
      <c r="J23" t="inlineStr" s="8">
        <is>
          <t>NCR5905</t>
        </is>
      </c>
      <c r="K23" t="inlineStr" s="8">
        <is>
          <t>NCR5911 - NCR5906 - NCR5903 - NCR5902 - NCR5904 - NCR5914 - NCR5912 - NCR5907 - NCR5908 - NCR5913 - NCR5909 - NCR5910</t>
        </is>
      </c>
      <c r="L23" t="inlineStr" s="8">
        <is>
          <t>MAR.22/22F - ABR.10/22F - ABR.16/22F - ABR.19/22F - MAY.3/22F - AGO.26/22F - NOV.1/22F - DIC.14/22F - ENE.24/23F - MAR.26/23F - ABR.9/23F - JUL.7/23F - AGO.27/23</t>
        </is>
      </c>
      <c r="M23" s="9">
        <v>19684000</v>
      </c>
      <c r="N23" s="9"/>
      <c r="O23" s="8"/>
      <c r="P23" s="8"/>
      <c r="Q23" s="10"/>
      <c r="R23" s="10"/>
      <c r="S23" s="10">
        <v>5409000</v>
      </c>
      <c r="T23" s="10">
        <f>11420000+9015000+10668000</f>
      </c>
      <c r="U23" s="10">
        <v>10218000</v>
      </c>
      <c r="V23" s="10"/>
      <c r="W23" s="10"/>
      <c r="X23" s="10">
        <v>20736000</v>
      </c>
      <c r="Y23" s="10"/>
      <c r="Z23" s="10"/>
      <c r="AA23" s="10">
        <v>6461000</v>
      </c>
      <c r="AB23" s="10">
        <v>14725000</v>
      </c>
      <c r="AC23" s="10">
        <v>5710000</v>
      </c>
      <c r="AD23" s="10"/>
      <c r="AE23" s="10">
        <v>3456000</v>
      </c>
      <c r="AF23" s="10">
        <v>3456000</v>
      </c>
      <c r="AG23" s="10"/>
      <c r="AH23" s="10"/>
      <c r="AI23" s="10">
        <v>29300000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/>
      <c r="BF23" s="9"/>
      <c r="BG23" s="9"/>
      <c r="BH23" s="9"/>
      <c r="BI23" s="9">
        <f>SUM(M23,N23,Q23,R23,S23,T23,U23,V23,W23,X23,Y23,Z23,AA23,AB23,AC23,AD23,AE23,AF23,AG23,AH23,AI23,AJ23,AK23,AL23,AM23,AN23,AO23,AP23,AQ23,AR23,AS23,AT23,AU23,AV23,AW23,AX23,AY23,AZ23,BA23,BB23,BC23,BD23,BE23,BF23,BG23,BH23)</f>
      </c>
      <c r="BJ23" s="9">
        <f>I23-BI23</f>
      </c>
      <c r="BK23" s="9">
        <f>BJ23-BL23-BM23-BN23-BO23</f>
      </c>
      <c r="BL23" s="9"/>
      <c r="BM23" s="9"/>
      <c r="BN23" s="9"/>
      <c r="BO23" s="9"/>
      <c r="BP23" s="8"/>
      <c r="BQ23" t="inlineStr" s="8">
        <is>
          <t>2022-03-28</t>
        </is>
      </c>
      <c r="BR23" t="inlineStr" s="8">
        <is>
          <t>2022-07-08</t>
        </is>
      </c>
      <c r="BS23" s="8"/>
      <c r="BT23" s="8"/>
      <c r="BU23" s="8"/>
      <c r="BV23" s="8"/>
      <c r="BW23" s="8"/>
      <c r="BX23" s="8"/>
      <c r="BY23" s="8"/>
      <c r="BZ23" s="9"/>
      <c r="CA23" s="9"/>
      <c r="CB23" t="inlineStr" s="8">
        <is>
          <t>3166427499</t>
        </is>
      </c>
      <c r="CC23" t="inlineStr" s="8">
        <is>
          <t>lannister.phoebe.75256327@example.com</t>
        </is>
      </c>
      <c r="CD23" t="inlineStr" s="8">
        <is>
          <t>JETSON GEORGE CEL: 3166428836</t>
        </is>
      </c>
      <c r="CE23" s="8"/>
    </row>
    <row r="24" ht="12.75" customHeight="1">
      <c r="A24" t="inlineStr" s="8">
        <is>
          <t>60007919102076</t>
        </is>
      </c>
      <c r="B24" s="8"/>
      <c r="C24" t="inlineStr" s="8">
        <is>
          <t>306</t>
        </is>
      </c>
      <c r="D24" s="9">
        <v>55.20</v>
      </c>
      <c r="E24" t="inlineStr" s="8">
        <is>
          <t>75276349</t>
        </is>
      </c>
      <c r="F24" t="inlineStr" s="8">
        <is>
          <t>SCHRUTE SQUIDWARD</t>
        </is>
      </c>
      <c r="G24" s="8"/>
      <c r="H24" t="inlineStr" s="8">
        <is>
          <t>BANCOLOMBIA</t>
        </is>
      </c>
      <c r="I24" s="9">
        <v>192172500.00</v>
      </c>
      <c r="J24" t="inlineStr" s="8">
        <is>
          <t>NC5916TRASLADO - NCR5921CR</t>
        </is>
      </c>
      <c r="K24" t="inlineStr" s="8">
        <is>
          <t>NCR5919 - NCR5918 - NCR5917 - NCR5920</t>
        </is>
      </c>
      <c r="L24" t="inlineStr" s="8">
        <is>
          <t>SEP.6/23F - (SEP.17/23TRASLADO) - SEP.19/23F - SEP.27/23F - ENE.13/24F</t>
        </is>
      </c>
      <c r="M24" s="9"/>
      <c r="N24" s="9">
        <v>15000000</v>
      </c>
      <c r="O24" t="inlineStr" s="8">
        <is>
          <t>JUL.3/23</t>
        </is>
      </c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f>450000+22842000+5180000</f>
      </c>
      <c r="AL24" s="10"/>
      <c r="AM24" s="10"/>
      <c r="AN24" s="10"/>
      <c r="AO24" s="10">
        <v>3700500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>
        <v>125000000</v>
      </c>
      <c r="BF24" s="9"/>
      <c r="BG24" s="9"/>
      <c r="BH24" s="9"/>
      <c r="BI24" s="9">
        <f>SUM(M24,N24,Q24,R24,S24,T24,U24,V24,W24,X24,Y24,Z24,AA24,AB24,AC24,AD24,AE24,AF24,AG24,AH24,AI24,AJ24,AK24,AL24,AM24,AN24,AO24,AP24,AQ24,AR24,AS24,AT24,AU24,AV24,AW24,AX24,AY24,AZ24,BA24,BB24,BC24,BD24,BE24,BF24,BG24,BH24)</f>
      </c>
      <c r="BJ24" s="9">
        <f>I24-BI24</f>
      </c>
      <c r="BK24" s="9">
        <f>BJ24-BL24-BM24-BN24-BO24</f>
      </c>
      <c r="BL24" s="9"/>
      <c r="BM24" s="9"/>
      <c r="BN24" s="9"/>
      <c r="BO24" s="9"/>
      <c r="BP24" s="8"/>
      <c r="BQ24" t="inlineStr" s="8">
        <is>
          <t>2022-06-25</t>
        </is>
      </c>
      <c r="BR24" t="inlineStr" s="8">
        <is>
          <t>2022-08-27</t>
        </is>
      </c>
      <c r="BS24" t="inlineStr" s="8">
        <is>
          <t>2024-02-26</t>
        </is>
      </c>
      <c r="BT24" s="8"/>
      <c r="BU24" s="8"/>
      <c r="BV24" s="8"/>
      <c r="BW24" s="8"/>
      <c r="BX24" s="8"/>
      <c r="BY24" s="8"/>
      <c r="BZ24" s="9"/>
      <c r="CA24" s="9"/>
      <c r="CB24" t="inlineStr" s="8">
        <is>
          <t>3166430114</t>
        </is>
      </c>
      <c r="CC24" t="inlineStr" s="8">
        <is>
          <t>schrute.squidward.75276349@example.com</t>
        </is>
      </c>
      <c r="CD24" t="inlineStr" s="8">
        <is>
          <t>BUNNY BUGS CEL: 3166430424</t>
        </is>
      </c>
      <c r="CE24" t="inlineStr" s="8">
        <is>
          <t>NC5916 SEP.17/23 TRASLADO DE LUCAS TRIBBIANI/JOEY SKYWALKER A SQUIDWARD SCHRUTE *ANTIC $15.000.000 *ARRAS $4'640</t>
        </is>
      </c>
    </row>
    <row r="25" ht="12.75" customHeight="1">
      <c r="A25" t="inlineStr" s="8">
        <is>
          <t>60007919102251</t>
        </is>
      </c>
      <c r="B25" s="8"/>
      <c r="C25" t="inlineStr" s="8">
        <is>
          <t>307</t>
        </is>
      </c>
      <c r="D25" s="9">
        <v>55.20</v>
      </c>
      <c r="E25" t="inlineStr" s="8">
        <is>
          <t>75280561</t>
        </is>
      </c>
      <c r="F25" t="inlineStr" s="8">
        <is>
          <t>SMITH PATRICK</t>
        </is>
      </c>
      <c r="G25" t="inlineStr" s="8">
        <is>
          <t>SNOW EUGENE</t>
        </is>
      </c>
      <c r="H25" s="8"/>
      <c r="I25" s="9">
        <v>192172500.00</v>
      </c>
      <c r="J25" t="inlineStr" s="8">
        <is>
          <t>NCR5926</t>
        </is>
      </c>
      <c r="K25" t="inlineStr" s="8">
        <is>
          <t>NCR5930 - NCR5929 - NCR5925 - NCR5928 - NCR5924 - NCR5927</t>
        </is>
      </c>
      <c r="L25" t="inlineStr" s="8">
        <is>
          <t>OCT.11/23 - DIC.17/23F - FEB.5/24F - FEB.24/24F - FEB.25/24F - FEB.27/24F - JUL.16/24F</t>
        </is>
      </c>
      <c r="M25" s="9">
        <v>10762000</v>
      </c>
      <c r="N25" s="9"/>
      <c r="O25" s="8"/>
      <c r="P25" s="8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>
        <v>2882500</v>
      </c>
      <c r="AO25" s="10"/>
      <c r="AP25" s="10">
        <f>36513000+17680000+1345000+50349000</f>
      </c>
      <c r="AQ25" s="10"/>
      <c r="AR25" s="10"/>
      <c r="AS25" s="10"/>
      <c r="AT25" s="10"/>
      <c r="AU25" s="10">
        <v>72641000</v>
      </c>
      <c r="AV25" s="10"/>
      <c r="AW25" s="10"/>
      <c r="AX25" s="10"/>
      <c r="AY25" s="10"/>
      <c r="AZ25" s="10"/>
      <c r="BA25" s="10"/>
      <c r="BB25" s="10"/>
      <c r="BC25" s="10"/>
      <c r="BD25" s="10"/>
      <c r="BE25" s="9"/>
      <c r="BF25" s="9"/>
      <c r="BG25" s="9"/>
      <c r="BH25" s="9"/>
      <c r="BI25" s="9">
        <f>SUM(M25,N25,Q25,R25,S25,T25,U25,V25,W25,X25,Y25,Z25,AA25,AB25,AC25,AD25,AE25,AF25,AG25,AH25,AI25,AJ25,AK25,AL25,AM25,AN25,AO25,AP25,AQ25,AR25,AS25,AT25,AU25,AV25,AW25,AX25,AY25,AZ25,BA25,BB25,BC25,BD25,BE25,BF25,BG25,BH25)</f>
      </c>
      <c r="BJ25" s="9">
        <f>I25-BI25</f>
      </c>
      <c r="BK25" s="9">
        <f>BJ25-BL25-BM25-BN25-BO25</f>
      </c>
      <c r="BL25" s="9"/>
      <c r="BM25" s="9"/>
      <c r="BN25" s="9"/>
      <c r="BO25" s="9"/>
      <c r="BP25" s="8"/>
      <c r="BQ25" t="inlineStr" s="8">
        <is>
          <t>2023-11-28</t>
        </is>
      </c>
      <c r="BR25" t="inlineStr" s="8">
        <is>
          <t>2024-03-02</t>
        </is>
      </c>
      <c r="BS25" s="8"/>
      <c r="BT25" s="8"/>
      <c r="BU25" s="8"/>
      <c r="BV25" s="8"/>
      <c r="BW25" s="8"/>
      <c r="BX25" s="8"/>
      <c r="BY25" s="8"/>
      <c r="BZ25" s="9"/>
      <c r="CA25" s="9"/>
      <c r="CB25" t="inlineStr" s="8">
        <is>
          <t>3166430619</t>
        </is>
      </c>
      <c r="CC25" t="inlineStr" s="8">
        <is>
          <t>smith.patrick.75280561@example.com</t>
        </is>
      </c>
      <c r="CD25" t="inlineStr" s="8">
        <is>
          <t>MOUSE MICKEY CEL: 3166431562</t>
        </is>
      </c>
      <c r="CE25" s="8"/>
    </row>
    <row r="26" ht="12.75" customHeight="1">
      <c r="A26" t="inlineStr" s="8">
        <is>
          <t>60007919102315</t>
        </is>
      </c>
      <c r="B26" s="8"/>
      <c r="C26" t="inlineStr" s="8">
        <is>
          <t>401</t>
        </is>
      </c>
      <c r="D26" s="9">
        <v>55.20</v>
      </c>
      <c r="E26" t="inlineStr" s="8">
        <is>
          <t>75291947</t>
        </is>
      </c>
      <c r="F26" t="inlineStr" s="8">
        <is>
          <t>COOPER HOWARD</t>
        </is>
      </c>
      <c r="G26" s="8"/>
      <c r="H26" t="inlineStr" s="8">
        <is>
          <t>BANCO DE BOGOTA</t>
        </is>
      </c>
      <c r="I26" s="9">
        <v>192172500.00</v>
      </c>
      <c r="J26" t="inlineStr" s="8">
        <is>
          <t>NCR5942 - NCR5936 - NCR5945CR</t>
        </is>
      </c>
      <c r="K26" t="inlineStr" s="8">
        <is>
          <t>NCR5935 - NCR5943 - NCR5938 - NCR5937 - NCR5940 - NCR5932 - NCR5934 - NCR5933 - NCR5931 - NCR5939 - NCR5941 - NCR5944</t>
        </is>
      </c>
      <c r="L26" t="inlineStr" s="8">
        <is>
          <t>AGO.17/22F - SEP.1/22F - OCT.16/22F - OCT.24/22F - ENE.13/23F - FEB.4/23F - FEB.6/23F - FEB.8/23F - FEB.17/23F - FEB.20/23F - MAY.2/23F - MAY.26/23F - JUL.10/23 - AGO.4/23</t>
        </is>
      </c>
      <c r="M26" s="9">
        <f>506000+19830000</f>
      </c>
      <c r="N26" s="9"/>
      <c r="O26" t="inlineStr" s="8">
        <is>
          <t>JUN.2/23</t>
        </is>
      </c>
      <c r="P26" s="8"/>
      <c r="Q26" s="10"/>
      <c r="R26" s="10"/>
      <c r="S26" s="10"/>
      <c r="T26" s="10"/>
      <c r="U26" s="10"/>
      <c r="V26" s="10"/>
      <c r="W26" s="10"/>
      <c r="X26" s="10">
        <v>506000</v>
      </c>
      <c r="Y26" s="10">
        <v>2630000</v>
      </c>
      <c r="Z26" s="10">
        <f>12647000+1315000</f>
      </c>
      <c r="AA26" s="10"/>
      <c r="AB26" s="10"/>
      <c r="AC26" s="10">
        <v>11837000</v>
      </c>
      <c r="AD26" s="10">
        <f>18818000+2125000+4148000+7790000+12545000</f>
      </c>
      <c r="AE26" s="10"/>
      <c r="AF26" s="10"/>
      <c r="AG26" s="10">
        <f>1416000+5059500</f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9">
        <v>65000000</v>
      </c>
      <c r="BF26" s="9"/>
      <c r="BG26" s="9"/>
      <c r="BH26" s="9"/>
      <c r="BI26" s="9">
        <f>SUM(M26,N26,Q26,R26,S26,T26,U26,V26,W26,X26,Y26,Z26,AA26,AB26,AC26,AD26,AE26,AF26,AG26,AH26,AI26,AJ26,AK26,AL26,AM26,AN26,AO26,AP26,AQ26,AR26,AS26,AT26,AU26,AV26,AW26,AX26,AY26,AZ26,BA26,BB26,BC26,BD26,BE26,BF26,BG26,BH26)</f>
      </c>
      <c r="BJ26" s="9">
        <f>I26-BI26</f>
      </c>
      <c r="BK26" s="9">
        <f>BJ26-BL26-BM26-BN26-BO26</f>
      </c>
      <c r="BL26" s="9"/>
      <c r="BM26" s="9"/>
      <c r="BN26" s="9"/>
      <c r="BO26" s="9"/>
      <c r="BP26" s="8"/>
      <c r="BQ26" t="inlineStr" s="8">
        <is>
          <t>2022-08-13</t>
        </is>
      </c>
      <c r="BR26" t="inlineStr" s="8">
        <is>
          <t>2022-11-27</t>
        </is>
      </c>
      <c r="BS26" t="inlineStr" s="8">
        <is>
          <t>2023-12-01</t>
        </is>
      </c>
      <c r="BT26" s="8"/>
      <c r="BU26" s="8"/>
      <c r="BV26" s="8"/>
      <c r="BW26" s="8"/>
      <c r="BX26" s="8"/>
      <c r="BY26" s="8"/>
      <c r="BZ26" s="9"/>
      <c r="CA26" s="9"/>
      <c r="CB26" t="inlineStr" s="8">
        <is>
          <t>3166432304</t>
        </is>
      </c>
      <c r="CC26" t="inlineStr" s="8">
        <is>
          <t>cooper.howard.75291947@example.com</t>
        </is>
      </c>
      <c r="CD26" t="inlineStr" s="8">
        <is>
          <t>BUNNY BUGS CEL: 3166432394</t>
        </is>
      </c>
      <c r="CE26" s="8"/>
    </row>
    <row r="27" ht="12.75" customHeight="1">
      <c r="A27" t="inlineStr" s="8">
        <is>
          <t>60007919102348</t>
        </is>
      </c>
      <c r="B27" s="8"/>
      <c r="C27" t="inlineStr" s="8">
        <is>
          <t>402</t>
        </is>
      </c>
      <c r="D27" s="9">
        <v>55.20</v>
      </c>
      <c r="E27" t="inlineStr" s="8">
        <is>
          <t>75299063</t>
        </is>
      </c>
      <c r="F27" t="inlineStr" s="8">
        <is>
          <t>POTTER LUCIFER</t>
        </is>
      </c>
      <c r="G27" t="inlineStr" s="8">
        <is>
          <t>BANNER CLARK</t>
        </is>
      </c>
      <c r="H27" t="inlineStr" s="8">
        <is>
          <t>BANCO DE BOGOTA</t>
        </is>
      </c>
      <c r="I27" s="9">
        <v>192172500.00</v>
      </c>
      <c r="J27" t="inlineStr" s="8">
        <is>
          <t>NCR5957 - NCR5959 - NCR5952 - NCR5961CR</t>
        </is>
      </c>
      <c r="K27" t="inlineStr" s="8">
        <is>
          <t>NCR5950 - NCR5955 - NCR5956 - NCR5960 - NCR5951 - NCR5949 - NCR5958 - NCR5954 - NCR5948 - NCR5953 - NCR5947</t>
        </is>
      </c>
      <c r="L27" t="inlineStr" s="8">
        <is>
          <t>MAY.5/22F - MAY.28/22F - JUL.24/22F - SEP.26/22F - OCT.26/22F - FEB.13/23F - MAR.9/23F - MAR.19/23F - ABR.17/23F - MAY.9/23F - AGO.23/23 - AGO.27/23 - SEP.26/23F - DIC.9/23</t>
        </is>
      </c>
      <c r="M27" s="9">
        <f>7523000+3023000+4568000</f>
      </c>
      <c r="N27" s="9"/>
      <c r="O27" t="inlineStr" s="8">
        <is>
          <t>AGO.22/23</t>
        </is>
      </c>
      <c r="P27" s="8"/>
      <c r="Q27" s="10"/>
      <c r="R27" s="10"/>
      <c r="S27" s="10"/>
      <c r="T27" s="10"/>
      <c r="U27" s="10">
        <f>5911000+14778000</f>
      </c>
      <c r="V27" s="10"/>
      <c r="W27" s="10">
        <v>2888000</v>
      </c>
      <c r="X27" s="10"/>
      <c r="Y27" s="10">
        <v>806500</v>
      </c>
      <c r="Z27" s="10">
        <v>11755000</v>
      </c>
      <c r="AA27" s="10"/>
      <c r="AB27" s="10"/>
      <c r="AC27" s="10"/>
      <c r="AD27" s="10">
        <v>2015000</v>
      </c>
      <c r="AE27" s="10">
        <f>2217000+4165000</f>
      </c>
      <c r="AF27" s="10">
        <v>1008000</v>
      </c>
      <c r="AG27" s="10">
        <v>537000</v>
      </c>
      <c r="AH27" s="10"/>
      <c r="AI27" s="10"/>
      <c r="AJ27" s="10"/>
      <c r="AK27" s="10">
        <v>5978000</v>
      </c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>
        <v>125000000</v>
      </c>
      <c r="BF27" s="9"/>
      <c r="BG27" s="9"/>
      <c r="BH27" s="9"/>
      <c r="BI27" s="9">
        <f>SUM(M27,N27,Q27,R27,S27,T27,U27,V27,W27,X27,Y27,Z27,AA27,AB27,AC27,AD27,AE27,AF27,AG27,AH27,AI27,AJ27,AK27,AL27,AM27,AN27,AO27,AP27,AQ27,AR27,AS27,AT27,AU27,AV27,AW27,AX27,AY27,AZ27,BA27,BB27,BC27,BD27,BE27,BF27,BG27,BH27)</f>
      </c>
      <c r="BJ27" s="9">
        <f>I27-BI27</f>
      </c>
      <c r="BK27" s="9">
        <f>BJ27-BL27-BM27-BN27-BO27</f>
      </c>
      <c r="BL27" s="9"/>
      <c r="BM27" s="9"/>
      <c r="BN27" s="9"/>
      <c r="BO27" s="9"/>
      <c r="BP27" s="8"/>
      <c r="BQ27" t="inlineStr" s="8">
        <is>
          <t>2022-06-22</t>
        </is>
      </c>
      <c r="BR27" t="inlineStr" s="8">
        <is>
          <t>2022-08-04</t>
        </is>
      </c>
      <c r="BS27" s="8"/>
      <c r="BT27" s="8"/>
      <c r="BU27" s="8"/>
      <c r="BV27" s="8"/>
      <c r="BW27" s="8"/>
      <c r="BX27" s="8"/>
      <c r="BY27" s="8"/>
      <c r="BZ27" s="9"/>
      <c r="CA27" s="9"/>
      <c r="CB27" t="inlineStr" s="8">
        <is>
          <t>3166433064</t>
        </is>
      </c>
      <c r="CC27" t="inlineStr" s="8">
        <is>
          <t>potter.lucifer.75299063@example.com</t>
        </is>
      </c>
      <c r="CD27" t="inlineStr" s="8">
        <is>
          <t>FLINTSTONE FRED CEL: 3166433375</t>
        </is>
      </c>
      <c r="CE27" s="8"/>
    </row>
    <row r="28" ht="12.75" customHeight="1">
      <c r="A28" t="inlineStr" s="8">
        <is>
          <t>60007919102488</t>
        </is>
      </c>
      <c r="B28" s="8"/>
      <c r="C28" t="inlineStr" s="8">
        <is>
          <t>403</t>
        </is>
      </c>
      <c r="D28" s="9">
        <v>55.20</v>
      </c>
      <c r="E28" t="inlineStr" s="8">
        <is>
          <t>75305684</t>
        </is>
      </c>
      <c r="F28" t="inlineStr" s="8">
        <is>
          <t>BING JIM</t>
        </is>
      </c>
      <c r="G28" s="8"/>
      <c r="H28" t="inlineStr" s="8">
        <is>
          <t>BANCO DE OCCIDENTE</t>
        </is>
      </c>
      <c r="I28" s="9">
        <v>192172500.00</v>
      </c>
      <c r="J28" t="inlineStr" s="8">
        <is>
          <t>NCR5969 - NCR5964 - NCR5965 - NCR5971CR</t>
        </is>
      </c>
      <c r="K28" t="inlineStr" s="8">
        <is>
          <t>NCR5963 - NCR5970 - NCR5967 - NCR5968 - NCR5962 - NCR5966</t>
        </is>
      </c>
      <c r="L28" t="inlineStr" s="8">
        <is>
          <t>DIC.10/22F - JUN.7/23 - JUN.27/23 - JUN.27/23F - JUL.15/23 - AGO.19/23F - AGO.26/23F - NOV.20/23F - ENE.10/24F</t>
        </is>
      </c>
      <c r="M28" s="9">
        <f>2082000+8262000+12561000</f>
      </c>
      <c r="N28" s="9"/>
      <c r="O28" t="inlineStr" s="8">
        <is>
          <t>ABR.18/23</t>
        </is>
      </c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7187000</v>
      </c>
      <c r="AC28" s="10"/>
      <c r="AD28" s="10"/>
      <c r="AE28" s="10"/>
      <c r="AF28" s="10"/>
      <c r="AG28" s="10"/>
      <c r="AH28" s="10">
        <v>24048500</v>
      </c>
      <c r="AI28" s="10"/>
      <c r="AJ28" s="10">
        <f>3426000+3896000</f>
      </c>
      <c r="AK28" s="10"/>
      <c r="AL28" s="10"/>
      <c r="AM28" s="10">
        <v>4568000</v>
      </c>
      <c r="AN28" s="10"/>
      <c r="AO28" s="10">
        <v>1142000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9">
        <v>95000000</v>
      </c>
      <c r="BF28" s="9"/>
      <c r="BG28" s="9"/>
      <c r="BH28" s="9"/>
      <c r="BI28" s="9">
        <f>SUM(M28,N28,Q28,R28,S28,T28,U28,V28,W28,X28,Y28,Z28,AA28,AB28,AC28,AD28,AE28,AF28,AG28,AH28,AI28,AJ28,AK28,AL28,AM28,AN28,AO28,AP28,AQ28,AR28,AS28,AT28,AU28,AV28,AW28,AX28,AY28,AZ28,BA28,BB28,BC28,BD28,BE28,BF28,BG28,BH28)</f>
      </c>
      <c r="BJ28" s="9">
        <f>I28-BI28</f>
      </c>
      <c r="BK28" s="9">
        <f>BJ28-BL28-BM28-BN28-BO28</f>
      </c>
      <c r="BL28" s="9"/>
      <c r="BM28" s="9"/>
      <c r="BN28" s="9"/>
      <c r="BO28" s="9"/>
      <c r="BP28" s="8"/>
      <c r="BQ28" t="inlineStr" s="8">
        <is>
          <t>2023-02-02</t>
        </is>
      </c>
      <c r="BR28" t="inlineStr" s="8">
        <is>
          <t>2023-03-03</t>
        </is>
      </c>
      <c r="BS28" t="inlineStr" s="8">
        <is>
          <t>2024-03-08</t>
        </is>
      </c>
      <c r="BT28" s="8"/>
      <c r="BU28" s="8"/>
      <c r="BV28" s="8"/>
      <c r="BW28" s="8"/>
      <c r="BX28" s="8"/>
      <c r="BY28" s="8"/>
      <c r="BZ28" s="9"/>
      <c r="CA28" s="9"/>
      <c r="CB28" t="inlineStr" s="8">
        <is>
          <t>3166433872</t>
        </is>
      </c>
      <c r="CC28" t="inlineStr" s="8">
        <is>
          <t>bing.jim.75305684@example.com</t>
        </is>
      </c>
      <c r="CD28" t="inlineStr" s="8">
        <is>
          <t>DUCK DAFFY CEL: 3166433943</t>
        </is>
      </c>
      <c r="CE28" s="8"/>
    </row>
    <row r="29" ht="12.75" customHeight="1">
      <c r="A29" t="inlineStr" s="8">
        <is>
          <t>60007919102619</t>
        </is>
      </c>
      <c r="B29" s="8"/>
      <c r="C29" t="inlineStr" s="8">
        <is>
          <t>404</t>
        </is>
      </c>
      <c r="D29" s="9">
        <v>55.20</v>
      </c>
      <c r="E29" t="inlineStr" s="8">
        <is>
          <t>75313744</t>
        </is>
      </c>
      <c r="F29" t="inlineStr" s="8">
        <is>
          <t>BAGGINS EUGENE</t>
        </is>
      </c>
      <c r="G29" s="8"/>
      <c r="H29" s="8"/>
      <c r="I29" s="9">
        <v>192172500.00</v>
      </c>
      <c r="J29" t="inlineStr" s="8">
        <is>
          <t>NCR5977 - NCR5978</t>
        </is>
      </c>
      <c r="K29" t="inlineStr" s="8">
        <is>
          <t>NCR5979 - NCR5975 - NCR5973 - NCR5976 - NCR5974</t>
        </is>
      </c>
      <c r="L29" t="inlineStr" s="8">
        <is>
          <t>SEP.7/23F - SEP.21/23F - OCT.27/23 - DIC.15/23 - ENE.6/24F - FEB.7/24F - FEB.22/24F</t>
        </is>
      </c>
      <c r="M29" s="9">
        <f>48522000+46861000</f>
      </c>
      <c r="N29" s="9"/>
      <c r="O29" s="8"/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>
        <f>9471500+24594000</f>
      </c>
      <c r="AL29" s="10"/>
      <c r="AM29" s="10"/>
      <c r="AN29" s="10"/>
      <c r="AO29" s="10">
        <v>8142000</v>
      </c>
      <c r="AP29" s="10">
        <f>25757000+2825000</f>
      </c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9"/>
      <c r="BF29" s="9"/>
      <c r="BG29" s="9"/>
      <c r="BH29" s="9"/>
      <c r="BI29" s="9">
        <f>SUM(M29,N29,Q29,R29,S29,T29,U29,V29,W29,X29,Y29,Z29,AA29,AB29,AC29,AD29,AE29,AF29,AG29,AH29,AI29,AJ29,AK29,AL29,AM29,AN29,AO29,AP29,AQ29,AR29,AS29,AT29,AU29,AV29,AW29,AX29,AY29,AZ29,BA29,BB29,BC29,BD29,BE29,BF29,BG29,BH29)</f>
      </c>
      <c r="BJ29" s="9">
        <f>I29-BI29</f>
      </c>
      <c r="BK29" s="9">
        <f>BJ29-BL29-BM29-BN29-BO29</f>
      </c>
      <c r="BL29" s="9"/>
      <c r="BM29" s="9"/>
      <c r="BN29" s="9"/>
      <c r="BO29" s="9"/>
      <c r="BP29" s="8"/>
      <c r="BQ29" t="inlineStr" s="8">
        <is>
          <t>2023-07-26</t>
        </is>
      </c>
      <c r="BR29" t="inlineStr" s="8">
        <is>
          <t>2023-08-23</t>
        </is>
      </c>
      <c r="BS29" s="8"/>
      <c r="BT29" s="8"/>
      <c r="BU29" s="8"/>
      <c r="BV29" s="8"/>
      <c r="BW29" s="8"/>
      <c r="BX29" s="8"/>
      <c r="BY29" s="8"/>
      <c r="BZ29" s="9"/>
      <c r="CA29" s="9"/>
      <c r="CB29" t="inlineStr" s="8">
        <is>
          <t>3166434050</t>
        </is>
      </c>
      <c r="CC29" t="inlineStr" s="8">
        <is>
          <t>baggins.eugene.75313744@example.com</t>
        </is>
      </c>
      <c r="CD29" t="inlineStr" s="8">
        <is>
          <t>JETSON GEORGE CEL: 3166434511</t>
        </is>
      </c>
      <c r="CE29" s="8"/>
    </row>
    <row r="30" ht="12.75" customHeight="1">
      <c r="A30" t="inlineStr" s="8">
        <is>
          <t>60007919102622</t>
        </is>
      </c>
      <c r="B30" s="8"/>
      <c r="C30" t="inlineStr" s="8">
        <is>
          <t>405</t>
        </is>
      </c>
      <c r="D30" s="9">
        <v>55.20</v>
      </c>
      <c r="E30" t="inlineStr" s="8">
        <is>
          <t>75317268</t>
        </is>
      </c>
      <c r="F30" t="inlineStr" s="8">
        <is>
          <t>PRINCE SAUL</t>
        </is>
      </c>
      <c r="G30" s="8"/>
      <c r="H30" s="8"/>
      <c r="I30" s="9">
        <v>192172500.00</v>
      </c>
      <c r="J30" t="inlineStr" s="8">
        <is>
          <t>NCR5989 - NCR5983 - NCR5984</t>
        </is>
      </c>
      <c r="K30" t="inlineStr" s="8">
        <is>
          <t>NCR5985 - NCR5982 - NCR5986 - NCR5990 - NCR5987 - NCR5981 - NCR5988</t>
        </is>
      </c>
      <c r="L30" t="inlineStr" s="8">
        <is>
          <t>MAY.20/22F - JUN.20/22F - JUN.25/22F - JUL.7/22F - JUL.15/22F - AGO.16/22F - ABR.2/23F - JUN.2/23 - JUN.15/23 - JUN.15/23</t>
        </is>
      </c>
      <c r="M30" s="9">
        <f>3843000+60727000+22292000</f>
      </c>
      <c r="N30" s="9"/>
      <c r="O30" s="8"/>
      <c r="P30" s="8"/>
      <c r="Q30" s="10"/>
      <c r="R30" s="10"/>
      <c r="S30" s="10"/>
      <c r="T30" s="10"/>
      <c r="U30" s="10">
        <v>11723000</v>
      </c>
      <c r="V30" s="10">
        <f>13836000+4420000</f>
      </c>
      <c r="W30" s="10">
        <f>31900500+3075000</f>
      </c>
      <c r="X30" s="10">
        <v>25367000</v>
      </c>
      <c r="Y30" s="10"/>
      <c r="Z30" s="10"/>
      <c r="AA30" s="10"/>
      <c r="AB30" s="10"/>
      <c r="AC30" s="10"/>
      <c r="AD30" s="10"/>
      <c r="AE30" s="10"/>
      <c r="AF30" s="10">
        <v>14989000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9"/>
      <c r="BF30" s="9"/>
      <c r="BG30" s="9"/>
      <c r="BH30" s="9"/>
      <c r="BI30" s="9">
        <f>SUM(M30,N30,Q30,R30,S30,T30,U30,V30,W30,X30,Y30,Z30,AA30,AB30,AC30,AD30,AE30,AF30,AG30,AH30,AI30,AJ30,AK30,AL30,AM30,AN30,AO30,AP30,AQ30,AR30,AS30,AT30,AU30,AV30,AW30,AX30,AY30,AZ30,BA30,BB30,BC30,BD30,BE30,BF30,BG30,BH30)</f>
      </c>
      <c r="BJ30" s="9">
        <f>I30-BI30</f>
      </c>
      <c r="BK30" s="9">
        <f>BJ30-BL30-BM30-BN30-BO30</f>
      </c>
      <c r="BL30" s="9"/>
      <c r="BM30" s="9"/>
      <c r="BN30" s="9"/>
      <c r="BO30" s="9"/>
      <c r="BP30" s="8"/>
      <c r="BQ30" t="inlineStr" s="8">
        <is>
          <t>2022-06-26</t>
        </is>
      </c>
      <c r="BR30" t="inlineStr" s="8">
        <is>
          <t>2022-07-20</t>
        </is>
      </c>
      <c r="BS30" t="inlineStr" s="8">
        <is>
          <t>2023-07-04</t>
        </is>
      </c>
      <c r="BT30" s="8"/>
      <c r="BU30" s="8"/>
      <c r="BV30" s="8"/>
      <c r="BW30" s="8"/>
      <c r="BX30" s="8"/>
      <c r="BY30" s="8"/>
      <c r="BZ30" s="9"/>
      <c r="CA30" s="9"/>
      <c r="CB30" t="inlineStr" s="8">
        <is>
          <t>3166434698</t>
        </is>
      </c>
      <c r="CC30" t="inlineStr" s="8">
        <is>
          <t>prince.saul.75317268@example.com</t>
        </is>
      </c>
      <c r="CD30" t="inlineStr" s="8">
        <is>
          <t>FLINTSTONE FRED CEL: 3166435256</t>
        </is>
      </c>
      <c r="CE30" s="8"/>
    </row>
    <row r="31" ht="12.75" customHeight="1">
      <c r="A31" t="inlineStr" s="8">
        <is>
          <t>60007919102692</t>
        </is>
      </c>
      <c r="B31" s="8"/>
      <c r="C31" t="inlineStr" s="8">
        <is>
          <t>406</t>
        </is>
      </c>
      <c r="D31" s="9">
        <v>55.20</v>
      </c>
      <c r="E31" t="inlineStr" s="8">
        <is>
          <t>75326230</t>
        </is>
      </c>
      <c r="F31" t="inlineStr" s="8">
        <is>
          <t>HALPERT SANDY</t>
        </is>
      </c>
      <c r="G31" s="8"/>
      <c r="H31" t="inlineStr" s="8">
        <is>
          <t>BANCO DE OCCIDENTE</t>
        </is>
      </c>
      <c r="I31" s="9">
        <v>192172500.00</v>
      </c>
      <c r="J31" t="inlineStr" s="8">
        <is>
          <t>NCR5993 - NCR5997 - NCR5998 - NCR5994 - NCR5996 - NC5991CESION - NCR6002CR</t>
        </is>
      </c>
      <c r="K31" t="inlineStr" s="8">
        <is>
          <t>NCR5992 - NCR5995 - NCR5999 - NCR6001 - NCR6000</t>
        </is>
      </c>
      <c r="L31" t="inlineStr" s="8">
        <is>
          <t>JUN.11/23 - JUL.21/23F - SEP.4/23 - SEP.15/23 - OCT.28/23 - NOV.18/23 - DIC.18/23F - ABR.19/24F - MAY.26/24F - (JUN.22/24CESION) - JUL.24/24F</t>
        </is>
      </c>
      <c r="M31" s="9">
        <f>9617000+15927000+1603000+20836000+9116000</f>
      </c>
      <c r="N31" s="9">
        <v>12000000</v>
      </c>
      <c r="O31" t="inlineStr" s="8">
        <is>
          <t>DIC.6/23</t>
        </is>
      </c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11520000</v>
      </c>
      <c r="AJ31" s="10"/>
      <c r="AK31" s="10"/>
      <c r="AL31" s="10"/>
      <c r="AM31" s="10"/>
      <c r="AN31" s="10">
        <v>15026000</v>
      </c>
      <c r="AO31" s="10"/>
      <c r="AP31" s="10"/>
      <c r="AQ31" s="10"/>
      <c r="AR31" s="10">
        <v>1102000</v>
      </c>
      <c r="AS31" s="10">
        <v>5207500</v>
      </c>
      <c r="AT31" s="10"/>
      <c r="AU31" s="10">
        <v>10218000</v>
      </c>
      <c r="AV31" s="10"/>
      <c r="AW31" s="10"/>
      <c r="AX31" s="10"/>
      <c r="AY31" s="10"/>
      <c r="AZ31" s="10"/>
      <c r="BA31" s="10"/>
      <c r="BB31" s="10"/>
      <c r="BC31" s="10"/>
      <c r="BD31" s="10"/>
      <c r="BE31" s="9">
        <v>80000000</v>
      </c>
      <c r="BF31" s="9"/>
      <c r="BG31" s="9"/>
      <c r="BH31" s="9"/>
      <c r="BI31" s="9">
        <f>SUM(M31,N31,Q31,R31,S31,T31,U31,V31,W31,X31,Y31,Z31,AA31,AB31,AC31,AD31,AE31,AF31,AG31,AH31,AI31,AJ31,AK31,AL31,AM31,AN31,AO31,AP31,AQ31,AR31,AS31,AT31,AU31,AV31,AW31,AX31,AY31,AZ31,BA31,BB31,BC31,BD31,BE31,BF31,BG31,BH31)</f>
      </c>
      <c r="BJ31" s="9">
        <f>I31-BI31</f>
      </c>
      <c r="BK31" s="9">
        <f>BJ31-BL31-BM31-BN31-BO31</f>
      </c>
      <c r="BL31" s="9"/>
      <c r="BM31" s="9"/>
      <c r="BN31" s="9"/>
      <c r="BO31" s="9"/>
      <c r="BP31" s="8"/>
      <c r="BQ31" t="inlineStr" s="8">
        <is>
          <t>2023-07-25</t>
        </is>
      </c>
      <c r="BR31" t="inlineStr" s="8">
        <is>
          <t>2023-11-15</t>
        </is>
      </c>
      <c r="BS31" t="inlineStr" s="8">
        <is>
          <t>2024-11-23</t>
        </is>
      </c>
      <c r="BT31" s="8"/>
      <c r="BU31" s="8"/>
      <c r="BV31" s="8"/>
      <c r="BW31" s="8"/>
      <c r="BX31" s="8"/>
      <c r="BY31" s="8"/>
      <c r="BZ31" s="9"/>
      <c r="CA31" s="9"/>
      <c r="CB31" t="inlineStr" s="8">
        <is>
          <t>3166435448</t>
        </is>
      </c>
      <c r="CC31" t="inlineStr" s="8">
        <is>
          <t>halpert.sandy.75326230@example.com</t>
        </is>
      </c>
      <c r="CD31" t="inlineStr" s="8">
        <is>
          <t>PANTHER PINK CEL: 3166436342</t>
        </is>
      </c>
      <c r="CE31" t="inlineStr" s="8">
        <is>
          <t>NC5991 JUN.22/24 CESION DE LOIS STARK A SANDY HALPERT *ANTIC $12.000.000 *ARRAS $4'640</t>
        </is>
      </c>
    </row>
    <row r="32" ht="12.75" customHeight="1">
      <c r="A32" t="inlineStr" s="8">
        <is>
          <t>60007919102826</t>
        </is>
      </c>
      <c r="B32" s="8"/>
      <c r="C32" t="inlineStr" s="8">
        <is>
          <t>407</t>
        </is>
      </c>
      <c r="D32" s="9">
        <v>55.20</v>
      </c>
      <c r="E32" t="inlineStr" s="8">
        <is>
          <t>75335024</t>
        </is>
      </c>
      <c r="F32" t="inlineStr" s="8">
        <is>
          <t>MUNSON STEWIE</t>
        </is>
      </c>
      <c r="G32" s="8"/>
      <c r="H32" t="inlineStr" s="8">
        <is>
          <t>BANCO DAVIVIENDA</t>
        </is>
      </c>
      <c r="I32" s="9">
        <v>192172500.00</v>
      </c>
      <c r="J32" t="inlineStr" s="8">
        <is>
          <t>NC6003TRASLADO - NCR6004CR</t>
        </is>
      </c>
      <c r="K32" s="8"/>
      <c r="L32" t="inlineStr" s="8">
        <is>
          <t>(JUN.18/24TRASLADO)</t>
        </is>
      </c>
      <c r="M32" s="9"/>
      <c r="N32" s="9">
        <v>15000000</v>
      </c>
      <c r="O32" t="inlineStr" s="8">
        <is>
          <t>MAR.15/24</t>
        </is>
      </c>
      <c r="P32" s="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>
        <v>87616000</v>
      </c>
      <c r="BF32" s="9"/>
      <c r="BG32" s="9"/>
      <c r="BH32" s="9"/>
      <c r="BI32" s="9">
        <f>SUM(M32,N32,Q32,R32,S32,T32,U32,V32,W32,X32,Y32,Z32,AA32,AB32,AC32,AD32,AE32,AF32,AG32,AH32,AI32,AJ32,AK32,AL32,AM32,AN32,AO32,AP32,AQ32,AR32,AS32,AT32,AU32,AV32,AW32,AX32,AY32,AZ32,BA32,BB32,BC32,BD32,BE32,BF32,BG32,BH32)</f>
      </c>
      <c r="BJ32" s="9">
        <f>I32-BI32</f>
      </c>
      <c r="BK32" s="9">
        <f>BJ32-BL32-BM32-BN32-BO32</f>
      </c>
      <c r="BL32" s="9"/>
      <c r="BM32" s="9"/>
      <c r="BN32" s="9"/>
      <c r="BO32" s="9"/>
      <c r="BP32" s="8"/>
      <c r="BQ32" t="inlineStr" s="8">
        <is>
          <t>2023-07-11</t>
        </is>
      </c>
      <c r="BR32" t="inlineStr" s="8">
        <is>
          <t>2023-08-22</t>
        </is>
      </c>
      <c r="BS32" s="8"/>
      <c r="BT32" s="8"/>
      <c r="BU32" s="8"/>
      <c r="BV32" s="8"/>
      <c r="BW32" s="8"/>
      <c r="BX32" s="8"/>
      <c r="BY32" s="8"/>
      <c r="BZ32" s="9"/>
      <c r="CA32" s="9"/>
      <c r="CB32" t="inlineStr" s="8">
        <is>
          <t>3166438031</t>
        </is>
      </c>
      <c r="CC32" t="inlineStr" s="8">
        <is>
          <t>munson.stewie.75335024@example.com</t>
        </is>
      </c>
      <c r="CD32" t="inlineStr" s="8">
        <is>
          <t>DUCK DAFFY CEL: 3166438635</t>
        </is>
      </c>
      <c r="CE32" t="inlineStr" s="8">
        <is>
          <t>NC6003 JUN.18/24 TRASLADO DE ROSS BENDER A STEWIE MUNSON *ANTIC $15.000.000 *ARRAS $4'640</t>
        </is>
      </c>
    </row>
    <row r="33" ht="12.75" customHeight="1">
      <c r="A33" t="inlineStr" s="8">
        <is>
          <t>60007919102920</t>
        </is>
      </c>
      <c r="B33" s="8"/>
      <c r="C33" t="inlineStr" s="8">
        <is>
          <t>501</t>
        </is>
      </c>
      <c r="D33" s="9">
        <v>55.20</v>
      </c>
      <c r="E33" t="inlineStr" s="8">
        <is>
          <t>75344063</t>
        </is>
      </c>
      <c r="F33" t="inlineStr" s="8">
        <is>
          <t>SIMPSON LUCAS</t>
        </is>
      </c>
      <c r="G33" t="inlineStr" s="8">
        <is>
          <t>SKYWALKER SPONGEBOB</t>
        </is>
      </c>
      <c r="H33" t="inlineStr" s="8">
        <is>
          <t>BANCO DE OCCIDENTE</t>
        </is>
      </c>
      <c r="I33" s="9">
        <v>192172500.00</v>
      </c>
      <c r="J33" t="inlineStr" s="8">
        <is>
          <t>NCR6016CR</t>
        </is>
      </c>
      <c r="K33" t="inlineStr" s="8">
        <is>
          <t>NCR6013 - NCR6009 - NCR6012 - NCR6008 - NCR6010 - NCR6015 - NCR6007 - NCR6014 - NCR6011</t>
        </is>
      </c>
      <c r="L33" t="inlineStr" s="8">
        <is>
          <t>FEB.20/24F - JUN.14/24F - SEP.6/24F - OCT.1/24F - ENE.1/25F - ENE.17/25F - ENE.24/25F - ENE.28/25F - ABR.16/25F</t>
        </is>
      </c>
      <c r="M33" s="9"/>
      <c r="N33" s="9"/>
      <c r="O33" t="inlineStr" s="8">
        <is>
          <t>AGO.7/24</t>
        </is>
      </c>
      <c r="P33" s="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>
        <v>5322000</v>
      </c>
      <c r="AQ33" s="10"/>
      <c r="AR33" s="10"/>
      <c r="AS33" s="10"/>
      <c r="AT33" s="10">
        <v>1617000</v>
      </c>
      <c r="AU33" s="10"/>
      <c r="AV33" s="10"/>
      <c r="AW33" s="10">
        <v>11426000</v>
      </c>
      <c r="AX33" s="10">
        <v>3026000</v>
      </c>
      <c r="AY33" s="10"/>
      <c r="AZ33" s="10"/>
      <c r="BA33" s="10">
        <f>4852000+886500+11426000+11374000</f>
      </c>
      <c r="BB33" s="10"/>
      <c r="BC33" s="10"/>
      <c r="BD33" s="10">
        <v>2243705</v>
      </c>
      <c r="BE33" s="9">
        <v>125000000</v>
      </c>
      <c r="BF33" s="9"/>
      <c r="BG33" s="9"/>
      <c r="BH33" s="9"/>
      <c r="BI33" s="9">
        <f>SUM(M33,N33,Q33,R33,S33,T33,U33,V33,W33,X33,Y33,Z33,AA33,AB33,AC33,AD33,AE33,AF33,AG33,AH33,AI33,AJ33,AK33,AL33,AM33,AN33,AO33,AP33,AQ33,AR33,AS33,AT33,AU33,AV33,AW33,AX33,AY33,AZ33,BA33,BB33,BC33,BD33,BE33,BF33,BG33,BH33)</f>
      </c>
      <c r="BJ33" s="9">
        <f>I33-BI33</f>
      </c>
      <c r="BK33" s="9">
        <f>BJ33-BL33-BM33-BN33-BO33</f>
      </c>
      <c r="BL33" s="9"/>
      <c r="BM33" s="9"/>
      <c r="BN33" s="9"/>
      <c r="BO33" s="9"/>
      <c r="BP33" s="8"/>
      <c r="BQ33" t="inlineStr" s="8">
        <is>
          <t>2024-02-03</t>
        </is>
      </c>
      <c r="BR33" t="inlineStr" s="8">
        <is>
          <t>2024-04-30</t>
        </is>
      </c>
      <c r="BS33" t="inlineStr" s="8">
        <is>
          <t>2025-06-21</t>
        </is>
      </c>
      <c r="BT33" s="8"/>
      <c r="BU33" s="8"/>
      <c r="BV33" s="8"/>
      <c r="BW33" s="8"/>
      <c r="BX33" s="8"/>
      <c r="BY33" s="8"/>
      <c r="BZ33" s="9"/>
      <c r="CA33" s="9"/>
      <c r="CB33" t="inlineStr" s="8">
        <is>
          <t>3166439247</t>
        </is>
      </c>
      <c r="CC33" t="inlineStr" s="8">
        <is>
          <t>simpson.lucas.75344063@example.com</t>
        </is>
      </c>
      <c r="CD33" t="inlineStr" s="8">
        <is>
          <t>MOUSE MICKEY CEL: 3166440052</t>
        </is>
      </c>
      <c r="CE33" s="8"/>
    </row>
    <row r="34" ht="12.75" customHeight="1">
      <c r="A34" t="inlineStr" s="8">
        <is>
          <t>60007919103248</t>
        </is>
      </c>
      <c r="B34" s="8"/>
      <c r="C34" t="inlineStr" s="8">
        <is>
          <t>502</t>
        </is>
      </c>
      <c r="D34" s="9">
        <v>55.20</v>
      </c>
      <c r="E34" t="inlineStr" s="8">
        <is>
          <t>75366519</t>
        </is>
      </c>
      <c r="F34" t="inlineStr" s="8">
        <is>
          <t>EHRMANTRAUT JERRY</t>
        </is>
      </c>
      <c r="G34" t="inlineStr" s="8">
        <is>
          <t>LOVEGOOD JANE</t>
        </is>
      </c>
      <c r="H34" s="8"/>
      <c r="I34" s="9">
        <v>192172500.00</v>
      </c>
      <c r="J34" t="inlineStr" s="8">
        <is>
          <t>NCR6036 - NCR6028 - NCR6027 - NCR6037 - NCR6040 - NC6026TRASLADO</t>
        </is>
      </c>
      <c r="K34" t="inlineStr" s="8">
        <is>
          <t>NCR6039 - NCR6038 - NCR6032 - NCR6029 - NCR6031 - NCR6034 - NCR6030 - NCR6035 - NCR6033</t>
        </is>
      </c>
      <c r="L34" t="inlineStr" s="8">
        <is>
          <t>FEB.12/23F - FEB.26/23F - FEB.28/23F - MAR.8/23F - JUN.28/23 - JUL.5/23F - AGO.15/23 - SEP.10/23F - OCT.7/23 - OCT.20/23 - OCT.23/23 - NOV.3/23F - (DIC.27/23TRASLADO) - MAR.2/24F - AGO.14/24F</t>
        </is>
      </c>
      <c r="M34" s="9">
        <f>36444000+334000+11033000+1838500+1003000</f>
      </c>
      <c r="N34" s="9">
        <v>25000000</v>
      </c>
      <c r="O34" s="8"/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f>6520000+16049000+14377000</f>
      </c>
      <c r="AE34" s="10">
        <v>5517000</v>
      </c>
      <c r="AF34" s="10"/>
      <c r="AG34" s="10"/>
      <c r="AH34" s="10"/>
      <c r="AI34" s="10">
        <v>20729000</v>
      </c>
      <c r="AJ34" s="10"/>
      <c r="AK34" s="10">
        <v>43632000</v>
      </c>
      <c r="AL34" s="10"/>
      <c r="AM34" s="10">
        <v>7188000</v>
      </c>
      <c r="AN34" s="10"/>
      <c r="AO34" s="10"/>
      <c r="AP34" s="10"/>
      <c r="AQ34" s="10">
        <v>1003000</v>
      </c>
      <c r="AR34" s="10"/>
      <c r="AS34" s="10"/>
      <c r="AT34" s="10"/>
      <c r="AU34" s="10"/>
      <c r="AV34" s="10">
        <v>1505000</v>
      </c>
      <c r="AW34" s="10"/>
      <c r="AX34" s="10"/>
      <c r="AY34" s="10"/>
      <c r="AZ34" s="10"/>
      <c r="BA34" s="10"/>
      <c r="BB34" s="10"/>
      <c r="BC34" s="10"/>
      <c r="BD34" s="10"/>
      <c r="BE34" s="9"/>
      <c r="BF34" s="9"/>
      <c r="BG34" s="9"/>
      <c r="BH34" s="9"/>
      <c r="BI34" s="9">
        <f>SUM(M34,N34,Q34,R34,S34,T34,U34,V34,W34,X34,Y34,Z34,AA34,AB34,AC34,AD34,AE34,AF34,AG34,AH34,AI34,AJ34,AK34,AL34,AM34,AN34,AO34,AP34,AQ34,AR34,AS34,AT34,AU34,AV34,AW34,AX34,AY34,AZ34,BA34,BB34,BC34,BD34,BE34,BF34,BG34,BH34)</f>
      </c>
      <c r="BJ34" s="9">
        <f>I34-BI34</f>
      </c>
      <c r="BK34" s="9">
        <f>BJ34-BL34-BM34-BN34-BO34</f>
      </c>
      <c r="BL34" s="9"/>
      <c r="BM34" s="9"/>
      <c r="BN34" s="9"/>
      <c r="BO34" s="9"/>
      <c r="BP34" s="8"/>
      <c r="BQ34" t="inlineStr" s="8">
        <is>
          <t>2023-02-19</t>
        </is>
      </c>
      <c r="BR34" t="inlineStr" s="8">
        <is>
          <t>2023-05-10</t>
        </is>
      </c>
      <c r="BS34" t="inlineStr" s="8">
        <is>
          <t>2024-10-13</t>
        </is>
      </c>
      <c r="BT34" s="8"/>
      <c r="BU34" s="8"/>
      <c r="BV34" s="8"/>
      <c r="BW34" s="8"/>
      <c r="BX34" s="8"/>
      <c r="BY34" s="8"/>
      <c r="BZ34" s="9"/>
      <c r="CA34" s="9"/>
      <c r="CB34" t="inlineStr" s="8">
        <is>
          <t>3166441680</t>
        </is>
      </c>
      <c r="CC34" t="inlineStr" s="8">
        <is>
          <t>ehrmantraut.jerry.75366519@example.com</t>
        </is>
      </c>
      <c r="CD34" t="inlineStr" s="8">
        <is>
          <t>PANTHER PINK CEL: 3166442848</t>
        </is>
      </c>
      <c r="CE34" s="8"/>
    </row>
    <row r="35" ht="12.75" customHeight="1">
      <c r="A35" t="inlineStr" s="8">
        <is>
          <t>60007919103453</t>
        </is>
      </c>
      <c r="B35" s="8"/>
      <c r="C35" t="inlineStr" s="8">
        <is>
          <t>503</t>
        </is>
      </c>
      <c r="D35" s="9">
        <v>55.20</v>
      </c>
      <c r="E35" t="inlineStr" s="8">
        <is>
          <t>75380877</t>
        </is>
      </c>
      <c r="F35" t="inlineStr" s="8">
        <is>
          <t>BAGGINS CLEVELAND</t>
        </is>
      </c>
      <c r="G35" t="inlineStr" s="8">
        <is>
          <t>BEESLY MICHAEL</t>
        </is>
      </c>
      <c r="H35" t="inlineStr" s="8">
        <is>
          <t>BANCOLOMBIA</t>
        </is>
      </c>
      <c r="I35" s="9">
        <v>192172500.00</v>
      </c>
      <c r="J35" t="inlineStr" s="8">
        <is>
          <t>NCR6046 - NCR6045 - NCR6043 - NCR6044 - NCR6050 - NCR6049 - NCR6052 - NCR6048 - NCR6054CR</t>
        </is>
      </c>
      <c r="K35" t="inlineStr" s="8">
        <is>
          <t>NCR6047 - NCR6053 - NCR6042 - NCR6041 - NCR6051</t>
        </is>
      </c>
      <c r="L35" t="inlineStr" s="8">
        <is>
          <t>MAY.9/23F - JUN.15/23 - JUN.19/23 - AGO.3/23F - OCT.10/23 - OCT.25/23 - NOV.8/23 - NOV.9/23 - NOV.11/23 - NOV.14/23F - NOV.16/23F - NOV.27/23 - DIC.11/23F</t>
        </is>
      </c>
      <c r="M35" s="9">
        <f>646000+300000+583000+100000+100000+294000+830000+252000</f>
      </c>
      <c r="N35" s="9"/>
      <c r="O35" t="inlineStr" s="8">
        <is>
          <t>MAY.9/23</t>
        </is>
      </c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v>526000</v>
      </c>
      <c r="AH35" s="10"/>
      <c r="AI35" s="10"/>
      <c r="AJ35" s="10">
        <v>622000</v>
      </c>
      <c r="AK35" s="10"/>
      <c r="AL35" s="10"/>
      <c r="AM35" s="10">
        <f>331000+273000</f>
      </c>
      <c r="AN35" s="10">
        <v>399000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9">
        <v>10128000</v>
      </c>
      <c r="BF35" s="9"/>
      <c r="BG35" s="9"/>
      <c r="BH35" s="9"/>
      <c r="BI35" s="9">
        <f>SUM(M35,N35,Q35,R35,S35,T35,U35,V35,W35,X35,Y35,Z35,AA35,AB35,AC35,AD35,AE35,AF35,AG35,AH35,AI35,AJ35,AK35,AL35,AM35,AN35,AO35,AP35,AQ35,AR35,AS35,AT35,AU35,AV35,AW35,AX35,AY35,AZ35,BA35,BB35,BC35,BD35,BE35,BF35,BG35,BH35)</f>
      </c>
      <c r="BJ35" s="9">
        <f>I35-BI35</f>
      </c>
      <c r="BK35" s="9">
        <f>BJ35-BL35-BM35-BN35-BO35</f>
      </c>
      <c r="BL35" s="9"/>
      <c r="BM35" s="9"/>
      <c r="BN35" s="9"/>
      <c r="BO35" s="9"/>
      <c r="BP35" s="8"/>
      <c r="BQ35" t="inlineStr" s="8">
        <is>
          <t>2023-03-26</t>
        </is>
      </c>
      <c r="BR35" t="inlineStr" s="8">
        <is>
          <t>2023-04-30</t>
        </is>
      </c>
      <c r="BS35" s="8"/>
      <c r="BT35" s="8"/>
      <c r="BU35" s="8"/>
      <c r="BV35" s="8"/>
      <c r="BW35" s="8"/>
      <c r="BX35" s="8"/>
      <c r="BY35" s="8"/>
      <c r="BZ35" s="9"/>
      <c r="CA35" s="9"/>
      <c r="CB35" t="inlineStr" s="8">
        <is>
          <t>3166443110</t>
        </is>
      </c>
      <c r="CC35" t="inlineStr" s="8">
        <is>
          <t>baggins.cleveland.75380877@example.com</t>
        </is>
      </c>
      <c r="CD35" t="inlineStr" s="8">
        <is>
          <t>JAKE CEL: 3166444422</t>
        </is>
      </c>
      <c r="CE35" s="8"/>
    </row>
    <row r="36" ht="12.75" customHeight="1">
      <c r="A36" s="8"/>
      <c r="B36" s="8"/>
      <c r="C36" t="inlineStr" s="8">
        <is>
          <t>504</t>
        </is>
      </c>
      <c r="D36" s="9">
        <v>55.20</v>
      </c>
      <c r="E36" s="8"/>
      <c r="F36" s="8"/>
      <c r="G36" s="8"/>
      <c r="H36" t="inlineStr" s="8">
        <is>
          <t>BANCO DE OCCIDENTE</t>
        </is>
      </c>
      <c r="I36" s="9">
        <v>192172500.00</v>
      </c>
      <c r="J36" s="8"/>
      <c r="K36" s="8"/>
      <c r="L36" s="8"/>
      <c r="M36" s="9"/>
      <c r="N36" s="9"/>
      <c r="O36" s="8"/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9"/>
      <c r="CA36" s="9"/>
      <c r="CB36" s="8"/>
      <c r="CC36" s="8"/>
      <c r="CD36" s="8"/>
      <c r="CE36" s="8"/>
    </row>
    <row r="37" ht="12.75" customHeight="1">
      <c r="A37" t="inlineStr" s="8">
        <is>
          <t>60007919103717</t>
        </is>
      </c>
      <c r="B37" s="8"/>
      <c r="C37" t="inlineStr" s="8">
        <is>
          <t>505</t>
        </is>
      </c>
      <c r="D37" s="9">
        <v>55.20</v>
      </c>
      <c r="E37" t="inlineStr" s="8">
        <is>
          <t>75391992</t>
        </is>
      </c>
      <c r="F37" t="inlineStr" s="8">
        <is>
          <t>GAMGEE CLINT</t>
        </is>
      </c>
      <c r="G37" s="8"/>
      <c r="H37" t="inlineStr" s="8">
        <is>
          <t>BANCO DE BOGOTA</t>
        </is>
      </c>
      <c r="I37" s="9">
        <v>192172500.00</v>
      </c>
      <c r="J37" t="inlineStr" s="8">
        <is>
          <t>NCR6081 - NCR6077 - NCR6080 - NCR6072 - NCR6071 - NCR6070 - NCR6069 - NCR6078 - NCR6074 - NCR6083CR</t>
        </is>
      </c>
      <c r="K37" t="inlineStr" s="8">
        <is>
          <t>NCR6075 - NCR6082 - NCR6073 - NCR6076 - NCR6079</t>
        </is>
      </c>
      <c r="L37" t="inlineStr" s="8">
        <is>
          <t>JUL.17/23 - JUL.21/23 - NOV.24/23 - DIC.1/23 - DIC.4/23 - DIC.5/23 - DIC.10/23 - DIC.17/23F - MAR.5/24F - MAR.6/24F - ABR.7/24F - JUN.16/24 - JUN.22/24 - OCT.4/24F</t>
        </is>
      </c>
      <c r="M37" s="9">
        <f>7754000+668000+1541000+5546000+154000+2465000+1900000+1335000+3492000</f>
      </c>
      <c r="N37" s="9"/>
      <c r="O37" t="inlineStr" s="8">
        <is>
          <t>JUN.27/23</t>
        </is>
      </c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>
        <v>9603000</v>
      </c>
      <c r="AO37" s="10"/>
      <c r="AP37" s="10"/>
      <c r="AQ37" s="10">
        <f>7499000+5546000</f>
      </c>
      <c r="AR37" s="10">
        <v>1951000</v>
      </c>
      <c r="AS37" s="10"/>
      <c r="AT37" s="10"/>
      <c r="AU37" s="10"/>
      <c r="AV37" s="10"/>
      <c r="AW37" s="10"/>
      <c r="AX37" s="10">
        <v>1900000</v>
      </c>
      <c r="AY37" s="10"/>
      <c r="AZ37" s="10"/>
      <c r="BA37" s="10"/>
      <c r="BB37" s="10"/>
      <c r="BC37" s="10"/>
      <c r="BD37" s="10"/>
      <c r="BE37" s="9">
        <v>80000000</v>
      </c>
      <c r="BF37" s="9"/>
      <c r="BG37" s="9"/>
      <c r="BH37" s="9"/>
      <c r="BI37" s="9">
        <f>SUM(M37,N37,Q37,R37,S37,T37,U37,V37,W37,X37,Y37,Z37,AA37,AB37,AC37,AD37,AE37,AF37,AG37,AH37,AI37,AJ37,AK37,AL37,AM37,AN37,AO37,AP37,AQ37,AR37,AS37,AT37,AU37,AV37,AW37,AX37,AY37,AZ37,BA37,BB37,BC37,BD37,BE37,BF37,BG37,BH37)</f>
      </c>
      <c r="BJ37" s="9">
        <f>I37-BI37</f>
      </c>
      <c r="BK37" s="9">
        <f>BJ37-BL37-BM37-BN37-BO37</f>
      </c>
      <c r="BL37" s="9"/>
      <c r="BM37" s="9"/>
      <c r="BN37" s="9"/>
      <c r="BO37" s="9"/>
      <c r="BP37" s="8"/>
      <c r="BQ37" t="inlineStr" s="8">
        <is>
          <t>2023-05-12</t>
        </is>
      </c>
      <c r="BR37" t="inlineStr" s="8">
        <is>
          <t>2023-06-11</t>
        </is>
      </c>
      <c r="BS37" s="8"/>
      <c r="BT37" s="8"/>
      <c r="BU37" s="8"/>
      <c r="BV37" s="8"/>
      <c r="BW37" s="8"/>
      <c r="BX37" s="8"/>
      <c r="BY37" s="8"/>
      <c r="BZ37" s="9"/>
      <c r="CA37" s="9"/>
      <c r="CB37" t="inlineStr" s="8">
        <is>
          <t>3166445923</t>
        </is>
      </c>
      <c r="CC37" t="inlineStr" s="8">
        <is>
          <t>gamgee.clint.75391992@example.com</t>
        </is>
      </c>
      <c r="CD37" t="inlineStr" s="8">
        <is>
          <t>PANTHER PINK CEL: 3166446362</t>
        </is>
      </c>
      <c r="CE37" s="8"/>
    </row>
    <row r="38" ht="12.75" customHeight="1">
      <c r="A38" t="inlineStr" s="8">
        <is>
          <t>60007919104053</t>
        </is>
      </c>
      <c r="B38" s="8"/>
      <c r="C38" t="inlineStr" s="8">
        <is>
          <t>506</t>
        </is>
      </c>
      <c r="D38" s="9">
        <v>55.20</v>
      </c>
      <c r="E38" t="inlineStr" s="8">
        <is>
          <t>75407549</t>
        </is>
      </c>
      <c r="F38" t="inlineStr" s="8">
        <is>
          <t>DREW ANGELA</t>
        </is>
      </c>
      <c r="G38" t="inlineStr" s="8">
        <is>
          <t>HOPPER SHERLOCK</t>
        </is>
      </c>
      <c r="H38" t="inlineStr" s="8">
        <is>
          <t>BANCO DAVIVIENDA</t>
        </is>
      </c>
      <c r="I38" s="9">
        <v>192172500.00</v>
      </c>
      <c r="J38" t="inlineStr" s="8">
        <is>
          <t>NCR6114 - NCR6112 - NCR6119 - NCR6111 - NCR6120CR</t>
        </is>
      </c>
      <c r="K38" t="inlineStr" s="8">
        <is>
          <t>NCR6115 - NCR6117 - NCR6118 - NCR6116 - NCR6113</t>
        </is>
      </c>
      <c r="L38" t="inlineStr" s="8">
        <is>
          <t>JUL.2/23F - AGO.21/23F - SEP.5/23 - NOV.9/23F - JUN.10/24 - JUN.22/24 - JUN.23/24 - JUL.15/24F - SEP.3/24F</t>
        </is>
      </c>
      <c r="M38" s="9">
        <f>36828000+12147000+3595000+13216500</f>
      </c>
      <c r="N38" s="9"/>
      <c r="O38" t="inlineStr" s="8">
        <is>
          <t>JUN.30/24</t>
        </is>
      </c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>
        <v>1360000</v>
      </c>
      <c r="AJ38" s="10">
        <v>4859000</v>
      </c>
      <c r="AK38" s="10"/>
      <c r="AL38" s="10"/>
      <c r="AM38" s="10">
        <v>10592000</v>
      </c>
      <c r="AN38" s="10"/>
      <c r="AO38" s="10"/>
      <c r="AP38" s="10"/>
      <c r="AQ38" s="10"/>
      <c r="AR38" s="10"/>
      <c r="AS38" s="10"/>
      <c r="AT38" s="10"/>
      <c r="AU38" s="10">
        <v>1943000</v>
      </c>
      <c r="AV38" s="10"/>
      <c r="AW38" s="10">
        <v>12632000</v>
      </c>
      <c r="AX38" s="10"/>
      <c r="AY38" s="10"/>
      <c r="AZ38" s="10"/>
      <c r="BA38" s="10"/>
      <c r="BB38" s="10"/>
      <c r="BC38" s="10"/>
      <c r="BD38" s="10"/>
      <c r="BE38" s="9">
        <v>65000000</v>
      </c>
      <c r="BF38" s="9"/>
      <c r="BG38" s="9"/>
      <c r="BH38" s="9"/>
      <c r="BI38" s="9">
        <f>SUM(M38,N38,Q38,R38,S38,T38,U38,V38,W38,X38,Y38,Z38,AA38,AB38,AC38,AD38,AE38,AF38,AG38,AH38,AI38,AJ38,AK38,AL38,AM38,AN38,AO38,AP38,AQ38,AR38,AS38,AT38,AU38,AV38,AW38,AX38,AY38,AZ38,BA38,BB38,BC38,BD38,BE38,BF38,BG38,BH38)</f>
      </c>
      <c r="BJ38" s="9">
        <f>I38-BI38</f>
      </c>
      <c r="BK38" s="9">
        <f>BJ38-BL38-BM38-BN38-BO38</f>
      </c>
      <c r="BL38" s="9"/>
      <c r="BM38" s="9"/>
      <c r="BN38" s="9"/>
      <c r="BO38" s="9"/>
      <c r="BP38" s="8"/>
      <c r="BQ38" t="inlineStr" s="8">
        <is>
          <t>2023-10-19</t>
        </is>
      </c>
      <c r="BR38" t="inlineStr" s="8">
        <is>
          <t>2024-02-02</t>
        </is>
      </c>
      <c r="BS38" t="inlineStr" s="8">
        <is>
          <t>2024-11-01</t>
        </is>
      </c>
      <c r="BT38" s="8"/>
      <c r="BU38" s="8"/>
      <c r="BV38" s="8"/>
      <c r="BW38" s="8"/>
      <c r="BX38" s="8"/>
      <c r="BY38" s="8"/>
      <c r="BZ38" s="9"/>
      <c r="CA38" s="9"/>
      <c r="CB38" t="inlineStr" s="8">
        <is>
          <t>3166450029</t>
        </is>
      </c>
      <c r="CC38" t="inlineStr" s="8">
        <is>
          <t>drew.angela.75407549@example.com</t>
        </is>
      </c>
      <c r="CD38" t="inlineStr" s="8">
        <is>
          <t>MOUSE MICKEY CEL: 3166450546</t>
        </is>
      </c>
      <c r="CE38" s="8"/>
    </row>
    <row r="39" ht="12.75" customHeight="1">
      <c r="A39" t="inlineStr" s="8">
        <is>
          <t>60007919104093</t>
        </is>
      </c>
      <c r="B39" s="8"/>
      <c r="C39" t="inlineStr" s="8">
        <is>
          <t>507</t>
        </is>
      </c>
      <c r="D39" s="9">
        <v>55.20</v>
      </c>
      <c r="E39" t="inlineStr" s="8">
        <is>
          <t>75417953</t>
        </is>
      </c>
      <c r="F39" t="inlineStr" s="8">
        <is>
          <t>HOPPER JIM</t>
        </is>
      </c>
      <c r="G39" s="8"/>
      <c r="H39" t="inlineStr" s="8">
        <is>
          <t>BANCO DAVIVIENDA</t>
        </is>
      </c>
      <c r="I39" s="9">
        <v>192172500.00</v>
      </c>
      <c r="J39" t="inlineStr" s="8">
        <is>
          <t>NCR6125 - NCR6128CR</t>
        </is>
      </c>
      <c r="K39" t="inlineStr" s="8">
        <is>
          <t>NCR6124 - NCR6127 - NCR6126 - NCR6123</t>
        </is>
      </c>
      <c r="L39" t="inlineStr" s="8">
        <is>
          <t>SEP.21/22F - SEP.24/22F - OCT.7/22F - DIC.22/22F - AGO.4/23</t>
        </is>
      </c>
      <c r="M39" s="9">
        <v>26608000</v>
      </c>
      <c r="N39" s="9"/>
      <c r="O39" t="inlineStr" s="8">
        <is>
          <t>ENE.20/23</t>
        </is>
      </c>
      <c r="P39" s="8"/>
      <c r="Q39" s="10"/>
      <c r="R39" s="10"/>
      <c r="S39" s="10"/>
      <c r="T39" s="10"/>
      <c r="U39" s="10"/>
      <c r="V39" s="10"/>
      <c r="W39" s="10"/>
      <c r="X39" s="10"/>
      <c r="Y39" s="10">
        <f>61816000+2530500</f>
      </c>
      <c r="Z39" s="10">
        <v>6576000</v>
      </c>
      <c r="AA39" s="10"/>
      <c r="AB39" s="10">
        <v>3642000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9">
        <v>65000000</v>
      </c>
      <c r="BF39" s="9"/>
      <c r="BG39" s="9"/>
      <c r="BH39" s="9"/>
      <c r="BI39" s="9">
        <f>SUM(M39,N39,Q39,R39,S39,T39,U39,V39,W39,X39,Y39,Z39,AA39,AB39,AC39,AD39,AE39,AF39,AG39,AH39,AI39,AJ39,AK39,AL39,AM39,AN39,AO39,AP39,AQ39,AR39,AS39,AT39,AU39,AV39,AW39,AX39,AY39,AZ39,BA39,BB39,BC39,BD39,BE39,BF39,BG39,BH39)</f>
      </c>
      <c r="BJ39" s="9">
        <f>I39-BI39</f>
      </c>
      <c r="BK39" s="9">
        <f>BJ39-BL39-BM39-BN39-BO39</f>
      </c>
      <c r="BL39" s="9"/>
      <c r="BM39" s="9"/>
      <c r="BN39" s="9"/>
      <c r="BO39" s="9"/>
      <c r="BP39" s="8"/>
      <c r="BQ39" t="inlineStr" s="8">
        <is>
          <t>2022-05-13</t>
        </is>
      </c>
      <c r="BR39" t="inlineStr" s="8">
        <is>
          <t>2022-08-21</t>
        </is>
      </c>
      <c r="BS39" s="8"/>
      <c r="BT39" s="8"/>
      <c r="BU39" s="8"/>
      <c r="BV39" s="8"/>
      <c r="BW39" s="8"/>
      <c r="BX39" s="8"/>
      <c r="BY39" s="8"/>
      <c r="BZ39" s="9"/>
      <c r="CA39" s="9"/>
      <c r="CB39" t="inlineStr" s="8">
        <is>
          <t>3166450866</t>
        </is>
      </c>
      <c r="CC39" t="inlineStr" s="8">
        <is>
          <t>hopper.jim.75417953@example.com</t>
        </is>
      </c>
      <c r="CD39" t="inlineStr" s="8">
        <is>
          <t>DUCK DAFFY CEL: 3166452385</t>
        </is>
      </c>
      <c r="CE39" s="8"/>
    </row>
    <row r="40" ht="12.75" customHeight="1">
      <c r="A40" t="inlineStr" s="8">
        <is>
          <t>60007919104158</t>
        </is>
      </c>
      <c r="B40" s="8"/>
      <c r="C40" t="inlineStr" s="8">
        <is>
          <t>601</t>
        </is>
      </c>
      <c r="D40" s="9">
        <v>55.20</v>
      </c>
      <c r="E40" t="inlineStr" s="8">
        <is>
          <t>75424325</t>
        </is>
      </c>
      <c r="F40" t="inlineStr" s="8">
        <is>
          <t>HOPPER SUMMER</t>
        </is>
      </c>
      <c r="G40" s="8"/>
      <c r="H40" s="8"/>
      <c r="I40" s="9">
        <v>192172500.00</v>
      </c>
      <c r="J40" s="8"/>
      <c r="K40" t="inlineStr" s="8">
        <is>
          <t>NCR6132 - NCR6130 - NCR6131 - NCR6133</t>
        </is>
      </c>
      <c r="L40" t="inlineStr" s="8">
        <is>
          <t>AGO.26/22F - DIC.19/22F - DIC.22/22F - ENE.27/23F</t>
        </is>
      </c>
      <c r="M40" s="9"/>
      <c r="N40" s="9"/>
      <c r="O40" s="8"/>
      <c r="P40" s="8"/>
      <c r="Q40" s="10"/>
      <c r="R40" s="10"/>
      <c r="S40" s="10"/>
      <c r="T40" s="10"/>
      <c r="U40" s="10"/>
      <c r="V40" s="10"/>
      <c r="W40" s="10"/>
      <c r="X40" s="10">
        <v>59816000</v>
      </c>
      <c r="Y40" s="10"/>
      <c r="Z40" s="10"/>
      <c r="AA40" s="10"/>
      <c r="AB40" s="10">
        <f>5384000+9086000</f>
      </c>
      <c r="AC40" s="10">
        <v>9843000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/>
      <c r="BF40" s="9"/>
      <c r="BG40" s="9"/>
      <c r="BH40" s="9"/>
      <c r="BI40" s="9">
        <f>SUM(M40,N40,Q40,R40,S40,T40,U40,V40,W40,X40,Y40,Z40,AA40,AB40,AC40,AD40,AE40,AF40,AG40,AH40,AI40,AJ40,AK40,AL40,AM40,AN40,AO40,AP40,AQ40,AR40,AS40,AT40,AU40,AV40,AW40,AX40,AY40,AZ40,BA40,BB40,BC40,BD40,BE40,BF40,BG40,BH40)</f>
      </c>
      <c r="BJ40" s="9">
        <f>I40-BI40</f>
      </c>
      <c r="BK40" s="9">
        <f>BJ40-BL40-BM40-BN40-BO40</f>
      </c>
      <c r="BL40" s="9"/>
      <c r="BM40" s="9"/>
      <c r="BN40" s="9"/>
      <c r="BO40" s="9"/>
      <c r="BP40" s="8"/>
      <c r="BQ40" t="inlineStr" s="8">
        <is>
          <t>2022-04-20</t>
        </is>
      </c>
      <c r="BR40" t="inlineStr" s="8">
        <is>
          <t>2022-05-05</t>
        </is>
      </c>
      <c r="BS40" s="8"/>
      <c r="BT40" s="8"/>
      <c r="BU40" s="8"/>
      <c r="BV40" s="8"/>
      <c r="BW40" s="8"/>
      <c r="BX40" s="8"/>
      <c r="BY40" s="8"/>
      <c r="BZ40" s="9"/>
      <c r="CA40" s="9"/>
      <c r="CB40" t="inlineStr" s="8">
        <is>
          <t>3166453250</t>
        </is>
      </c>
      <c r="CC40" t="inlineStr" s="8">
        <is>
          <t>hopper.summer.75424325@example.com</t>
        </is>
      </c>
      <c r="CD40" t="inlineStr" s="8">
        <is>
          <t>DUCK DAFFY CEL: 3166453292</t>
        </is>
      </c>
      <c r="CE40" s="8"/>
    </row>
    <row r="41" ht="12.75" customHeight="1">
      <c r="A41" t="inlineStr" s="8">
        <is>
          <t>60007919104186</t>
        </is>
      </c>
      <c r="B41" s="8"/>
      <c r="C41" t="inlineStr" s="8">
        <is>
          <t>602</t>
        </is>
      </c>
      <c r="D41" s="9">
        <v>55.20</v>
      </c>
      <c r="E41" t="inlineStr" s="8">
        <is>
          <t>75429149</t>
        </is>
      </c>
      <c r="F41" t="inlineStr" s="8">
        <is>
          <t>HOPPER BRUCE</t>
        </is>
      </c>
      <c r="G41" s="8"/>
      <c r="H41" t="inlineStr" s="8">
        <is>
          <t>BBVA</t>
        </is>
      </c>
      <c r="I41" s="9">
        <v>192172500.00</v>
      </c>
      <c r="J41" t="inlineStr" s="8">
        <is>
          <t>NCR6139 - NCR6138 - NCR6141CR</t>
        </is>
      </c>
      <c r="K41" t="inlineStr" s="8">
        <is>
          <t>NCR6135 - NCR6136 - NCR6137 - NCR6140</t>
        </is>
      </c>
      <c r="L41" t="inlineStr" s="8">
        <is>
          <t>OCT.23/23F - NOV.10/23 - NOV.27/23 - DIC.25/23F - ENE.28/24F - MAR.5/24F</t>
        </is>
      </c>
      <c r="M41" s="9">
        <f>4435000+4226000</f>
      </c>
      <c r="N41" s="9"/>
      <c r="O41" t="inlineStr" s="8">
        <is>
          <t>DIC.19/23</t>
        </is>
      </c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>
        <v>104000</v>
      </c>
      <c r="AM41" s="10"/>
      <c r="AN41" s="10">
        <v>1148000</v>
      </c>
      <c r="AO41" s="10">
        <v>33286000</v>
      </c>
      <c r="AP41" s="10"/>
      <c r="AQ41" s="10">
        <v>8973500</v>
      </c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9">
        <v>110000000</v>
      </c>
      <c r="BF41" s="9"/>
      <c r="BG41" s="9"/>
      <c r="BH41" s="9"/>
      <c r="BI41" s="9">
        <f>SUM(M41,N41,Q41,R41,S41,T41,U41,V41,W41,X41,Y41,Z41,AA41,AB41,AC41,AD41,AE41,AF41,AG41,AH41,AI41,AJ41,AK41,AL41,AM41,AN41,AO41,AP41,AQ41,AR41,AS41,AT41,AU41,AV41,AW41,AX41,AY41,AZ41,BA41,BB41,BC41,BD41,BE41,BF41,BG41,BH41)</f>
      </c>
      <c r="BJ41" s="9">
        <f>I41-BI41</f>
      </c>
      <c r="BK41" s="9">
        <f>BJ41-BL41-BM41-BN41-BO41</f>
      </c>
      <c r="BL41" s="9"/>
      <c r="BM41" s="9"/>
      <c r="BN41" s="9"/>
      <c r="BO41" s="9"/>
      <c r="BP41" s="8"/>
      <c r="BQ41" t="inlineStr" s="8">
        <is>
          <t>2023-10-21</t>
        </is>
      </c>
      <c r="BR41" t="inlineStr" s="8">
        <is>
          <t>2023-11-04</t>
        </is>
      </c>
      <c r="BS41" s="8"/>
      <c r="BT41" s="8"/>
      <c r="BU41" s="8"/>
      <c r="BV41" s="8"/>
      <c r="BW41" s="8"/>
      <c r="BX41" s="8"/>
      <c r="BY41" s="8"/>
      <c r="BZ41" s="9"/>
      <c r="CA41" s="9"/>
      <c r="CB41" t="inlineStr" s="8">
        <is>
          <t>3166453485</t>
        </is>
      </c>
      <c r="CC41" t="inlineStr" s="8">
        <is>
          <t>hopper.bruce.75429149@example.com</t>
        </is>
      </c>
      <c r="CD41" t="inlineStr" s="8">
        <is>
          <t>FINN CEL: 3166453712</t>
        </is>
      </c>
      <c r="CE41" s="8"/>
    </row>
    <row r="42" ht="12.75" customHeight="1">
      <c r="A42" t="inlineStr" s="8">
        <is>
          <t>60007919104269</t>
        </is>
      </c>
      <c r="B42" s="8"/>
      <c r="C42" t="inlineStr" s="8">
        <is>
          <t>603</t>
        </is>
      </c>
      <c r="D42" s="9">
        <v>55.20</v>
      </c>
      <c r="E42" t="inlineStr" s="8">
        <is>
          <t>75438028</t>
        </is>
      </c>
      <c r="F42" t="inlineStr" s="8">
        <is>
          <t>STAR WALTER</t>
        </is>
      </c>
      <c r="G42" s="8"/>
      <c r="H42" t="inlineStr" s="8">
        <is>
          <t>BANCO CAJA SOCIAL</t>
        </is>
      </c>
      <c r="I42" s="9">
        <v>192172500.00</v>
      </c>
      <c r="J42" t="inlineStr" s="8">
        <is>
          <t>NCR6148 - NCR6147 - NCR6146 - NCR6151 - NCR6152 - NCR6154 - NCR6155 - NCR6149 - NCR6156CR</t>
        </is>
      </c>
      <c r="K42" t="inlineStr" s="8">
        <is>
          <t>NCR6144 - NCR6143 - NCR6145 - NCR6153 - NCR6150</t>
        </is>
      </c>
      <c r="L42" t="inlineStr" s="8">
        <is>
          <t>MAY.4/23F - MAY.6/23F - MAY.7/23F - MAY.16/23F - JUN.8/23 - JUN.16/23 - JUN.26/23F - JUN.28/23 - JUL.2/23 - AGO.9/23 - AGO.16/23 - SEP.9/23 - SEP.10/23</t>
        </is>
      </c>
      <c r="M42" s="9">
        <f>100000+626000+797000+1310000+3530000+2733000+813334+512000</f>
      </c>
      <c r="N42" s="9"/>
      <c r="O42" t="inlineStr" s="8">
        <is>
          <t>AGO.16/23</t>
        </is>
      </c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f>8712000+1993000+4954000+4897000</f>
      </c>
      <c r="AH42" s="10">
        <v>25966000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9">
        <v>28471666</v>
      </c>
      <c r="BF42" s="9"/>
      <c r="BG42" s="9"/>
      <c r="BH42" s="9"/>
      <c r="BI42" s="9">
        <f>SUM(M42,N42,Q42,R42,S42,T42,U42,V42,W42,X42,Y42,Z42,AA42,AB42,AC42,AD42,AE42,AF42,AG42,AH42,AI42,AJ42,AK42,AL42,AM42,AN42,AO42,AP42,AQ42,AR42,AS42,AT42,AU42,AV42,AW42,AX42,AY42,AZ42,BA42,BB42,BC42,BD42,BE42,BF42,BG42,BH42)</f>
      </c>
      <c r="BJ42" s="9">
        <f>I42-BI42</f>
      </c>
      <c r="BK42" s="9">
        <f>BJ42-BL42-BM42-BN42-BO42</f>
      </c>
      <c r="BL42" s="9"/>
      <c r="BM42" s="9"/>
      <c r="BN42" s="9"/>
      <c r="BO42" s="9"/>
      <c r="BP42" s="8"/>
      <c r="BQ42" t="inlineStr" s="8">
        <is>
          <t>2023-02-24</t>
        </is>
      </c>
      <c r="BR42" t="inlineStr" s="8">
        <is>
          <t>2023-03-19</t>
        </is>
      </c>
      <c r="BS42" s="8"/>
      <c r="BT42" s="8"/>
      <c r="BU42" s="8"/>
      <c r="BV42" s="8"/>
      <c r="BW42" s="8"/>
      <c r="BX42" s="8"/>
      <c r="BY42" s="8"/>
      <c r="BZ42" s="9"/>
      <c r="CA42" s="9"/>
      <c r="CB42" t="inlineStr" s="8">
        <is>
          <t>3166454334</t>
        </is>
      </c>
      <c r="CC42" t="inlineStr" s="8">
        <is>
          <t>star.walter.75438028@example.com</t>
        </is>
      </c>
      <c r="CD42" t="inlineStr" s="8">
        <is>
          <t>BUNNY BUGS CEL: 3166454652</t>
        </is>
      </c>
      <c r="CE42" s="8"/>
    </row>
    <row r="43" ht="12.75" customHeight="1">
      <c r="A43" t="inlineStr" s="8">
        <is>
          <t>60007919104356</t>
        </is>
      </c>
      <c r="B43" s="8"/>
      <c r="C43" t="inlineStr" s="8">
        <is>
          <t>604</t>
        </is>
      </c>
      <c r="D43" s="9">
        <v>55.20</v>
      </c>
      <c r="E43" t="inlineStr" s="8">
        <is>
          <t>75446178</t>
        </is>
      </c>
      <c r="F43" t="inlineStr" s="8">
        <is>
          <t>TRIBBIANI BART</t>
        </is>
      </c>
      <c r="G43" s="8"/>
      <c r="H43" t="inlineStr" s="8">
        <is>
          <t>BANCO DE BOGOTA</t>
        </is>
      </c>
      <c r="I43" s="9">
        <v>192172500.00</v>
      </c>
      <c r="J43" t="inlineStr" s="8">
        <is>
          <t>NCR6157CR</t>
        </is>
      </c>
      <c r="K43" s="8"/>
      <c r="L43" s="8"/>
      <c r="M43" s="9"/>
      <c r="N43" s="9"/>
      <c r="O43" t="inlineStr" s="8">
        <is>
          <t>ENE.26/23</t>
        </is>
      </c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9">
        <v>90762000</v>
      </c>
      <c r="BF43" s="9"/>
      <c r="BG43" s="9"/>
      <c r="BH43" s="9"/>
      <c r="BI43" s="9">
        <f>SUM(M43,N43,Q43,R43,S43,T43,U43,V43,W43,X43,Y43,Z43,AA43,AB43,AC43,AD43,AE43,AF43,AG43,AH43,AI43,AJ43,AK43,AL43,AM43,AN43,AO43,AP43,AQ43,AR43,AS43,AT43,AU43,AV43,AW43,AX43,AY43,AZ43,BA43,BB43,BC43,BD43,BE43,BF43,BG43,BH43)</f>
      </c>
      <c r="BJ43" s="9">
        <f>I43-BI43</f>
      </c>
      <c r="BK43" s="9">
        <f>BJ43-BL43-BM43-BN43-BO43</f>
      </c>
      <c r="BL43" s="9"/>
      <c r="BM43" s="9"/>
      <c r="BN43" s="9"/>
      <c r="BO43" s="9"/>
      <c r="BP43" s="8"/>
      <c r="BQ43" t="inlineStr" s="8">
        <is>
          <t>2022-03-17</t>
        </is>
      </c>
      <c r="BR43" t="inlineStr" s="8">
        <is>
          <t>2022-05-25</t>
        </is>
      </c>
      <c r="BS43" s="8"/>
      <c r="BT43" s="8"/>
      <c r="BU43" s="8"/>
      <c r="BV43" s="8"/>
      <c r="BW43" s="8"/>
      <c r="BX43" s="8"/>
      <c r="BY43" s="8"/>
      <c r="BZ43" s="9"/>
      <c r="CA43" s="9"/>
      <c r="CB43" t="inlineStr" s="8">
        <is>
          <t>3166455339</t>
        </is>
      </c>
      <c r="CC43" t="inlineStr" s="8">
        <is>
          <t>tribbiani.bart.75446178@example.com</t>
        </is>
      </c>
      <c r="CD43" t="inlineStr" s="8">
        <is>
          <t>JETSON GEORGE CEL: 3166455637</t>
        </is>
      </c>
      <c r="CE43" s="8"/>
    </row>
    <row r="44" ht="12.75" customHeight="1">
      <c r="A44" t="inlineStr" s="8">
        <is>
          <t>60007919104381</t>
        </is>
      </c>
      <c r="B44" s="8"/>
      <c r="C44" t="inlineStr" s="8">
        <is>
          <t>605</t>
        </is>
      </c>
      <c r="D44" s="9">
        <v>55.20</v>
      </c>
      <c r="E44" t="inlineStr" s="8">
        <is>
          <t>75450163</t>
        </is>
      </c>
      <c r="F44" t="inlineStr" s="8">
        <is>
          <t>SMITH JANE</t>
        </is>
      </c>
      <c r="G44" s="8"/>
      <c r="H44" s="8"/>
      <c r="I44" s="9">
        <v>192172500.00</v>
      </c>
      <c r="J44" t="inlineStr" s="8">
        <is>
          <t>NCR6161</t>
        </is>
      </c>
      <c r="K44" t="inlineStr" s="8">
        <is>
          <t>NCR6166 - NCR6162 - NCR6158 - NCR6163 - NCR6164 - NCR6159 - NCR6165 - NCR6160</t>
        </is>
      </c>
      <c r="L44" t="inlineStr" s="8">
        <is>
          <t>FEB.16/24F - JUN.8/24F - NOV.1/24F - NOV.8/24F - DIC.13/24 - DIC.24/24F - FEB.24/25F - MAR.9/25F - MAR.15/25F</t>
        </is>
      </c>
      <c r="M44" s="9">
        <v>2835000</v>
      </c>
      <c r="N44" s="9"/>
      <c r="O44" s="8"/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>
        <v>23387500</v>
      </c>
      <c r="AQ44" s="10"/>
      <c r="AR44" s="10"/>
      <c r="AS44" s="10"/>
      <c r="AT44" s="10">
        <v>33308000</v>
      </c>
      <c r="AU44" s="10"/>
      <c r="AV44" s="10"/>
      <c r="AW44" s="10"/>
      <c r="AX44" s="10"/>
      <c r="AY44" s="10">
        <f>24981000+14528000</f>
      </c>
      <c r="AZ44" s="10">
        <v>6201000</v>
      </c>
      <c r="BA44" s="10"/>
      <c r="BB44" s="10">
        <v>14528000</v>
      </c>
      <c r="BC44" s="10">
        <f>19135000+38269000</f>
      </c>
      <c r="BD44" s="10"/>
      <c r="BE44" s="9"/>
      <c r="BF44" s="9"/>
      <c r="BG44" s="9"/>
      <c r="BH44" s="9"/>
      <c r="BI44" s="9">
        <f>SUM(M44,N44,Q44,R44,S44,T44,U44,V44,W44,X44,Y44,Z44,AA44,AB44,AC44,AD44,AE44,AF44,AG44,AH44,AI44,AJ44,AK44,AL44,AM44,AN44,AO44,AP44,AQ44,AR44,AS44,AT44,AU44,AV44,AW44,AX44,AY44,AZ44,BA44,BB44,BC44,BD44,BE44,BF44,BG44,BH44)</f>
      </c>
      <c r="BJ44" s="9">
        <f>I44-BI44</f>
      </c>
      <c r="BK44" s="9">
        <f>BJ44-BL44-BM44-BN44-BO44</f>
      </c>
      <c r="BL44" s="9"/>
      <c r="BM44" s="9"/>
      <c r="BN44" s="9"/>
      <c r="BO44" s="9"/>
      <c r="BP44" s="8"/>
      <c r="BQ44" t="inlineStr" s="8">
        <is>
          <t>2024-02-06</t>
        </is>
      </c>
      <c r="BR44" t="inlineStr" s="8">
        <is>
          <t>2024-03-22</t>
        </is>
      </c>
      <c r="BS44" t="inlineStr" s="8">
        <is>
          <t>2025-10-03</t>
        </is>
      </c>
      <c r="BT44" s="8"/>
      <c r="BU44" s="8"/>
      <c r="BV44" s="8"/>
      <c r="BW44" s="8"/>
      <c r="BX44" s="8"/>
      <c r="BY44" s="8"/>
      <c r="BZ44" s="9"/>
      <c r="CA44" s="9"/>
      <c r="CB44" t="inlineStr" s="8">
        <is>
          <t>3166456279</t>
        </is>
      </c>
      <c r="CC44" t="inlineStr" s="8">
        <is>
          <t>smith.jane.75450163@example.com</t>
        </is>
      </c>
      <c r="CD44" t="inlineStr" s="8">
        <is>
          <t>MOUSE MINNIE CEL: 3166456572</t>
        </is>
      </c>
      <c r="CE44" s="8"/>
    </row>
    <row r="45" ht="12.75" customHeight="1">
      <c r="A45" t="inlineStr" s="8">
        <is>
          <t>60007919104470</t>
        </is>
      </c>
      <c r="B45" s="8"/>
      <c r="C45" t="inlineStr" s="8">
        <is>
          <t>606</t>
        </is>
      </c>
      <c r="D45" s="9">
        <v>55.20</v>
      </c>
      <c r="E45" t="inlineStr" s="8">
        <is>
          <t>75457029</t>
        </is>
      </c>
      <c r="F45" t="inlineStr" s="8">
        <is>
          <t>WAYNE GUSTAVO</t>
        </is>
      </c>
      <c r="G45" t="inlineStr" s="8">
        <is>
          <t>STARK RICK</t>
        </is>
      </c>
      <c r="H45" s="8"/>
      <c r="I45" s="9">
        <v>192172500.00</v>
      </c>
      <c r="J45" s="8"/>
      <c r="K45" t="inlineStr" s="8">
        <is>
          <t>NCR6172 - NCR6170 - NCR6169 - NCR6171</t>
        </is>
      </c>
      <c r="L45" t="inlineStr" s="8">
        <is>
          <t>MAY.7/23F - JUN.16/23F - OCT.7/23F - ENE.8/24F</t>
        </is>
      </c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>
        <v>18397000</v>
      </c>
      <c r="AH45" s="10">
        <v>58030000</v>
      </c>
      <c r="AI45" s="10"/>
      <c r="AJ45" s="10"/>
      <c r="AK45" s="10"/>
      <c r="AL45" s="10">
        <v>5309000</v>
      </c>
      <c r="AM45" s="10"/>
      <c r="AN45" s="10"/>
      <c r="AO45" s="10">
        <v>9794000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9"/>
      <c r="BF45" s="9"/>
      <c r="BG45" s="9"/>
      <c r="BH45" s="9"/>
      <c r="BI45" s="9">
        <f>SUM(M45,N45,Q45,R45,S45,T45,U45,V45,W45,X45,Y45,Z45,AA45,AB45,AC45,AD45,AE45,AF45,AG45,AH45,AI45,AJ45,AK45,AL45,AM45,AN45,AO45,AP45,AQ45,AR45,AS45,AT45,AU45,AV45,AW45,AX45,AY45,AZ45,BA45,BB45,BC45,BD45,BE45,BF45,BG45,BH45)</f>
      </c>
      <c r="BJ45" s="9">
        <f>I45-BI45</f>
      </c>
      <c r="BK45" s="9">
        <f>BJ45-BL45-BM45-BN45-BO45</f>
      </c>
      <c r="BL45" s="9"/>
      <c r="BM45" s="9"/>
      <c r="BN45" s="9"/>
      <c r="BO45" s="9"/>
      <c r="BP45" s="8"/>
      <c r="BQ45" t="inlineStr" s="8">
        <is>
          <t>2023-02-11</t>
        </is>
      </c>
      <c r="BR45" t="inlineStr" s="8">
        <is>
          <t>2023-05-20</t>
        </is>
      </c>
      <c r="BS45" s="8"/>
      <c r="BT45" s="8"/>
      <c r="BU45" s="8"/>
      <c r="BV45" s="8"/>
      <c r="BW45" s="8"/>
      <c r="BX45" s="8"/>
      <c r="BY45" s="8"/>
      <c r="BZ45" s="9"/>
      <c r="CA45" s="9"/>
      <c r="CB45" t="inlineStr" s="8">
        <is>
          <t>3166457451</t>
        </is>
      </c>
      <c r="CC45" t="inlineStr" s="8">
        <is>
          <t>wayne.gustavo.75457029@example.com</t>
        </is>
      </c>
      <c r="CD45" t="inlineStr" s="8">
        <is>
          <t>JETSON GEORGE CEL: 3166459165</t>
        </is>
      </c>
      <c r="CE45" s="8"/>
    </row>
    <row r="46" ht="12.75" customHeight="1">
      <c r="A46" t="inlineStr" s="8">
        <is>
          <t>60007919104522</t>
        </is>
      </c>
      <c r="B46" s="8"/>
      <c r="C46" t="inlineStr" s="8">
        <is>
          <t>607</t>
        </is>
      </c>
      <c r="D46" s="9">
        <v>55.20</v>
      </c>
      <c r="E46" t="inlineStr" s="8">
        <is>
          <t>75466788</t>
        </is>
      </c>
      <c r="F46" t="inlineStr" s="8">
        <is>
          <t>HOLMES OBI WAN</t>
        </is>
      </c>
      <c r="G46" s="8"/>
      <c r="H46" t="inlineStr" s="8">
        <is>
          <t>BANCO DE OCCIDENTE</t>
        </is>
      </c>
      <c r="I46" s="9">
        <v>192172500.00</v>
      </c>
      <c r="J46" t="inlineStr" s="8">
        <is>
          <t>NCR6173CR</t>
        </is>
      </c>
      <c r="K46" s="8"/>
      <c r="L46" s="8"/>
      <c r="M46" s="9"/>
      <c r="N46" s="9"/>
      <c r="O46" t="inlineStr" s="8">
        <is>
          <t>NOV.14/22</t>
        </is>
      </c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9">
        <v>71250000</v>
      </c>
      <c r="BF46" s="9"/>
      <c r="BG46" s="9"/>
      <c r="BH46" s="9"/>
      <c r="BI46" s="9">
        <f>SUM(M46,N46,Q46,R46,S46,T46,U46,V46,W46,X46,Y46,Z46,AA46,AB46,AC46,AD46,AE46,AF46,AG46,AH46,AI46,AJ46,AK46,AL46,AM46,AN46,AO46,AP46,AQ46,AR46,AS46,AT46,AU46,AV46,AW46,AX46,AY46,AZ46,BA46,BB46,BC46,BD46,BE46,BF46,BG46,BH46)</f>
      </c>
      <c r="BJ46" s="9">
        <f>I46-BI46</f>
      </c>
      <c r="BK46" s="9">
        <f>BJ46-BL46-BM46-BN46-BO46</f>
      </c>
      <c r="BL46" s="9"/>
      <c r="BM46" s="9"/>
      <c r="BN46" s="9"/>
      <c r="BO46" s="9"/>
      <c r="BP46" s="8"/>
      <c r="BQ46" t="inlineStr" s="8">
        <is>
          <t>2022-04-14</t>
        </is>
      </c>
      <c r="BR46" t="inlineStr" s="8">
        <is>
          <t>2022-05-28</t>
        </is>
      </c>
      <c r="BS46" s="8"/>
      <c r="BT46" s="8"/>
      <c r="BU46" s="8"/>
      <c r="BV46" s="8"/>
      <c r="BW46" s="8"/>
      <c r="BX46" s="8"/>
      <c r="BY46" s="8"/>
      <c r="BZ46" s="9"/>
      <c r="CA46" s="9"/>
      <c r="CB46" t="inlineStr" s="8">
        <is>
          <t>3166459699</t>
        </is>
      </c>
      <c r="CC46" t="inlineStr" s="8">
        <is>
          <t>holmes.obi.wan.75466788@example.com</t>
        </is>
      </c>
      <c r="CD46" t="inlineStr" s="8">
        <is>
          <t>BUNNY BUGS CEL: 3166459895</t>
        </is>
      </c>
      <c r="CE46" s="8"/>
    </row>
    <row r="47" ht="12.75" customHeight="1">
      <c r="A47" t="inlineStr" s="8">
        <is>
          <t>60007919104635</t>
        </is>
      </c>
      <c r="B47" s="8"/>
      <c r="C47" t="inlineStr" s="8">
        <is>
          <t>701</t>
        </is>
      </c>
      <c r="D47" s="9">
        <v>55.20</v>
      </c>
      <c r="E47" t="inlineStr" s="8">
        <is>
          <t>75473577</t>
        </is>
      </c>
      <c r="F47" t="inlineStr" s="8">
        <is>
          <t>GRIFFIN DIANA</t>
        </is>
      </c>
      <c r="G47" s="8"/>
      <c r="H47" s="8"/>
      <c r="I47" s="9">
        <v>192172500.00</v>
      </c>
      <c r="J47" s="8"/>
      <c r="K47" t="inlineStr" s="8">
        <is>
          <t>NCR6179 - NCR6180 - NCR6178 - NCR6176 - NCR6177 - NCR6175</t>
        </is>
      </c>
      <c r="L47" t="inlineStr" s="8">
        <is>
          <t>AGO.21/24F - NOV.2/24F - DIC.15/24F - FEB.11/25F - FEB.17/25F - FEB.25/25F</t>
        </is>
      </c>
      <c r="M47" s="9"/>
      <c r="N47" s="9"/>
      <c r="O47" s="8"/>
      <c r="P47" s="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>
        <v>13382000</v>
      </c>
      <c r="AW47" s="10"/>
      <c r="AX47" s="10"/>
      <c r="AY47" s="10">
        <v>7487000</v>
      </c>
      <c r="AZ47" s="10">
        <v>1497000</v>
      </c>
      <c r="BA47" s="10"/>
      <c r="BB47" s="10">
        <f>38929000+1965000+30320000</f>
      </c>
      <c r="BC47" s="10"/>
      <c r="BD47" s="10"/>
      <c r="BE47" s="9"/>
      <c r="BF47" s="9"/>
      <c r="BG47" s="9"/>
      <c r="BH47" s="9"/>
      <c r="BI47" s="9">
        <f>SUM(M47,N47,Q47,R47,S47,T47,U47,V47,W47,X47,Y47,Z47,AA47,AB47,AC47,AD47,AE47,AF47,AG47,AH47,AI47,AJ47,AK47,AL47,AM47,AN47,AO47,AP47,AQ47,AR47,AS47,AT47,AU47,AV47,AW47,AX47,AY47,AZ47,BA47,BB47,BC47,BD47,BE47,BF47,BG47,BH47)</f>
      </c>
      <c r="BJ47" s="9">
        <f>I47-BI47</f>
      </c>
      <c r="BK47" s="9">
        <f>BJ47-BL47-BM47-BN47-BO47</f>
      </c>
      <c r="BL47" s="9"/>
      <c r="BM47" s="9"/>
      <c r="BN47" s="9"/>
      <c r="BO47" s="9"/>
      <c r="BP47" s="8"/>
      <c r="BQ47" t="inlineStr" s="8">
        <is>
          <t>2024-03-17</t>
        </is>
      </c>
      <c r="BR47" t="inlineStr" s="8">
        <is>
          <t>2024-06-28</t>
        </is>
      </c>
      <c r="BS47" s="8"/>
      <c r="BT47" s="8"/>
      <c r="BU47" s="8"/>
      <c r="BV47" s="8"/>
      <c r="BW47" s="8"/>
      <c r="BX47" s="8"/>
      <c r="BY47" s="8"/>
      <c r="BZ47" s="9"/>
      <c r="CA47" s="9"/>
      <c r="CB47" t="inlineStr" s="8">
        <is>
          <t>3166460022</t>
        </is>
      </c>
      <c r="CC47" t="inlineStr" s="8">
        <is>
          <t>griffin.diana.75473577@example.com</t>
        </is>
      </c>
      <c r="CD47" t="inlineStr" s="8">
        <is>
          <t>FLINTSTONE FRED CEL: 3166460188</t>
        </is>
      </c>
      <c r="CE47" s="8"/>
    </row>
    <row r="48" ht="12.75" customHeight="1">
      <c r="A48" t="inlineStr" s="8">
        <is>
          <t>60007919104761</t>
        </is>
      </c>
      <c r="B48" s="8"/>
      <c r="C48" t="inlineStr" s="8">
        <is>
          <t>702</t>
        </is>
      </c>
      <c r="D48" s="9">
        <v>55.20</v>
      </c>
      <c r="E48" t="inlineStr" s="8">
        <is>
          <t>75488823</t>
        </is>
      </c>
      <c r="F48" t="inlineStr" s="8">
        <is>
          <t>WHITE STEWIE</t>
        </is>
      </c>
      <c r="G48" s="8"/>
      <c r="H48" t="inlineStr" s="8">
        <is>
          <t>BBVA</t>
        </is>
      </c>
      <c r="I48" s="9">
        <v>192172500.00</v>
      </c>
      <c r="J48" t="inlineStr" s="8">
        <is>
          <t>NC6183CESION - NCR6187 - NCR6185 - NCR6193CR</t>
        </is>
      </c>
      <c r="K48" t="inlineStr" s="8">
        <is>
          <t>NCR6188 - NCR6192 - NCR6191 - NCR6190 - NCR6184 - NCR6186 - NCR6189</t>
        </is>
      </c>
      <c r="L48" t="inlineStr" s="8">
        <is>
          <t>SEP.2/22F - NOV.26/22F - ENE.22/23F - (MAR.8/23CESION) - MAR.26/23F - ABR.1/23F - JUN.18/23F - AGO.22/23F - SEP.2/23 - SEP.12/23</t>
        </is>
      </c>
      <c r="M48" s="9">
        <f>1775000+1065000</f>
      </c>
      <c r="N48" s="9">
        <v>12000000</v>
      </c>
      <c r="O48" t="inlineStr" s="8">
        <is>
          <t>MAY.27/23</t>
        </is>
      </c>
      <c r="P48" s="8"/>
      <c r="Q48" s="10"/>
      <c r="R48" s="10"/>
      <c r="S48" s="10"/>
      <c r="T48" s="10"/>
      <c r="U48" s="10"/>
      <c r="V48" s="10"/>
      <c r="W48" s="10"/>
      <c r="X48" s="10"/>
      <c r="Y48" s="10">
        <v>1648000</v>
      </c>
      <c r="Z48" s="10"/>
      <c r="AA48" s="10">
        <v>4541000</v>
      </c>
      <c r="AB48" s="10"/>
      <c r="AC48" s="10">
        <v>4007000</v>
      </c>
      <c r="AD48" s="10"/>
      <c r="AE48" s="10">
        <v>2080000</v>
      </c>
      <c r="AF48" s="10">
        <v>659000</v>
      </c>
      <c r="AG48" s="10"/>
      <c r="AH48" s="10">
        <v>9282000</v>
      </c>
      <c r="AI48" s="10"/>
      <c r="AJ48" s="10">
        <v>304000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>
        <v>65000000</v>
      </c>
      <c r="BF48" s="9"/>
      <c r="BG48" s="9"/>
      <c r="BH48" s="9"/>
      <c r="BI48" s="9">
        <f>SUM(M48,N48,Q48,R48,S48,T48,U48,V48,W48,X48,Y48,Z48,AA48,AB48,AC48,AD48,AE48,AF48,AG48,AH48,AI48,AJ48,AK48,AL48,AM48,AN48,AO48,AP48,AQ48,AR48,AS48,AT48,AU48,AV48,AW48,AX48,AY48,AZ48,BA48,BB48,BC48,BD48,BE48,BF48,BG48,BH48)</f>
      </c>
      <c r="BJ48" s="9">
        <f>I48-BI48</f>
      </c>
      <c r="BK48" s="9">
        <f>BJ48-BL48-BM48-BN48-BO48</f>
      </c>
      <c r="BL48" s="9"/>
      <c r="BM48" s="9"/>
      <c r="BN48" s="9"/>
      <c r="BO48" s="9"/>
      <c r="BP48" s="8"/>
      <c r="BQ48" t="inlineStr" s="8">
        <is>
          <t>2022-08-17</t>
        </is>
      </c>
      <c r="BR48" t="inlineStr" s="8">
        <is>
          <t>2022-11-12</t>
        </is>
      </c>
      <c r="BS48" s="8"/>
      <c r="BT48" s="8"/>
      <c r="BU48" s="8"/>
      <c r="BV48" s="8"/>
      <c r="BW48" s="8"/>
      <c r="BX48" s="8"/>
      <c r="BY48" s="8"/>
      <c r="BZ48" s="9"/>
      <c r="CA48" s="9"/>
      <c r="CB48" t="inlineStr" s="8">
        <is>
          <t>3166462215</t>
        </is>
      </c>
      <c r="CC48" t="inlineStr" s="8">
        <is>
          <t>white.stewie.75488823@example.com</t>
        </is>
      </c>
      <c r="CD48" t="inlineStr" s="8">
        <is>
          <t>BUNNY BUGS CEL: 3166462341</t>
        </is>
      </c>
      <c r="CE48" t="inlineStr" s="8">
        <is>
          <t>NC6183 MAR.8/23 CESION DE EUGENE SOLO/MARGE BARTON A STEWIE WHITE *ANTIC $12.000.000 *ARRAS $4'640</t>
        </is>
      </c>
    </row>
    <row r="49" ht="12.75" customHeight="1">
      <c r="A49" t="inlineStr" s="8">
        <is>
          <t>60007919104841</t>
        </is>
      </c>
      <c r="B49" s="8"/>
      <c r="C49" t="inlineStr" s="8">
        <is>
          <t>703</t>
        </is>
      </c>
      <c r="D49" s="9">
        <v>55.20</v>
      </c>
      <c r="E49" t="inlineStr" s="8">
        <is>
          <t>75490842</t>
        </is>
      </c>
      <c r="F49" t="inlineStr" s="8">
        <is>
          <t>ORGANA HAN</t>
        </is>
      </c>
      <c r="G49" s="8"/>
      <c r="H49" t="inlineStr" s="8">
        <is>
          <t>BANCO DE BOGOTA</t>
        </is>
      </c>
      <c r="I49" s="9">
        <v>192172500.00</v>
      </c>
      <c r="J49" t="inlineStr" s="8">
        <is>
          <t>NCR6204 - NCR6198 - NCR6200 - NCR6195 - NCR6203 - NCR6205CR</t>
        </is>
      </c>
      <c r="K49" t="inlineStr" s="8">
        <is>
          <t>NCR6197 - NCR6199 - NCR6194 - NCR6201 - NCR6196 - NCR6202</t>
        </is>
      </c>
      <c r="L49" t="inlineStr" s="8">
        <is>
          <t>ENE.26/23F - MAR.11/23F - ABR.24/23F - JUN.10/23 - JUN.18/23 - JUN.18/23F - AGO.1/23F - AGO.27/23F - SEP.26/23 - OCT.14/23 - OCT.16/23</t>
        </is>
      </c>
      <c r="M49" s="9">
        <f>4149500+16153000+7628000+9983000+2916000</f>
      </c>
      <c r="N49" s="9"/>
      <c r="O49" t="inlineStr" s="8">
        <is>
          <t>JUL.23/23</t>
        </is>
      </c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>
        <v>14358000</v>
      </c>
      <c r="AD49" s="10"/>
      <c r="AE49" s="10">
        <v>2356000</v>
      </c>
      <c r="AF49" s="10">
        <v>8413000</v>
      </c>
      <c r="AG49" s="10"/>
      <c r="AH49" s="10">
        <v>17275000</v>
      </c>
      <c r="AI49" s="10"/>
      <c r="AJ49" s="10">
        <f>19294000+9647000</f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9">
        <v>80000000</v>
      </c>
      <c r="BF49" s="9"/>
      <c r="BG49" s="9"/>
      <c r="BH49" s="9"/>
      <c r="BI49" s="9">
        <f>SUM(M49,N49,Q49,R49,S49,T49,U49,V49,W49,X49,Y49,Z49,AA49,AB49,AC49,AD49,AE49,AF49,AG49,AH49,AI49,AJ49,AK49,AL49,AM49,AN49,AO49,AP49,AQ49,AR49,AS49,AT49,AU49,AV49,AW49,AX49,AY49,AZ49,BA49,BB49,BC49,BD49,BE49,BF49,BG49,BH49)</f>
      </c>
      <c r="BJ49" s="9">
        <f>I49-BI49</f>
      </c>
      <c r="BK49" s="9">
        <f>BJ49-BL49-BM49-BN49-BO49</f>
      </c>
      <c r="BL49" s="9"/>
      <c r="BM49" s="9"/>
      <c r="BN49" s="9"/>
      <c r="BO49" s="9"/>
      <c r="BP49" s="8"/>
      <c r="BQ49" t="inlineStr" s="8">
        <is>
          <t>2023-01-13</t>
        </is>
      </c>
      <c r="BR49" t="inlineStr" s="8">
        <is>
          <t>2023-05-03</t>
        </is>
      </c>
      <c r="BS49" t="inlineStr" s="8">
        <is>
          <t>2023-12-16</t>
        </is>
      </c>
      <c r="BT49" s="8"/>
      <c r="BU49" s="8"/>
      <c r="BV49" s="8"/>
      <c r="BW49" s="8"/>
      <c r="BX49" s="8"/>
      <c r="BY49" s="8"/>
      <c r="BZ49" s="9"/>
      <c r="CA49" s="9"/>
      <c r="CB49" t="inlineStr" s="8">
        <is>
          <t>3166462696</t>
        </is>
      </c>
      <c r="CC49" t="inlineStr" s="8">
        <is>
          <t>organa.han.75490842@example.com</t>
        </is>
      </c>
      <c r="CD49" t="inlineStr" s="8">
        <is>
          <t>MOUSE MINNIE CEL: 3166463499</t>
        </is>
      </c>
      <c r="CE49" s="8"/>
    </row>
    <row r="50" ht="12.75" customHeight="1">
      <c r="A50" s="8"/>
      <c r="B50" s="8"/>
      <c r="C50" t="inlineStr" s="8">
        <is>
          <t>704</t>
        </is>
      </c>
      <c r="D50" s="9">
        <v>55.20</v>
      </c>
      <c r="E50" s="8"/>
      <c r="F50" s="8"/>
      <c r="G50" s="8"/>
      <c r="H50" s="8"/>
      <c r="I50" s="9">
        <v>192172500.00</v>
      </c>
      <c r="J50" s="8"/>
      <c r="K50" s="8"/>
      <c r="L50" s="8"/>
      <c r="M50" s="9"/>
      <c r="N50" s="9"/>
      <c r="O50" s="8"/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9"/>
      <c r="CA50" s="9"/>
      <c r="CB50" s="8"/>
      <c r="CC50" s="8"/>
      <c r="CD50" s="8"/>
      <c r="CE50" s="8"/>
    </row>
    <row r="51" ht="12.75" customHeight="1">
      <c r="A51" t="inlineStr" s="8">
        <is>
          <t>60007919105016</t>
        </is>
      </c>
      <c r="B51" s="8"/>
      <c r="C51" t="inlineStr" s="8">
        <is>
          <t>705</t>
        </is>
      </c>
      <c r="D51" s="9">
        <v>55.20</v>
      </c>
      <c r="E51" t="inlineStr" s="8">
        <is>
          <t>75496589</t>
        </is>
      </c>
      <c r="F51" t="inlineStr" s="8">
        <is>
          <t>PARKER NATASHA</t>
        </is>
      </c>
      <c r="G51" t="inlineStr" s="8">
        <is>
          <t>SCOTT DRACO</t>
        </is>
      </c>
      <c r="H51" t="inlineStr" s="8">
        <is>
          <t>BANCOLOMBIA</t>
        </is>
      </c>
      <c r="I51" s="9">
        <v>192172500.00</v>
      </c>
      <c r="J51" t="inlineStr" s="8">
        <is>
          <t>NCR6227 - NCR6224 - NCR6225 - NCR6226 - NCR6221 - NCR6229CR</t>
        </is>
      </c>
      <c r="K51" t="inlineStr" s="8">
        <is>
          <t>NCR6219 - NCR6222 - NCR6223 - NCR6228 - NCR6220</t>
        </is>
      </c>
      <c r="L51" t="inlineStr" s="8">
        <is>
          <t>JUL.1/23 - AGO.13/23F - SEP.23/23 - OCT.25/23F - OCT.27/23F - NOV.18/23 - NOV.21/23 - DIC.9/23 - ENE.8/24F - FEB.10/24F</t>
        </is>
      </c>
      <c r="M51" s="9">
        <f>4425000+4824000+3269000+3947000+4465000</f>
      </c>
      <c r="N51" s="9"/>
      <c r="O51" t="inlineStr" s="8">
        <is>
          <t>OCT.26/23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3787000</v>
      </c>
      <c r="AK51" s="10"/>
      <c r="AL51" s="10">
        <f>5621000+1156000</f>
      </c>
      <c r="AM51" s="10"/>
      <c r="AN51" s="10"/>
      <c r="AO51" s="10">
        <v>679000</v>
      </c>
      <c r="AP51" s="10">
        <v>7694000</v>
      </c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9">
        <v>125000000</v>
      </c>
      <c r="BF51" s="9"/>
      <c r="BG51" s="9"/>
      <c r="BH51" s="9"/>
      <c r="BI51" s="9">
        <f>SUM(M51,N51,Q51,R51,S51,T51,U51,V51,W51,X51,Y51,Z51,AA51,AB51,AC51,AD51,AE51,AF51,AG51,AH51,AI51,AJ51,AK51,AL51,AM51,AN51,AO51,AP51,AQ51,AR51,AS51,AT51,AU51,AV51,AW51,AX51,AY51,AZ51,BA51,BB51,BC51,BD51,BE51,BF51,BG51,BH51)</f>
      </c>
      <c r="BJ51" s="9">
        <f>I51-BI51</f>
      </c>
      <c r="BK51" s="9">
        <f>BJ51-BL51-BM51-BN51-BO51</f>
      </c>
      <c r="BL51" s="9"/>
      <c r="BM51" s="9"/>
      <c r="BN51" s="9"/>
      <c r="BO51" s="9"/>
      <c r="BP51" s="8"/>
      <c r="BQ51" t="inlineStr" s="8">
        <is>
          <t>2023-07-14</t>
        </is>
      </c>
      <c r="BR51" t="inlineStr" s="8">
        <is>
          <t>2023-10-23</t>
        </is>
      </c>
      <c r="BS51" s="8"/>
      <c r="BT51" s="8"/>
      <c r="BU51" s="8"/>
      <c r="BV51" s="8"/>
      <c r="BW51" s="8"/>
      <c r="BX51" s="8"/>
      <c r="BY51" s="8"/>
      <c r="BZ51" s="9"/>
      <c r="CA51" s="9"/>
      <c r="CB51" t="inlineStr" s="8">
        <is>
          <t>3166464141</t>
        </is>
      </c>
      <c r="CC51" t="inlineStr" s="8">
        <is>
          <t>parker.natasha.75496589@example.com</t>
        </is>
      </c>
      <c r="CD51" t="inlineStr" s="8">
        <is>
          <t>DUCK DAFFY CEL: 3166465309</t>
        </is>
      </c>
      <c r="CE51" s="8"/>
    </row>
    <row r="52" ht="12.75" customHeight="1">
      <c r="A52" t="inlineStr" s="8">
        <is>
          <t>60007919105232</t>
        </is>
      </c>
      <c r="B52" s="8"/>
      <c r="C52" t="inlineStr" s="8">
        <is>
          <t>706</t>
        </is>
      </c>
      <c r="D52" s="9">
        <v>55.20</v>
      </c>
      <c r="E52" t="inlineStr" s="8">
        <is>
          <t>75512804</t>
        </is>
      </c>
      <c r="F52" t="inlineStr" s="8">
        <is>
          <t>KENOBI JANE</t>
        </is>
      </c>
      <c r="G52" t="inlineStr" s="8">
        <is>
          <t>STAR SHERLOCK</t>
        </is>
      </c>
      <c r="H52" s="8"/>
      <c r="I52" s="9">
        <v>192172500.00</v>
      </c>
      <c r="J52" s="8"/>
      <c r="K52" t="inlineStr" s="8">
        <is>
          <t>NCR6233 - NCR6232 - NCR6230 - NCR6231 - NCR6234</t>
        </is>
      </c>
      <c r="L52" t="inlineStr" s="8">
        <is>
          <t>ENE.10/22F - FEB.5/22F - JUN.13/22F - JUL.18/22F - SEP.17/22F</t>
        </is>
      </c>
      <c r="M52" s="9"/>
      <c r="N52" s="9"/>
      <c r="O52" s="8"/>
      <c r="P52" s="8"/>
      <c r="Q52" s="10">
        <v>85901000</v>
      </c>
      <c r="R52" s="10">
        <v>16911000</v>
      </c>
      <c r="S52" s="10"/>
      <c r="T52" s="10"/>
      <c r="U52" s="10"/>
      <c r="V52" s="10">
        <v>41317000</v>
      </c>
      <c r="W52" s="10">
        <v>2114000</v>
      </c>
      <c r="X52" s="10"/>
      <c r="Y52" s="10">
        <v>45929500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/>
      <c r="BF52" s="9"/>
      <c r="BG52" s="9"/>
      <c r="BH52" s="9"/>
      <c r="BI52" s="9">
        <f>SUM(M52,N52,Q52,R52,S52,T52,U52,V52,W52,X52,Y52,Z52,AA52,AB52,AC52,AD52,AE52,AF52,AG52,AH52,AI52,AJ52,AK52,AL52,AM52,AN52,AO52,AP52,AQ52,AR52,AS52,AT52,AU52,AV52,AW52,AX52,AY52,AZ52,BA52,BB52,BC52,BD52,BE52,BF52,BG52,BH52)</f>
      </c>
      <c r="BJ52" s="9">
        <f>I52-BI52</f>
      </c>
      <c r="BK52" s="9">
        <f>BJ52-BL52-BM52-BN52-BO52</f>
      </c>
      <c r="BL52" s="9"/>
      <c r="BM52" s="9"/>
      <c r="BN52" s="9"/>
      <c r="BO52" s="9"/>
      <c r="BP52" s="8"/>
      <c r="BQ52" t="inlineStr" s="8">
        <is>
          <t>2022-03-14</t>
        </is>
      </c>
      <c r="BR52" t="inlineStr" s="8">
        <is>
          <t>2022-05-04</t>
        </is>
      </c>
      <c r="BS52" s="8"/>
      <c r="BT52" s="8"/>
      <c r="BU52" s="8"/>
      <c r="BV52" s="8"/>
      <c r="BW52" s="8"/>
      <c r="BX52" s="8"/>
      <c r="BY52" s="8"/>
      <c r="BZ52" s="9"/>
      <c r="CA52" s="9"/>
      <c r="CB52" t="inlineStr" s="8">
        <is>
          <t>3166465847</t>
        </is>
      </c>
      <c r="CC52" t="inlineStr" s="8">
        <is>
          <t>kenobi.jane.75512804@example.com</t>
        </is>
      </c>
      <c r="CD52" t="inlineStr" s="8">
        <is>
          <t>PANTHER PINK CEL: 3166466774</t>
        </is>
      </c>
      <c r="CE52" s="8"/>
    </row>
    <row r="53" ht="12.75" customHeight="1">
      <c r="A53" t="inlineStr" s="8">
        <is>
          <t>60007919105326</t>
        </is>
      </c>
      <c r="B53" s="8"/>
      <c r="C53" t="inlineStr" s="8">
        <is>
          <t>707</t>
        </is>
      </c>
      <c r="D53" s="9">
        <v>55.20</v>
      </c>
      <c r="E53" t="inlineStr" s="8">
        <is>
          <t>75524107</t>
        </is>
      </c>
      <c r="F53" t="inlineStr" s="8">
        <is>
          <t>SMITH JERRY</t>
        </is>
      </c>
      <c r="G53" s="8"/>
      <c r="H53" s="8"/>
      <c r="I53" s="9">
        <v>192172500.00</v>
      </c>
      <c r="J53" s="8"/>
      <c r="K53" t="inlineStr" s="8">
        <is>
          <t>NCR6239 - NCR6237 - NCR6244 - NCR6248 - NCR6242 - NCR6235 - NCR6240 - NCR6243 - NCR6246 - NCR6241 - NCR6236 - NCR6245 - NCR6247 - NCR6238</t>
        </is>
      </c>
      <c r="L53" t="inlineStr" s="8">
        <is>
          <t>ENE.5/24F - ENE.7/24F - MAR.14/24F - MAR.21/24F - MAR.27/24F - ABR.11/24F - ABR.13/24F - ABR.27/24F - MAY.3/24F - JUN.21/24F - AGO.16/24F - AGO.26/24F - SEP.22/24F - NOV.15/24F</t>
        </is>
      </c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>
        <f>8781000+12569000</f>
      </c>
      <c r="AP53" s="10"/>
      <c r="AQ53" s="10">
        <f>18595000+7230500+9469000</f>
      </c>
      <c r="AR53" s="10">
        <f>15840000+5682000+11019000</f>
      </c>
      <c r="AS53" s="10">
        <v>6198000</v>
      </c>
      <c r="AT53" s="10">
        <v>11191000</v>
      </c>
      <c r="AU53" s="10"/>
      <c r="AV53" s="10">
        <f>4476000+55784000</f>
      </c>
      <c r="AW53" s="10">
        <v>4649000</v>
      </c>
      <c r="AX53" s="10"/>
      <c r="AY53" s="10">
        <v>689000</v>
      </c>
      <c r="AZ53" s="10"/>
      <c r="BA53" s="10"/>
      <c r="BB53" s="10"/>
      <c r="BC53" s="10"/>
      <c r="BD53" s="10"/>
      <c r="BE53" s="9"/>
      <c r="BF53" s="9"/>
      <c r="BG53" s="9"/>
      <c r="BH53" s="9"/>
      <c r="BI53" s="9">
        <f>SUM(M53,N53,Q53,R53,S53,T53,U53,V53,W53,X53,Y53,Z53,AA53,AB53,AC53,AD53,AE53,AF53,AG53,AH53,AI53,AJ53,AK53,AL53,AM53,AN53,AO53,AP53,AQ53,AR53,AS53,AT53,AU53,AV53,AW53,AX53,AY53,AZ53,BA53,BB53,BC53,BD53,BE53,BF53,BG53,BH53)</f>
      </c>
      <c r="BJ53" s="9">
        <f>I53-BI53</f>
      </c>
      <c r="BK53" s="9">
        <f>BJ53-BL53-BM53-BN53-BO53</f>
      </c>
      <c r="BL53" s="9"/>
      <c r="BM53" s="9"/>
      <c r="BN53" s="9"/>
      <c r="BO53" s="9"/>
      <c r="BP53" s="8"/>
      <c r="BQ53" t="inlineStr" s="8">
        <is>
          <t>2024-03-10</t>
        </is>
      </c>
      <c r="BR53" t="inlineStr" s="8">
        <is>
          <t>2024-06-03</t>
        </is>
      </c>
      <c r="BS53" s="8"/>
      <c r="BT53" s="8"/>
      <c r="BU53" s="8"/>
      <c r="BV53" s="8"/>
      <c r="BW53" s="8"/>
      <c r="BX53" s="8"/>
      <c r="BY53" s="8"/>
      <c r="BZ53" s="9"/>
      <c r="CA53" s="9"/>
      <c r="CB53" t="inlineStr" s="8">
        <is>
          <t>3166467196</t>
        </is>
      </c>
      <c r="CC53" t="inlineStr" s="8">
        <is>
          <t>smith.jerry.75524107@example.com</t>
        </is>
      </c>
      <c r="CD53" t="inlineStr" s="8">
        <is>
          <t>BUNNY BUGS CEL: 3166467692</t>
        </is>
      </c>
      <c r="CE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9">
        <f>SUM(BE5:BE53)</f>
      </c>
      <c r="BF54" s="9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9">
        <f>SUM(BZ5:BZ53)</f>
      </c>
      <c r="CA54" s="9">
        <f>SUM(CA5:CA53)</f>
      </c>
      <c r="CB54" s="8"/>
      <c r="CC54" s="8"/>
      <c r="CD54" s="8"/>
      <c r="CE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8"/>
      <c r="CC55" s="8"/>
      <c r="CD55" s="8"/>
      <c r="CE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9">
        <f>SUM(BE5:BE53)</f>
      </c>
      <c r="BF56" s="9">
        <f>SUM(BF5:BF53)</f>
      </c>
      <c r="BG56" s="9">
        <f>SUM(BG5:BG53)</f>
      </c>
      <c r="BH56" s="9"/>
      <c r="BI56" s="9">
        <f>SUM(BI5:BI53)</f>
      </c>
      <c r="BJ56" s="9">
        <f>SUM(BJ5:BJ53)</f>
      </c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9">
        <f>SUM(BZ5:BZ53)</f>
      </c>
      <c r="CA56" s="9">
        <f>SUM(CA5:CA53)</f>
      </c>
      <c r="CB56" s="8"/>
      <c r="CC56" s="8"/>
      <c r="CD56" s="8"/>
      <c r="CE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3.7" customHeight="1">
      <c r="A59" t="inlineStr" s="8">
        <is>
          <t>60007919101166</t>
        </is>
      </c>
      <c r="B59" s="8"/>
      <c r="C59" t="inlineStr" s="8">
        <is>
          <t>206</t>
        </is>
      </c>
      <c r="D59" s="9">
        <v>55.20</v>
      </c>
      <c r="E59" t="inlineStr" s="8">
        <is>
          <t>75218486</t>
        </is>
      </c>
      <c r="F59" t="inlineStr" s="8">
        <is>
          <t>BEESLY SQUIDWARD</t>
        </is>
      </c>
      <c r="G59" t="inlineStr" s="8">
        <is>
          <t>*TRASLADO</t>
        </is>
      </c>
      <c r="H59" t="inlineStr" s="8">
        <is>
          <t>BANCO DE OCCIDENTE</t>
        </is>
      </c>
      <c r="I59" s="9">
        <v>192172500.00</v>
      </c>
      <c r="J59" s="8"/>
      <c r="K59" s="8"/>
      <c r="L59" t="inlineStr" s="8">
        <is>
          <t>2022-10-01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9"/>
      <c r="BF59" s="9"/>
      <c r="BG59" s="9"/>
      <c r="BH59" s="9"/>
      <c r="BI59" s="9">
        <f>SUM(M59,N59,Q59,R59,S59,T59,U59,V59,W59,X59,Y59,Z59,AA59,AB59,AC59,AD59,AE59,AF59,AG59,AH59,AI59,AJ59,AK59,AL59,AM59,AN59,AO59,AP59,AQ59,AR59,AS59,AT59,AU59,AV59,AW59,AX59,AY59,AZ59,BA59,BB59,BC59,BD59,BE59,BF59,BG59,BH59)</f>
      </c>
      <c r="BJ59" s="9">
        <f>I59-BI59</f>
      </c>
      <c r="BK59" s="9">
        <f>BJ59-BL59-BM59-BN59-BO59</f>
      </c>
      <c r="BL59" s="9"/>
      <c r="BM59" s="9"/>
      <c r="BN59" s="9"/>
      <c r="BO59" s="9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t="inlineStr" s="8">
        <is>
          <t>3166420170</t>
        </is>
      </c>
      <c r="CC59" t="inlineStr" s="8">
        <is>
          <t>beesly.squidward.75218486@example.com</t>
        </is>
      </c>
      <c r="CD59" t="inlineStr" s="8">
        <is>
          <t>BUNNY BUGS CEL: 3166421628</t>
        </is>
      </c>
      <c r="CE59" t="inlineStr" s="8">
        <is>
          <t>NC5830 OCT.1/22 TRASLADO DE SQUIDWARD BEESLY A CHLOE TRIBBIANI/SHERLOCK KENT *ANTIC $20.000.000 *ARRAS $4'640</t>
        </is>
      </c>
    </row>
    <row r="60" ht="13.7" customHeight="1">
      <c r="A60" t="inlineStr" s="8">
        <is>
          <t>60007919104093</t>
        </is>
      </c>
      <c r="B60" s="8"/>
      <c r="C60" t="inlineStr" s="8">
        <is>
          <t>507</t>
        </is>
      </c>
      <c r="D60" s="9">
        <v>55.20</v>
      </c>
      <c r="E60" t="inlineStr" s="8">
        <is>
          <t>75417953</t>
        </is>
      </c>
      <c r="F60" t="inlineStr" s="8">
        <is>
          <t>HOPPER JIM</t>
        </is>
      </c>
      <c r="G60" t="inlineStr" s="8">
        <is>
          <t>*EXCLUSION</t>
        </is>
      </c>
      <c r="H60" t="inlineStr" s="8">
        <is>
          <t>BANCO DAVIVIENDA</t>
        </is>
      </c>
      <c r="I60" s="9">
        <v>192172500.00</v>
      </c>
      <c r="J60" t="inlineStr" s="8">
        <is>
          <t>NCR6125 - NCR6128CR</t>
        </is>
      </c>
      <c r="K60" t="inlineStr" s="8">
        <is>
          <t>NCR6123 - NCR6126 - NCR6127 - NCR6124</t>
        </is>
      </c>
      <c r="L60" t="inlineStr" s="8">
        <is>
          <t>2022-11-20</t>
        </is>
      </c>
      <c r="M60" s="9">
        <v>26608000</v>
      </c>
      <c r="N60" s="9"/>
      <c r="O60" t="inlineStr" s="8">
        <is>
          <t>ENE.20/23</t>
        </is>
      </c>
      <c r="P60" s="8"/>
      <c r="Q60" s="10"/>
      <c r="R60" s="10"/>
      <c r="S60" s="10"/>
      <c r="T60" s="10"/>
      <c r="U60" s="10"/>
      <c r="V60" s="10"/>
      <c r="W60" s="10"/>
      <c r="X60" s="10"/>
      <c r="Y60" s="10">
        <f>2530500+61816000</f>
      </c>
      <c r="Z60" s="10">
        <v>6576000</v>
      </c>
      <c r="AA60" s="10"/>
      <c r="AB60" s="10">
        <v>3642000</v>
      </c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9">
        <v>65000000</v>
      </c>
      <c r="BF60" s="9"/>
      <c r="BG60" s="9"/>
      <c r="BH60" s="9"/>
      <c r="BI60" s="9">
        <f>SUM(M60,N60,Q60,R60,S60,T60,U60,V60,W60,X60,Y60,Z60,AA60,AB60,AC60,AD60,AE60,AF60,AG60,AH60,AI60,AJ60,AK60,AL60,AM60,AN60,AO60,AP60,AQ60,AR60,AS60,AT60,AU60,AV60,AW60,AX60,AY60,AZ60,BA60,BB60,BC60,BD60,BE60,BF60,BG60,BH60)</f>
      </c>
      <c r="BJ60" s="9">
        <f>I60-BI60</f>
      </c>
      <c r="BK60" s="9">
        <f>BJ60-BL60-BM60-BN60-BO60</f>
      </c>
      <c r="BL60" s="9"/>
      <c r="BM60" s="9"/>
      <c r="BN60" s="9"/>
      <c r="BO60" s="9"/>
      <c r="BP60" s="8"/>
      <c r="BQ60" t="inlineStr" s="8">
        <is>
          <t>2022-05-13</t>
        </is>
      </c>
      <c r="BR60" t="inlineStr" s="8">
        <is>
          <t>2022-08-21</t>
        </is>
      </c>
      <c r="BS60" s="8"/>
      <c r="BT60" s="8"/>
      <c r="BU60" s="8"/>
      <c r="BV60" s="8"/>
      <c r="BW60" s="8"/>
      <c r="BX60" s="8"/>
      <c r="BY60" s="8"/>
      <c r="BZ60" s="9"/>
      <c r="CA60" s="9"/>
      <c r="CB60" t="inlineStr" s="8">
        <is>
          <t>3166450866</t>
        </is>
      </c>
      <c r="CC60" t="inlineStr" s="8">
        <is>
          <t>hopper.jim.75417953@example.com</t>
        </is>
      </c>
      <c r="CD60" t="inlineStr" s="8">
        <is>
          <t>DUCK DAFFY CEL: 3166452385</t>
        </is>
      </c>
      <c r="CE60" t="inlineStr" s="8">
        <is>
          <t>NC6122 NOV.20/22 EXCLUSION DE MORTY MARTIN</t>
        </is>
      </c>
    </row>
    <row r="61" ht="13.7" customHeight="1">
      <c r="A61" t="inlineStr" s="8">
        <is>
          <t>60007919104706</t>
        </is>
      </c>
      <c r="B61" t="inlineStr" s="8">
        <is>
          <t>60007919104761</t>
        </is>
      </c>
      <c r="C61" t="inlineStr" s="8">
        <is>
          <t>702</t>
        </is>
      </c>
      <c r="D61" s="9">
        <v>55.20</v>
      </c>
      <c r="E61" t="inlineStr" s="8">
        <is>
          <t>75478447</t>
        </is>
      </c>
      <c r="F61" t="inlineStr" s="8">
        <is>
          <t>SOLO EUGENE</t>
        </is>
      </c>
      <c r="G61" t="inlineStr" s="8">
        <is>
          <t>*CESION/ARRAS</t>
        </is>
      </c>
      <c r="H61" t="inlineStr" s="8">
        <is>
          <t>BBVA</t>
        </is>
      </c>
      <c r="I61" s="9">
        <v>192172500.00</v>
      </c>
      <c r="J61" s="8"/>
      <c r="K61" s="8"/>
      <c r="L61" t="inlineStr" s="8">
        <is>
          <t>2023-03-08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9"/>
      <c r="BF61" s="9"/>
      <c r="BG61" s="9"/>
      <c r="BH61" s="9"/>
      <c r="BI61" s="9">
        <f>SUM(M61,N61,Q61,R61,S61,T61,U61,V61,W61,X61,Y61,Z61,AA61,AB61,AC61,AD61,AE61,AF61,AG61,AH61,AI61,AJ61,AK61,AL61,AM61,AN61,AO61,AP61,AQ61,AR61,AS61,AT61,AU61,AV61,AW61,AX61,AY61,AZ61,BA61,BB61,BC61,BD61,BE61,BF61,BG61,BH61)</f>
      </c>
      <c r="BJ61" s="9">
        <f>I61-BI61</f>
      </c>
      <c r="BK61" s="9">
        <f>BJ61-BL61-BM61-BN61-BO61</f>
      </c>
      <c r="BL61" s="9"/>
      <c r="BM61" s="9"/>
      <c r="BN61" s="9"/>
      <c r="BO61" s="9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9"/>
      <c r="CA61" s="9"/>
      <c r="CB61" t="inlineStr" s="8">
        <is>
          <t>3166461108</t>
        </is>
      </c>
      <c r="CC61" t="inlineStr" s="8">
        <is>
          <t>solo.eugene.75478447@example.com</t>
        </is>
      </c>
      <c r="CD61" t="inlineStr" s="8">
        <is>
          <t>BUNNY BUGS CEL: 3166462341</t>
        </is>
      </c>
      <c r="CE61" t="inlineStr" s="8">
        <is>
          <t>NC6183 MAR.8/23 CESION DE EUGENE SOLO/MARGE BARTON A STEWIE WHITE *ANTIC $12.000.000 *ARRAS $4'640</t>
        </is>
      </c>
    </row>
    <row r="62" ht="13.7" customHeight="1">
      <c r="A62" t="inlineStr" s="8">
        <is>
          <t>60007919104761</t>
        </is>
      </c>
      <c r="B62" s="8"/>
      <c r="C62" t="inlineStr" s="8">
        <is>
          <t>702</t>
        </is>
      </c>
      <c r="D62" s="9">
        <v>55.20</v>
      </c>
      <c r="E62" t="inlineStr" s="8">
        <is>
          <t>75488823</t>
        </is>
      </c>
      <c r="F62" t="inlineStr" s="8">
        <is>
          <t>WHITE STEWIE</t>
        </is>
      </c>
      <c r="G62" t="inlineStr" s="8">
        <is>
          <t>*CESION/ARRAS</t>
        </is>
      </c>
      <c r="H62" t="inlineStr" s="8">
        <is>
          <t>BBVA</t>
        </is>
      </c>
      <c r="I62" s="9">
        <v>192172500.00</v>
      </c>
      <c r="J62" t="inlineStr" s="8">
        <is>
          <t>NCR6185 - NCR6187 - NC6183CESION - NCR6193CR</t>
        </is>
      </c>
      <c r="K62" t="inlineStr" s="8">
        <is>
          <t>NCR6189 - NCR6186 - NCR6184 - NCR6190 - NCR6191 - NCR6192 - NCR6188</t>
        </is>
      </c>
      <c r="L62" t="inlineStr" s="8">
        <is>
          <t>2023-03-08</t>
        </is>
      </c>
      <c r="M62" s="9">
        <f>1065000+1775000</f>
      </c>
      <c r="N62" s="9">
        <v>12000000</v>
      </c>
      <c r="O62" t="inlineStr" s="8">
        <is>
          <t>MAY.27/23</t>
        </is>
      </c>
      <c r="P62" s="8"/>
      <c r="Q62" s="10"/>
      <c r="R62" s="10"/>
      <c r="S62" s="10"/>
      <c r="T62" s="10"/>
      <c r="U62" s="10"/>
      <c r="V62" s="10"/>
      <c r="W62" s="10"/>
      <c r="X62" s="10"/>
      <c r="Y62" s="10">
        <v>1648000</v>
      </c>
      <c r="Z62" s="10"/>
      <c r="AA62" s="10">
        <v>4541000</v>
      </c>
      <c r="AB62" s="10"/>
      <c r="AC62" s="10">
        <v>4007000</v>
      </c>
      <c r="AD62" s="10"/>
      <c r="AE62" s="10">
        <v>2080000</v>
      </c>
      <c r="AF62" s="10">
        <v>659000</v>
      </c>
      <c r="AG62" s="10"/>
      <c r="AH62" s="10">
        <v>9282000</v>
      </c>
      <c r="AI62" s="10"/>
      <c r="AJ62" s="10">
        <v>304000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9">
        <v>65000000</v>
      </c>
      <c r="BF62" s="9"/>
      <c r="BG62" s="9"/>
      <c r="BH62" s="9"/>
      <c r="BI62" s="9">
        <f>SUM(M62,N62,Q62,R62,S62,T62,U62,V62,W62,X62,Y62,Z62,AA62,AB62,AC62,AD62,AE62,AF62,AG62,AH62,AI62,AJ62,AK62,AL62,AM62,AN62,AO62,AP62,AQ62,AR62,AS62,AT62,AU62,AV62,AW62,AX62,AY62,AZ62,BA62,BB62,BC62,BD62,BE62,BF62,BG62,BH62)</f>
      </c>
      <c r="BJ62" s="9">
        <f>I62-BI62</f>
      </c>
      <c r="BK62" s="9">
        <f>BJ62-BL62-BM62-BN62-BO62</f>
      </c>
      <c r="BL62" s="9"/>
      <c r="BM62" s="9"/>
      <c r="BN62" s="9"/>
      <c r="BO62" s="9"/>
      <c r="BP62" s="8"/>
      <c r="BQ62" t="inlineStr" s="8">
        <is>
          <t>2022-08-17</t>
        </is>
      </c>
      <c r="BR62" t="inlineStr" s="8">
        <is>
          <t>2022-11-12</t>
        </is>
      </c>
      <c r="BS62" s="8"/>
      <c r="BT62" s="8"/>
      <c r="BU62" s="8"/>
      <c r="BV62" s="8"/>
      <c r="BW62" s="8"/>
      <c r="BX62" s="8"/>
      <c r="BY62" s="8"/>
      <c r="BZ62" s="9"/>
      <c r="CA62" s="9"/>
      <c r="CB62" t="inlineStr" s="8">
        <is>
          <t>3166462215</t>
        </is>
      </c>
      <c r="CC62" t="inlineStr" s="8">
        <is>
          <t>white.stewie.75488823@example.com</t>
        </is>
      </c>
      <c r="CD62" t="inlineStr" s="8">
        <is>
          <t>BUNNY BUGS CEL: 3166462341</t>
        </is>
      </c>
      <c r="CE62" t="inlineStr" s="8">
        <is>
          <t>NC6183 MAR.8/23 CESION DE EUGENE SOLO/MARGE BARTON A STEWIE WHITE *ANTIC $12.000.000 *ARRAS $4'640</t>
        </is>
      </c>
    </row>
    <row r="63" ht="13.7" customHeight="1">
      <c r="A63" t="inlineStr" s="8">
        <is>
          <t>60007919104435</t>
        </is>
      </c>
      <c r="B63" s="8"/>
      <c r="C63" t="inlineStr" s="8">
        <is>
          <t>606</t>
        </is>
      </c>
      <c r="D63" s="9">
        <v>55.20</v>
      </c>
      <c r="E63" t="inlineStr" s="8">
        <is>
          <t>75457029</t>
        </is>
      </c>
      <c r="F63" t="inlineStr" s="8">
        <is>
          <t>WAYNE GUSTAVO</t>
        </is>
      </c>
      <c r="G63" t="inlineStr" s="8">
        <is>
          <t>*INCLUSION</t>
        </is>
      </c>
      <c r="H63" s="8"/>
      <c r="I63" s="9">
        <v>192172500.00</v>
      </c>
      <c r="J63" s="8"/>
      <c r="K63" s="8"/>
      <c r="L63" t="inlineStr" s="8">
        <is>
          <t>2023-03-19</t>
        </is>
      </c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/>
      <c r="BF63" s="9"/>
      <c r="BG63" s="9"/>
      <c r="BH63" s="9"/>
      <c r="BI63" s="9">
        <f>SUM(M63,N63,Q63,R63,S63,T63,U63,V63,W63,X63,Y63,Z63,AA63,AB63,AC63,AD63,AE63,AF63,AG63,AH63,AI63,AJ63,AK63,AL63,AM63,AN63,AO63,AP63,AQ63,AR63,AS63,AT63,AU63,AV63,AW63,AX63,AY63,AZ63,BA63,BB63,BC63,BD63,BE63,BF63,BG63,BH63)</f>
      </c>
      <c r="BJ63" s="9">
        <f>I63-BI63</f>
      </c>
      <c r="BK63" s="9">
        <f>BJ63-BL63-BM63-BN63-BO63</f>
      </c>
      <c r="BL63" s="9"/>
      <c r="BM63" s="9"/>
      <c r="BN63" s="9"/>
      <c r="BO63" s="9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t="inlineStr" s="8">
        <is>
          <t>3166457451</t>
        </is>
      </c>
      <c r="CC63" t="inlineStr" s="8">
        <is>
          <t>wayne.gustavo.75457029@example.com</t>
        </is>
      </c>
      <c r="CD63" t="inlineStr" s="8">
        <is>
          <t>JETSON GEORGE CEL: 3166459165</t>
        </is>
      </c>
      <c r="CE63" t="inlineStr" s="8">
        <is>
          <t>NC6168 MAR.19/23 INCLUSION RICK STARK</t>
        </is>
      </c>
    </row>
    <row r="64" ht="13.7" customHeight="1">
      <c r="A64" t="inlineStr" s="8">
        <is>
          <t>60007919101808</t>
        </is>
      </c>
      <c r="B64" s="8"/>
      <c r="C64" t="inlineStr" s="8">
        <is>
          <t>305</t>
        </is>
      </c>
      <c r="D64" s="9">
        <v>55.20</v>
      </c>
      <c r="E64" t="inlineStr" s="8">
        <is>
          <t>75256327</t>
        </is>
      </c>
      <c r="F64" t="inlineStr" s="8">
        <is>
          <t>LANNISTER PHOEBE</t>
        </is>
      </c>
      <c r="G64" t="inlineStr" s="8">
        <is>
          <t>*INCLUSION</t>
        </is>
      </c>
      <c r="H64" s="8"/>
      <c r="I64" s="9">
        <v>192172500.00</v>
      </c>
      <c r="J64" s="8"/>
      <c r="K64" s="8"/>
      <c r="L64" t="inlineStr" s="8">
        <is>
          <t>2023-09-16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/>
      <c r="BF64" s="9"/>
      <c r="BG64" s="9"/>
      <c r="BH64" s="9"/>
      <c r="BI64" s="9">
        <f>SUM(M64,N64,Q64,R64,S64,T64,U64,V64,W64,X64,Y64,Z64,AA64,AB64,AC64,AD64,AE64,AF64,AG64,AH64,AI64,AJ64,AK64,AL64,AM64,AN64,AO64,AP64,AQ64,AR64,AS64,AT64,AU64,AV64,AW64,AX64,AY64,AZ64,BA64,BB64,BC64,BD64,BE64,BF64,BG64,BH64)</f>
      </c>
      <c r="BJ64" s="9">
        <f>I64-BI64</f>
      </c>
      <c r="BK64" s="9">
        <f>BJ64-BL64-BM64-BN64-BO64</f>
      </c>
      <c r="BL64" s="9"/>
      <c r="BM64" s="9"/>
      <c r="BN64" s="9"/>
      <c r="BO64" s="9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t="inlineStr" s="8">
        <is>
          <t>3166427499</t>
        </is>
      </c>
      <c r="CC64" t="inlineStr" s="8">
        <is>
          <t>lannister.phoebe.75256327@example.com</t>
        </is>
      </c>
      <c r="CD64" t="inlineStr" s="8">
        <is>
          <t>JETSON GEORGE CEL: 3166428836</t>
        </is>
      </c>
      <c r="CE64" t="inlineStr" s="8">
        <is>
          <t>NC5901 SEP.16/23 INCLUSION SAMWISE WEASLEY</t>
        </is>
      </c>
    </row>
    <row r="65" ht="13.7" customHeight="1">
      <c r="A65" t="inlineStr" s="8">
        <is>
          <t>60007919101990</t>
        </is>
      </c>
      <c r="B65" t="inlineStr" s="8">
        <is>
          <t>60007919102076</t>
        </is>
      </c>
      <c r="C65" t="inlineStr" s="8">
        <is>
          <t>306</t>
        </is>
      </c>
      <c r="D65" s="9">
        <v>55.20</v>
      </c>
      <c r="E65" t="inlineStr" s="8">
        <is>
          <t>75261203</t>
        </is>
      </c>
      <c r="F65" t="inlineStr" s="8">
        <is>
          <t>TRIBBIANI LUCAS</t>
        </is>
      </c>
      <c r="G65" t="inlineStr" s="8">
        <is>
          <t>*TRASLADO</t>
        </is>
      </c>
      <c r="H65" t="inlineStr" s="8">
        <is>
          <t>BANCOLOMBIA</t>
        </is>
      </c>
      <c r="I65" s="9">
        <v>192172500.00</v>
      </c>
      <c r="J65" s="8"/>
      <c r="K65" s="8"/>
      <c r="L65" t="inlineStr" s="8">
        <is>
          <t>2023-09-17</t>
        </is>
      </c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/>
      <c r="BF65" s="9"/>
      <c r="BG65" s="9"/>
      <c r="BH65" s="9"/>
      <c r="BI65" s="9">
        <f>SUM(M65,N65,Q65,R65,S65,T65,U65,V65,W65,X65,Y65,Z65,AA65,AB65,AC65,AD65,AE65,AF65,AG65,AH65,AI65,AJ65,AK65,AL65,AM65,AN65,AO65,AP65,AQ65,AR65,AS65,AT65,AU65,AV65,AW65,AX65,AY65,AZ65,BA65,BB65,BC65,BD65,BE65,BF65,BG65,BH65)</f>
      </c>
      <c r="BJ65" s="9">
        <f>I65-BI65</f>
      </c>
      <c r="BK65" s="9">
        <f>BJ65-BL65-BM65-BN65-BO65</f>
      </c>
      <c r="BL65" s="9"/>
      <c r="BM65" s="9"/>
      <c r="BN65" s="9"/>
      <c r="BO65" s="9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9"/>
      <c r="CA65" s="9"/>
      <c r="CB65" t="inlineStr" s="8">
        <is>
          <t>3166429021</t>
        </is>
      </c>
      <c r="CC65" t="inlineStr" s="8">
        <is>
          <t>tribbiani.lucas.75261203@example.com</t>
        </is>
      </c>
      <c r="CD65" t="inlineStr" s="8">
        <is>
          <t>BUNNY BUGS CEL: 3166430424</t>
        </is>
      </c>
      <c r="CE65" t="inlineStr" s="8">
        <is>
          <t>NC5916 SEP.17/23 TRASLADO DE LUCAS TRIBBIANI/JOEY SKYWALKER A SQUIDWARD SCHRUTE *ANTIC $15.000.000 *ARRAS $4'640</t>
        </is>
      </c>
    </row>
    <row r="66" ht="13.7" customHeight="1">
      <c r="A66" t="inlineStr" s="8">
        <is>
          <t>60007919102076</t>
        </is>
      </c>
      <c r="B66" s="8"/>
      <c r="C66" t="inlineStr" s="8">
        <is>
          <t>306</t>
        </is>
      </c>
      <c r="D66" s="9">
        <v>55.20</v>
      </c>
      <c r="E66" t="inlineStr" s="8">
        <is>
          <t>75276349</t>
        </is>
      </c>
      <c r="F66" t="inlineStr" s="8">
        <is>
          <t>SCHRUTE SQUIDWARD</t>
        </is>
      </c>
      <c r="G66" t="inlineStr" s="8">
        <is>
          <t>*TRASLADO</t>
        </is>
      </c>
      <c r="H66" t="inlineStr" s="8">
        <is>
          <t>BANCOLOMBIA</t>
        </is>
      </c>
      <c r="I66" s="9">
        <v>192172500.00</v>
      </c>
      <c r="J66" t="inlineStr" s="8">
        <is>
          <t>NC5916TRASLADO - NCR5921CR</t>
        </is>
      </c>
      <c r="K66" t="inlineStr" s="8">
        <is>
          <t>NCR5920 - NCR5917 - NCR5918 - NCR5919</t>
        </is>
      </c>
      <c r="L66" t="inlineStr" s="8">
        <is>
          <t>2023-09-17</t>
        </is>
      </c>
      <c r="M66" s="9"/>
      <c r="N66" s="9">
        <v>15000000</v>
      </c>
      <c r="O66" t="inlineStr" s="8">
        <is>
          <t>JUL.3/23</t>
        </is>
      </c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>
        <f>5180000+22842000+450000</f>
      </c>
      <c r="AL66" s="10"/>
      <c r="AM66" s="10"/>
      <c r="AN66" s="10"/>
      <c r="AO66" s="10">
        <v>3700500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>
        <v>125000000</v>
      </c>
      <c r="BF66" s="9"/>
      <c r="BG66" s="9"/>
      <c r="BH66" s="9"/>
      <c r="BI66" s="9">
        <f>SUM(M66,N66,Q66,R66,S66,T66,U66,V66,W66,X66,Y66,Z66,AA66,AB66,AC66,AD66,AE66,AF66,AG66,AH66,AI66,AJ66,AK66,AL66,AM66,AN66,AO66,AP66,AQ66,AR66,AS66,AT66,AU66,AV66,AW66,AX66,AY66,AZ66,BA66,BB66,BC66,BD66,BE66,BF66,BG66,BH66)</f>
      </c>
      <c r="BJ66" s="9">
        <f>I66-BI66</f>
      </c>
      <c r="BK66" s="9">
        <f>BJ66-BL66-BM66-BN66-BO66</f>
      </c>
      <c r="BL66" s="9"/>
      <c r="BM66" s="9"/>
      <c r="BN66" s="9"/>
      <c r="BO66" s="9"/>
      <c r="BP66" s="8"/>
      <c r="BQ66" t="inlineStr" s="8">
        <is>
          <t>2022-06-25</t>
        </is>
      </c>
      <c r="BR66" t="inlineStr" s="8">
        <is>
          <t>2022-08-27</t>
        </is>
      </c>
      <c r="BS66" t="inlineStr" s="8">
        <is>
          <t>2024-02-26</t>
        </is>
      </c>
      <c r="BT66" s="8"/>
      <c r="BU66" s="8"/>
      <c r="BV66" s="8"/>
      <c r="BW66" s="8"/>
      <c r="BX66" s="8"/>
      <c r="BY66" s="8"/>
      <c r="BZ66" s="9"/>
      <c r="CA66" s="9"/>
      <c r="CB66" t="inlineStr" s="8">
        <is>
          <t>3166430114</t>
        </is>
      </c>
      <c r="CC66" t="inlineStr" s="8">
        <is>
          <t>schrute.squidward.75276349@example.com</t>
        </is>
      </c>
      <c r="CD66" t="inlineStr" s="8">
        <is>
          <t>BUNNY BUGS CEL: 3166430424</t>
        </is>
      </c>
      <c r="CE66" t="inlineStr" s="8">
        <is>
          <t>NC5916 SEP.17/23 TRASLADO DE LUCAS TRIBBIANI/JOEY SKYWALKER A SQUIDWARD SCHRUTE *ANTIC $15.000.000 *ARRAS $4'640</t>
        </is>
      </c>
    </row>
    <row r="67" ht="13.7" customHeight="1">
      <c r="A67" t="inlineStr" s="8">
        <is>
          <t>60007919100778</t>
        </is>
      </c>
      <c r="B67" s="8"/>
      <c r="C67" t="inlineStr" s="8">
        <is>
          <t>204</t>
        </is>
      </c>
      <c r="D67" s="9">
        <v>55.20</v>
      </c>
      <c r="E67" t="inlineStr" s="8">
        <is>
          <t>75178260</t>
        </is>
      </c>
      <c r="F67" t="inlineStr" s="8">
        <is>
          <t>ROMANOFF TYRION</t>
        </is>
      </c>
      <c r="G67" t="inlineStr" s="8">
        <is>
          <t>*CESION/ARRAS</t>
        </is>
      </c>
      <c r="H67" s="8"/>
      <c r="I67" s="9">
        <v>192172500.00</v>
      </c>
      <c r="J67" t="inlineStr" s="8">
        <is>
          <t>NCR5812 - NC5809CESION - NCR5811 - NCR5810</t>
        </is>
      </c>
      <c r="K67" t="inlineStr" s="8">
        <is>
          <t>NCR5813</t>
        </is>
      </c>
      <c r="L67" t="inlineStr" s="8">
        <is>
          <t>2023-10-01</t>
        </is>
      </c>
      <c r="M67" s="9">
        <f>109847000+4784000+21438000</f>
      </c>
      <c r="N67" s="9">
        <v>15000000</v>
      </c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41103500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/>
      <c r="BF67" s="9"/>
      <c r="BG67" s="9"/>
      <c r="BH67" s="9"/>
      <c r="BI67" s="9">
        <f>SUM(M67,N67,Q67,R67,S67,T67,U67,V67,W67,X67,Y67,Z67,AA67,AB67,AC67,AD67,AE67,AF67,AG67,AH67,AI67,AJ67,AK67,AL67,AM67,AN67,AO67,AP67,AQ67,AR67,AS67,AT67,AU67,AV67,AW67,AX67,AY67,AZ67,BA67,BB67,BC67,BD67,BE67,BF67,BG67,BH67)</f>
      </c>
      <c r="BJ67" s="9">
        <f>I67-BI67</f>
      </c>
      <c r="BK67" s="9">
        <f>BJ67-BL67-BM67-BN67-BO67</f>
      </c>
      <c r="BL67" s="9"/>
      <c r="BM67" s="9"/>
      <c r="BN67" s="9"/>
      <c r="BO67" s="9"/>
      <c r="BP67" s="8"/>
      <c r="BQ67" t="inlineStr" s="8">
        <is>
          <t>2023-02-27</t>
        </is>
      </c>
      <c r="BR67" t="inlineStr" s="8">
        <is>
          <t>2023-06-14</t>
        </is>
      </c>
      <c r="BS67" s="8"/>
      <c r="BT67" s="8"/>
      <c r="BU67" s="8"/>
      <c r="BV67" s="8"/>
      <c r="BW67" s="8"/>
      <c r="BX67" s="8"/>
      <c r="BY67" s="8"/>
      <c r="BZ67" s="9"/>
      <c r="CA67" s="9"/>
      <c r="CB67" t="inlineStr" s="8">
        <is>
          <t>3166417315</t>
        </is>
      </c>
      <c r="CC67" t="inlineStr" s="8">
        <is>
          <t>romanoff.tyrion.75178260@example.com</t>
        </is>
      </c>
      <c r="CD67" t="inlineStr" s="8">
        <is>
          <t>FLINTSTONE FRED CEL: 3166417778</t>
        </is>
      </c>
      <c r="CE67" t="inlineStr" s="8">
        <is>
          <t>NC5809 OCT.1/23 CESION DE TYRION ROMANOFF/BART STARK A LOIS HENDERSON *ANTIC $15.000.000 *ARRAS $4'640</t>
        </is>
      </c>
    </row>
    <row r="68" ht="13.7" customHeight="1">
      <c r="A68" t="inlineStr" s="8">
        <is>
          <t>60007919100778</t>
        </is>
      </c>
      <c r="B68" s="8"/>
      <c r="C68" t="inlineStr" s="8">
        <is>
          <t>204</t>
        </is>
      </c>
      <c r="D68" s="9">
        <v>55.20</v>
      </c>
      <c r="E68" t="inlineStr" s="8">
        <is>
          <t>75191825</t>
        </is>
      </c>
      <c r="F68" t="inlineStr" s="8">
        <is>
          <t>HENDERSON LOIS</t>
        </is>
      </c>
      <c r="G68" t="inlineStr" s="8">
        <is>
          <t>*CESION/ARRAS</t>
        </is>
      </c>
      <c r="H68" s="8"/>
      <c r="I68" s="9">
        <v>192172500.00</v>
      </c>
      <c r="J68" t="inlineStr" s="8">
        <is>
          <t>NCR5812 - NC5809CESION - NCR5811 - NCR5810</t>
        </is>
      </c>
      <c r="K68" t="inlineStr" s="8">
        <is>
          <t>NCR5813</t>
        </is>
      </c>
      <c r="L68" t="inlineStr" s="8">
        <is>
          <t>2023-10-01</t>
        </is>
      </c>
      <c r="M68" s="9">
        <f>109847000+4784000+21438000</f>
      </c>
      <c r="N68" s="9">
        <v>15000000</v>
      </c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>
        <v>41103500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/>
      <c r="BF68" s="9"/>
      <c r="BG68" s="9"/>
      <c r="BH68" s="9"/>
      <c r="BI68" s="9">
        <f>SUM(M68,N68,Q68,R68,S68,T68,U68,V68,W68,X68,Y68,Z68,AA68,AB68,AC68,AD68,AE68,AF68,AG68,AH68,AI68,AJ68,AK68,AL68,AM68,AN68,AO68,AP68,AQ68,AR68,AS68,AT68,AU68,AV68,AW68,AX68,AY68,AZ68,BA68,BB68,BC68,BD68,BE68,BF68,BG68,BH68)</f>
      </c>
      <c r="BJ68" s="9">
        <f>I68-BI68</f>
      </c>
      <c r="BK68" s="9">
        <f>BJ68-BL68-BM68-BN68-BO68</f>
      </c>
      <c r="BL68" s="9"/>
      <c r="BM68" s="9"/>
      <c r="BN68" s="9"/>
      <c r="BO68" s="9"/>
      <c r="BP68" s="8"/>
      <c r="BQ68" t="inlineStr" s="8">
        <is>
          <t>2023-02-27</t>
        </is>
      </c>
      <c r="BR68" t="inlineStr" s="8">
        <is>
          <t>2023-06-14</t>
        </is>
      </c>
      <c r="BS68" s="8"/>
      <c r="BT68" s="8"/>
      <c r="BU68" s="8"/>
      <c r="BV68" s="8"/>
      <c r="BW68" s="8"/>
      <c r="BX68" s="8"/>
      <c r="BY68" s="8"/>
      <c r="BZ68" s="9"/>
      <c r="CA68" s="9"/>
      <c r="CB68" t="inlineStr" s="8">
        <is>
          <t>3166417739</t>
        </is>
      </c>
      <c r="CC68" t="inlineStr" s="8">
        <is>
          <t>henderson.lois.75191825@example.com</t>
        </is>
      </c>
      <c r="CD68" t="inlineStr" s="8">
        <is>
          <t>FLINTSTONE FRED CEL: 3166417778</t>
        </is>
      </c>
      <c r="CE68" t="inlineStr" s="8">
        <is>
          <t>NC5809 OCT.1/23 CESION DE TYRION ROMANOFF/BART STARK A LOIS HENDERSON *ANTIC $15.000.000 *ARRAS $4'640</t>
        </is>
      </c>
    </row>
    <row r="69" ht="13.7" customHeight="1">
      <c r="A69" t="inlineStr" s="8">
        <is>
          <t>60007919103154</t>
        </is>
      </c>
      <c r="B69" s="8"/>
      <c r="C69" t="inlineStr" s="8">
        <is>
          <t>502</t>
        </is>
      </c>
      <c r="D69" s="9">
        <v>55.20</v>
      </c>
      <c r="E69" t="inlineStr" s="8">
        <is>
          <t>75363213</t>
        </is>
      </c>
      <c r="F69" t="inlineStr" s="8">
        <is>
          <t>BEESLY JANE</t>
        </is>
      </c>
      <c r="G69" t="inlineStr" s="8">
        <is>
          <t>*TRASLADO</t>
        </is>
      </c>
      <c r="H69" s="8"/>
      <c r="I69" s="9">
        <v>192172500.00</v>
      </c>
      <c r="J69" s="8"/>
      <c r="K69" s="8"/>
      <c r="L69" t="inlineStr" s="8">
        <is>
          <t>2023-12-27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/>
      <c r="BF69" s="9"/>
      <c r="BG69" s="9"/>
      <c r="BH69" s="9"/>
      <c r="BI69" s="9">
        <f>SUM(M69,N69,Q69,R69,S69,T69,U69,V69,W69,X69,Y69,Z69,AA69,AB69,AC69,AD69,AE69,AF69,AG69,AH69,AI69,AJ69,AK69,AL69,AM69,AN69,AO69,AP69,AQ69,AR69,AS69,AT69,AU69,AV69,AW69,AX69,AY69,AZ69,BA69,BB69,BC69,BD69,BE69,BF69,BG69,BH69)</f>
      </c>
      <c r="BJ69" s="9">
        <f>I69-BI69</f>
      </c>
      <c r="BK69" s="9">
        <f>BJ69-BL69-BM69-BN69-BO69</f>
      </c>
      <c r="BL69" s="9"/>
      <c r="BM69" s="9"/>
      <c r="BN69" s="9"/>
      <c r="BO69" s="9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9"/>
      <c r="CA69" s="9"/>
      <c r="CB69" t="inlineStr" s="8">
        <is>
          <t>3166441352</t>
        </is>
      </c>
      <c r="CC69" t="inlineStr" s="8">
        <is>
          <t>beesly.jane.75363213@example.com</t>
        </is>
      </c>
      <c r="CD69" t="inlineStr" s="8">
        <is>
          <t>PANTHER PINK CEL: 3166442848</t>
        </is>
      </c>
      <c r="CE69" t="inlineStr" s="8">
        <is>
          <t>NC6026 DIC.27/23 TRASLADO DE JANE BEESLY A JERRY EHRMANTRAUT/JANE LOVEGOOD *ANTIC $25.000.000 *ARRAS $4'640</t>
        </is>
      </c>
    </row>
    <row r="70" ht="13.7" customHeight="1">
      <c r="A70" t="inlineStr" s="8">
        <is>
          <t>60007919104959</t>
        </is>
      </c>
      <c r="B70" s="8"/>
      <c r="C70" t="inlineStr" s="8">
        <is>
          <t>705</t>
        </is>
      </c>
      <c r="D70" s="9">
        <v>55.20</v>
      </c>
      <c r="E70" t="inlineStr" s="8">
        <is>
          <t>75496589</t>
        </is>
      </c>
      <c r="F70" t="inlineStr" s="8">
        <is>
          <t>PARKER NATASHA</t>
        </is>
      </c>
      <c r="G70" t="inlineStr" s="8">
        <is>
          <t>*INCLUSION</t>
        </is>
      </c>
      <c r="H70" t="inlineStr" s="8">
        <is>
          <t>BANCOLOMBIA</t>
        </is>
      </c>
      <c r="I70" s="9">
        <v>192172500.00</v>
      </c>
      <c r="J70" s="8"/>
      <c r="K70" s="8"/>
      <c r="L70" t="inlineStr" s="8">
        <is>
          <t>2024-01-11</t>
        </is>
      </c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/>
      <c r="BF70" s="9"/>
      <c r="BG70" s="9"/>
      <c r="BH70" s="9"/>
      <c r="BI70" s="9">
        <f>SUM(M70,N70,Q70,R70,S70,T70,U70,V70,W70,X70,Y70,Z70,AA70,AB70,AC70,AD70,AE70,AF70,AG70,AH70,AI70,AJ70,AK70,AL70,AM70,AN70,AO70,AP70,AQ70,AR70,AS70,AT70,AU70,AV70,AW70,AX70,AY70,AZ70,BA70,BB70,BC70,BD70,BE70,BF70,BG70,BH70)</f>
      </c>
      <c r="BJ70" s="9">
        <f>I70-BI70</f>
      </c>
      <c r="BK70" s="9">
        <f>BJ70-BL70-BM70-BN70-BO70</f>
      </c>
      <c r="BL70" s="9"/>
      <c r="BM70" s="9"/>
      <c r="BN70" s="9"/>
      <c r="BO70" s="9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t="inlineStr" s="8">
        <is>
          <t>3166464141</t>
        </is>
      </c>
      <c r="CC70" t="inlineStr" s="8">
        <is>
          <t>parker.natasha.75496589@example.com</t>
        </is>
      </c>
      <c r="CD70" t="inlineStr" s="8">
        <is>
          <t>DUCK DAFFY CEL: 3166465309</t>
        </is>
      </c>
      <c r="CE70" t="inlineStr" s="8">
        <is>
          <t>NC6218 ENE.11/24 INCLUSION DRACO SCOTT</t>
        </is>
      </c>
    </row>
    <row r="71" ht="13.7" customHeight="1">
      <c r="A71" t="inlineStr" s="8">
        <is>
          <t>60007919102890</t>
        </is>
      </c>
      <c r="B71" s="8"/>
      <c r="C71" t="inlineStr" s="8">
        <is>
          <t>501</t>
        </is>
      </c>
      <c r="D71" s="9">
        <v>55.20</v>
      </c>
      <c r="E71" t="inlineStr" s="8">
        <is>
          <t>75344063</t>
        </is>
      </c>
      <c r="F71" t="inlineStr" s="8">
        <is>
          <t>SIMPSON LUCAS</t>
        </is>
      </c>
      <c r="G71" t="inlineStr" s="8">
        <is>
          <t>*INCLUSION</t>
        </is>
      </c>
      <c r="H71" t="inlineStr" s="8">
        <is>
          <t>BANCO DE OCCIDENTE</t>
        </is>
      </c>
      <c r="I71" s="9">
        <v>192172500.00</v>
      </c>
      <c r="J71" s="8"/>
      <c r="K71" s="8"/>
      <c r="L71" t="inlineStr" s="8">
        <is>
          <t>2024-03-12</t>
        </is>
      </c>
      <c r="M71" s="9"/>
      <c r="N71" s="9"/>
      <c r="O71" s="8"/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/>
      <c r="BF71" s="9"/>
      <c r="BG71" s="9"/>
      <c r="BH71" s="9"/>
      <c r="BI71" s="9">
        <f>SUM(M71,N71,Q71,R71,S71,T71,U71,V71,W71,X71,Y71,Z71,AA71,AB71,AC71,AD71,AE71,AF71,AG71,AH71,AI71,AJ71,AK71,AL71,AM71,AN71,AO71,AP71,AQ71,AR71,AS71,AT71,AU71,AV71,AW71,AX71,AY71,AZ71,BA71,BB71,BC71,BD71,BE71,BF71,BG71,BH71)</f>
      </c>
      <c r="BJ71" s="9">
        <f>I71-BI71</f>
      </c>
      <c r="BK71" s="9">
        <f>BJ71-BL71-BM71-BN71-BO71</f>
      </c>
      <c r="BL71" s="9"/>
      <c r="BM71" s="9"/>
      <c r="BN71" s="9"/>
      <c r="BO71" s="9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9"/>
      <c r="CA71" s="9"/>
      <c r="CB71" t="inlineStr" s="8">
        <is>
          <t>3166439247</t>
        </is>
      </c>
      <c r="CC71" t="inlineStr" s="8">
        <is>
          <t>simpson.lucas.75344063@example.com</t>
        </is>
      </c>
      <c r="CD71" t="inlineStr" s="8">
        <is>
          <t>MOUSE MICKEY CEL: 3166440052</t>
        </is>
      </c>
      <c r="CE71" t="inlineStr" s="8">
        <is>
          <t>NC6006 MAR.12/24 INCLUSION SPONGEBOB SKYWALKER</t>
        </is>
      </c>
    </row>
    <row r="72" ht="13.7" customHeight="1">
      <c r="A72" t="inlineStr" s="8">
        <is>
          <t>60007919100323</t>
        </is>
      </c>
      <c r="B72" t="inlineStr" s="8">
        <is>
          <t>60007919100394</t>
        </is>
      </c>
      <c r="C72" t="inlineStr" s="8">
        <is>
          <t>107</t>
        </is>
      </c>
      <c r="D72" s="9">
        <v>55.20</v>
      </c>
      <c r="E72" t="inlineStr" s="8">
        <is>
          <t>75147440</t>
        </is>
      </c>
      <c r="F72" t="inlineStr" s="8">
        <is>
          <t>COOPER EDDIE</t>
        </is>
      </c>
      <c r="G72" t="inlineStr" s="8">
        <is>
          <t>*CESION/ARRAS</t>
        </is>
      </c>
      <c r="H72" t="inlineStr" s="8">
        <is>
          <t>BANCO DE BOGOTA</t>
        </is>
      </c>
      <c r="I72" s="9">
        <v>192172500.00</v>
      </c>
      <c r="J72" s="8"/>
      <c r="K72" s="8"/>
      <c r="L72" t="inlineStr" s="8">
        <is>
          <t>2024-05-20</t>
        </is>
      </c>
      <c r="M72" s="9"/>
      <c r="N72" s="9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/>
      <c r="BF72" s="9"/>
      <c r="BG72" s="9"/>
      <c r="BH72" s="9"/>
      <c r="BI72" s="9">
        <f>SUM(M72,N72,Q72,R72,S72,T72,U72,V72,W72,X72,Y72,Z72,AA72,AB72,AC72,AD72,AE72,AF72,AG72,AH72,AI72,AJ72,AK72,AL72,AM72,AN72,AO72,AP72,AQ72,AR72,AS72,AT72,AU72,AV72,AW72,AX72,AY72,AZ72,BA72,BB72,BC72,BD72,BE72,BF72,BG72,BH72)</f>
      </c>
      <c r="BJ72" s="9">
        <f>I72-BI72</f>
      </c>
      <c r="BK72" s="9">
        <f>BJ72-BL72-BM72-BN72-BO72</f>
      </c>
      <c r="BL72" s="9"/>
      <c r="BM72" s="9"/>
      <c r="BN72" s="9"/>
      <c r="BO72" s="9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t="inlineStr" s="8">
        <is>
          <t>3166412304</t>
        </is>
      </c>
      <c r="CC72" t="inlineStr" s="8">
        <is>
          <t>cooper.eddie.75147440@example.com</t>
        </is>
      </c>
      <c r="CD72" t="inlineStr" s="8">
        <is>
          <t>MOUSE MINNIE CEL: 3166413639</t>
        </is>
      </c>
      <c r="CE72" t="inlineStr" s="8">
        <is>
          <t>NC5777 MAY.20/24 CESION DE EDDIE COOPER/SHELDON MARPLE A MICHAEL PRINCE *ANTIC $20.000.000 *ARRAS $4'640</t>
        </is>
      </c>
    </row>
    <row r="73" ht="13.7" customHeight="1">
      <c r="A73" t="inlineStr" s="8">
        <is>
          <t>60007919100394</t>
        </is>
      </c>
      <c r="B73" s="8"/>
      <c r="C73" t="inlineStr" s="8">
        <is>
          <t>107</t>
        </is>
      </c>
      <c r="D73" s="9">
        <v>55.20</v>
      </c>
      <c r="E73" t="inlineStr" s="8">
        <is>
          <t>75151300</t>
        </is>
      </c>
      <c r="F73" t="inlineStr" s="8">
        <is>
          <t>PRINCE MICHAEL</t>
        </is>
      </c>
      <c r="G73" t="inlineStr" s="8">
        <is>
          <t>*CESION/ARRAS</t>
        </is>
      </c>
      <c r="H73" t="inlineStr" s="8">
        <is>
          <t>BANCO DE BOGOTA</t>
        </is>
      </c>
      <c r="I73" s="9">
        <v>192172500.00</v>
      </c>
      <c r="J73" t="inlineStr" s="8">
        <is>
          <t>NC5777CESION - NCR5786CR</t>
        </is>
      </c>
      <c r="K73" t="inlineStr" s="8">
        <is>
          <t>NCR5781 - NCR5783 - NCR5780 - NCR5779 - NCR5785 - NCR5784 - NCR5782 - NCR5778</t>
        </is>
      </c>
      <c r="L73" t="inlineStr" s="8">
        <is>
          <t>2024-05-20</t>
        </is>
      </c>
      <c r="M73" s="9"/>
      <c r="N73" s="9">
        <v>20000000</v>
      </c>
      <c r="O73" t="inlineStr" s="8">
        <is>
          <t>ABR.30/24</t>
        </is>
      </c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>
        <v>2358000</v>
      </c>
      <c r="AM73" s="10"/>
      <c r="AN73" s="10">
        <f>3001000+17148000</f>
      </c>
      <c r="AO73" s="10">
        <v>15861500</v>
      </c>
      <c r="AP73" s="10">
        <v>13611000</v>
      </c>
      <c r="AQ73" s="10">
        <v>24435000</v>
      </c>
      <c r="AR73" s="10"/>
      <c r="AS73" s="10"/>
      <c r="AT73" s="10"/>
      <c r="AU73" s="10">
        <v>29472000</v>
      </c>
      <c r="AV73" s="10"/>
      <c r="AW73" s="10">
        <v>1286000</v>
      </c>
      <c r="AX73" s="10"/>
      <c r="AY73" s="10"/>
      <c r="AZ73" s="10"/>
      <c r="BA73" s="10"/>
      <c r="BB73" s="10"/>
      <c r="BC73" s="10"/>
      <c r="BD73" s="10"/>
      <c r="BE73" s="9">
        <v>65000000</v>
      </c>
      <c r="BF73" s="9"/>
      <c r="BG73" s="9"/>
      <c r="BH73" s="9"/>
      <c r="BI73" s="9">
        <f>SUM(M73,N73,Q73,R73,S73,T73,U73,V73,W73,X73,Y73,Z73,AA73,AB73,AC73,AD73,AE73,AF73,AG73,AH73,AI73,AJ73,AK73,AL73,AM73,AN73,AO73,AP73,AQ73,AR73,AS73,AT73,AU73,AV73,AW73,AX73,AY73,AZ73,BA73,BB73,BC73,BD73,BE73,BF73,BG73,BH73)</f>
      </c>
      <c r="BJ73" s="9">
        <f>I73-BI73</f>
      </c>
      <c r="BK73" s="9">
        <f>BJ73-BL73-BM73-BN73-BO73</f>
      </c>
      <c r="BL73" s="9"/>
      <c r="BM73" s="9"/>
      <c r="BN73" s="9"/>
      <c r="BO73" s="9"/>
      <c r="BP73" s="8"/>
      <c r="BQ73" t="inlineStr" s="8">
        <is>
          <t>2023-10-18</t>
        </is>
      </c>
      <c r="BR73" t="inlineStr" s="8">
        <is>
          <t>2023-11-15</t>
        </is>
      </c>
      <c r="BS73" s="8"/>
      <c r="BT73" s="8"/>
      <c r="BU73" s="8"/>
      <c r="BV73" s="8"/>
      <c r="BW73" s="8"/>
      <c r="BX73" s="8"/>
      <c r="BY73" s="8"/>
      <c r="BZ73" s="9"/>
      <c r="CA73" s="9"/>
      <c r="CB73" t="inlineStr" s="8">
        <is>
          <t>3166413037</t>
        </is>
      </c>
      <c r="CC73" t="inlineStr" s="8">
        <is>
          <t>prince.michael.75151300@example.com</t>
        </is>
      </c>
      <c r="CD73" t="inlineStr" s="8">
        <is>
          <t>MOUSE MINNIE CEL: 3166413639</t>
        </is>
      </c>
      <c r="CE73" t="inlineStr" s="8">
        <is>
          <t>NC5777 MAY.20/24 CESION DE EDDIE COOPER/SHELDON MARPLE A MICHAEL PRINCE *ANTIC $20.000.000 *ARRAS $4'640</t>
        </is>
      </c>
    </row>
    <row r="74" ht="13.7" customHeight="1">
      <c r="A74" t="inlineStr" s="8">
        <is>
          <t>60007919102766</t>
        </is>
      </c>
      <c r="B74" t="inlineStr" s="8">
        <is>
          <t>60007919102826</t>
        </is>
      </c>
      <c r="C74" t="inlineStr" s="8">
        <is>
          <t>407</t>
        </is>
      </c>
      <c r="D74" s="9">
        <v>55.20</v>
      </c>
      <c r="E74" t="inlineStr" s="8">
        <is>
          <t>75328640</t>
        </is>
      </c>
      <c r="F74" t="inlineStr" s="8">
        <is>
          <t>BENDER ROSS</t>
        </is>
      </c>
      <c r="G74" t="inlineStr" s="8">
        <is>
          <t>*TRASLADO</t>
        </is>
      </c>
      <c r="H74" t="inlineStr" s="8">
        <is>
          <t>BANCO DAVIVIENDA</t>
        </is>
      </c>
      <c r="I74" s="9">
        <v>192172500.00</v>
      </c>
      <c r="J74" s="8"/>
      <c r="K74" s="8"/>
      <c r="L74" t="inlineStr" s="8">
        <is>
          <t>2024-06-18</t>
        </is>
      </c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/>
      <c r="BF74" s="9"/>
      <c r="BG74" s="9"/>
      <c r="BH74" s="9"/>
      <c r="BI74" s="9">
        <f>SUM(M74,N74,Q74,R74,S74,T74,U74,V74,W74,X74,Y74,Z74,AA74,AB74,AC74,AD74,AE74,AF74,AG74,AH74,AI74,AJ74,AK74,AL74,AM74,AN74,AO74,AP74,AQ74,AR74,AS74,AT74,AU74,AV74,AW74,AX74,AY74,AZ74,BA74,BB74,BC74,BD74,BE74,BF74,BG74,BH74)</f>
      </c>
      <c r="BJ74" s="9">
        <f>I74-BI74</f>
      </c>
      <c r="BK74" s="9">
        <f>BJ74-BL74-BM74-BN74-BO74</f>
      </c>
      <c r="BL74" s="9"/>
      <c r="BM74" s="9"/>
      <c r="BN74" s="9"/>
      <c r="BO74" s="9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9"/>
      <c r="CA74" s="9"/>
      <c r="CB74" t="inlineStr" s="8">
        <is>
          <t>3166437174</t>
        </is>
      </c>
      <c r="CC74" t="inlineStr" s="8">
        <is>
          <t>bender.ross.75328640@example.com</t>
        </is>
      </c>
      <c r="CD74" t="inlineStr" s="8">
        <is>
          <t>DUCK DAFFY CEL: 3166438635</t>
        </is>
      </c>
      <c r="CE74" t="inlineStr" s="8">
        <is>
          <t>NC6003 JUN.18/24 TRASLADO DE ROSS BENDER A STEWIE MUNSON *ANTIC $15.000.000 *ARRAS $4'640</t>
        </is>
      </c>
    </row>
    <row r="75" ht="13.7" customHeight="1">
      <c r="A75" t="inlineStr" s="8">
        <is>
          <t>60007919102826</t>
        </is>
      </c>
      <c r="B75" s="8"/>
      <c r="C75" t="inlineStr" s="8">
        <is>
          <t>407</t>
        </is>
      </c>
      <c r="D75" s="9">
        <v>55.20</v>
      </c>
      <c r="E75" t="inlineStr" s="8">
        <is>
          <t>75335024</t>
        </is>
      </c>
      <c r="F75" t="inlineStr" s="8">
        <is>
          <t>MUNSON STEWIE</t>
        </is>
      </c>
      <c r="G75" t="inlineStr" s="8">
        <is>
          <t>*TRASLADO</t>
        </is>
      </c>
      <c r="H75" t="inlineStr" s="8">
        <is>
          <t>BANCO DAVIVIENDA</t>
        </is>
      </c>
      <c r="I75" s="9">
        <v>192172500.00</v>
      </c>
      <c r="J75" t="inlineStr" s="8">
        <is>
          <t>NC6003TRASLADO - NCR6004CR</t>
        </is>
      </c>
      <c r="K75" s="8"/>
      <c r="L75" t="inlineStr" s="8">
        <is>
          <t>2024-06-18</t>
        </is>
      </c>
      <c r="M75" s="9"/>
      <c r="N75" s="9">
        <v>15000000</v>
      </c>
      <c r="O75" t="inlineStr" s="8">
        <is>
          <t>MAR.15/24</t>
        </is>
      </c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9">
        <v>87616000</v>
      </c>
      <c r="BF75" s="9"/>
      <c r="BG75" s="9"/>
      <c r="BH75" s="9"/>
      <c r="BI75" s="9">
        <f>SUM(M75,N75,Q75,R75,S75,T75,U75,V75,W75,X75,Y75,Z75,AA75,AB75,AC75,AD75,AE75,AF75,AG75,AH75,AI75,AJ75,AK75,AL75,AM75,AN75,AO75,AP75,AQ75,AR75,AS75,AT75,AU75,AV75,AW75,AX75,AY75,AZ75,BA75,BB75,BC75,BD75,BE75,BF75,BG75,BH75)</f>
      </c>
      <c r="BJ75" s="9">
        <f>I75-BI75</f>
      </c>
      <c r="BK75" s="9">
        <f>BJ75-BL75-BM75-BN75-BO75</f>
      </c>
      <c r="BL75" s="9"/>
      <c r="BM75" s="9"/>
      <c r="BN75" s="9"/>
      <c r="BO75" s="9"/>
      <c r="BP75" s="8"/>
      <c r="BQ75" t="inlineStr" s="8">
        <is>
          <t>2023-07-11</t>
        </is>
      </c>
      <c r="BR75" t="inlineStr" s="8">
        <is>
          <t>2023-08-22</t>
        </is>
      </c>
      <c r="BS75" s="8"/>
      <c r="BT75" s="8"/>
      <c r="BU75" s="8"/>
      <c r="BV75" s="8"/>
      <c r="BW75" s="8"/>
      <c r="BX75" s="8"/>
      <c r="BY75" s="8"/>
      <c r="BZ75" s="9"/>
      <c r="CA75" s="9"/>
      <c r="CB75" t="inlineStr" s="8">
        <is>
          <t>3166438031</t>
        </is>
      </c>
      <c r="CC75" t="inlineStr" s="8">
        <is>
          <t>munson.stewie.75335024@example.com</t>
        </is>
      </c>
      <c r="CD75" t="inlineStr" s="8">
        <is>
          <t>DUCK DAFFY CEL: 3166438635</t>
        </is>
      </c>
      <c r="CE75" t="inlineStr" s="8">
        <is>
          <t>NC6003 JUN.18/24 TRASLADO DE ROSS BENDER A STEWIE MUNSON *ANTIC $15.000.000 *ARRAS $4'640</t>
        </is>
      </c>
    </row>
    <row r="76" ht="13.7" customHeight="1">
      <c r="A76" t="inlineStr" s="8">
        <is>
          <t>60007919102680</t>
        </is>
      </c>
      <c r="B76" t="inlineStr" s="8">
        <is>
          <t>60007919102692</t>
        </is>
      </c>
      <c r="C76" t="inlineStr" s="8">
        <is>
          <t>406</t>
        </is>
      </c>
      <c r="D76" s="9">
        <v>55.20</v>
      </c>
      <c r="E76" t="inlineStr" s="8">
        <is>
          <t>75321891</t>
        </is>
      </c>
      <c r="F76" t="inlineStr" s="8">
        <is>
          <t>STARK LOIS</t>
        </is>
      </c>
      <c r="G76" t="inlineStr" s="8">
        <is>
          <t>*CESION/ARRAS</t>
        </is>
      </c>
      <c r="H76" t="inlineStr" s="8">
        <is>
          <t>BANCO DE OCCIDENTE</t>
        </is>
      </c>
      <c r="I76" s="9">
        <v>192172500.00</v>
      </c>
      <c r="J76" s="8"/>
      <c r="K76" s="8"/>
      <c r="L76" t="inlineStr" s="8">
        <is>
          <t>2024-06-22</t>
        </is>
      </c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/>
      <c r="BF76" s="9"/>
      <c r="BG76" s="9"/>
      <c r="BH76" s="9"/>
      <c r="BI76" s="9">
        <f>SUM(M76,N76,Q76,R76,S76,T76,U76,V76,W76,X76,Y76,Z76,AA76,AB76,AC76,AD76,AE76,AF76,AG76,AH76,AI76,AJ76,AK76,AL76,AM76,AN76,AO76,AP76,AQ76,AR76,AS76,AT76,AU76,AV76,AW76,AX76,AY76,AZ76,BA76,BB76,BC76,BD76,BE76,BF76,BG76,BH76)</f>
      </c>
      <c r="BJ76" s="9">
        <f>I76-BI76</f>
      </c>
      <c r="BK76" s="9">
        <f>BJ76-BL76-BM76-BN76-BO76</f>
      </c>
      <c r="BL76" s="9"/>
      <c r="BM76" s="9"/>
      <c r="BN76" s="9"/>
      <c r="BO76" s="9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t="inlineStr" s="8">
        <is>
          <t>3166435397</t>
        </is>
      </c>
      <c r="CC76" t="inlineStr" s="8">
        <is>
          <t>stark.lois.75321891@example.com</t>
        </is>
      </c>
      <c r="CD76" t="inlineStr" s="8">
        <is>
          <t>PANTHER PINK CEL: 3166436342</t>
        </is>
      </c>
      <c r="CE76" t="inlineStr" s="8">
        <is>
          <t>NC5991 JUN.22/24 CESION DE LOIS STARK A SANDY HALPERT *ANTIC $12.000.000 *ARRAS $4'640</t>
        </is>
      </c>
    </row>
    <row r="77" ht="13.7" customHeight="1">
      <c r="A77" t="inlineStr" s="8">
        <is>
          <t>60007919102692</t>
        </is>
      </c>
      <c r="B77" s="8"/>
      <c r="C77" t="inlineStr" s="8">
        <is>
          <t>406</t>
        </is>
      </c>
      <c r="D77" s="9">
        <v>55.20</v>
      </c>
      <c r="E77" t="inlineStr" s="8">
        <is>
          <t>75326230</t>
        </is>
      </c>
      <c r="F77" t="inlineStr" s="8">
        <is>
          <t>HALPERT SANDY</t>
        </is>
      </c>
      <c r="G77" t="inlineStr" s="8">
        <is>
          <t>*CESION/ARRAS</t>
        </is>
      </c>
      <c r="H77" t="inlineStr" s="8">
        <is>
          <t>BANCO DE OCCIDENTE</t>
        </is>
      </c>
      <c r="I77" s="9">
        <v>192172500.00</v>
      </c>
      <c r="J77" t="inlineStr" s="8">
        <is>
          <t>NC5991CESION - NCR5996 - NCR5994 - NCR5998 - NCR5997 - NCR5993 - NCR6002CR</t>
        </is>
      </c>
      <c r="K77" t="inlineStr" s="8">
        <is>
          <t>NCR6000 - NCR6001 - NCR5999 - NCR5995 - NCR5992</t>
        </is>
      </c>
      <c r="L77" t="inlineStr" s="8">
        <is>
          <t>2024-06-22</t>
        </is>
      </c>
      <c r="M77" s="9">
        <f>9116000+20836000+1603000+15927000+9617000</f>
      </c>
      <c r="N77" s="9">
        <v>12000000</v>
      </c>
      <c r="O77" t="inlineStr" s="8">
        <is>
          <t>DIC.6/23</t>
        </is>
      </c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>
        <v>11520000</v>
      </c>
      <c r="AJ77" s="10"/>
      <c r="AK77" s="10"/>
      <c r="AL77" s="10"/>
      <c r="AM77" s="10"/>
      <c r="AN77" s="10">
        <v>15026000</v>
      </c>
      <c r="AO77" s="10"/>
      <c r="AP77" s="10"/>
      <c r="AQ77" s="10"/>
      <c r="AR77" s="10">
        <v>1102000</v>
      </c>
      <c r="AS77" s="10">
        <v>5207500</v>
      </c>
      <c r="AT77" s="10"/>
      <c r="AU77" s="10">
        <v>10218000</v>
      </c>
      <c r="AV77" s="10"/>
      <c r="AW77" s="10"/>
      <c r="AX77" s="10"/>
      <c r="AY77" s="10"/>
      <c r="AZ77" s="10"/>
      <c r="BA77" s="10"/>
      <c r="BB77" s="10"/>
      <c r="BC77" s="10"/>
      <c r="BD77" s="10"/>
      <c r="BE77" s="9">
        <v>80000000</v>
      </c>
      <c r="BF77" s="9"/>
      <c r="BG77" s="9"/>
      <c r="BH77" s="9"/>
      <c r="BI77" s="9">
        <f>SUM(M77,N77,Q77,R77,S77,T77,U77,V77,W77,X77,Y77,Z77,AA77,AB77,AC77,AD77,AE77,AF77,AG77,AH77,AI77,AJ77,AK77,AL77,AM77,AN77,AO77,AP77,AQ77,AR77,AS77,AT77,AU77,AV77,AW77,AX77,AY77,AZ77,BA77,BB77,BC77,BD77,BE77,BF77,BG77,BH77)</f>
      </c>
      <c r="BJ77" s="9">
        <f>I77-BI77</f>
      </c>
      <c r="BK77" s="9">
        <f>BJ77-BL77-BM77-BN77-BO77</f>
      </c>
      <c r="BL77" s="9"/>
      <c r="BM77" s="9"/>
      <c r="BN77" s="9"/>
      <c r="BO77" s="9"/>
      <c r="BP77" s="8"/>
      <c r="BQ77" t="inlineStr" s="8">
        <is>
          <t>2023-07-25</t>
        </is>
      </c>
      <c r="BR77" t="inlineStr" s="8">
        <is>
          <t>2023-11-15</t>
        </is>
      </c>
      <c r="BS77" t="inlineStr" s="8">
        <is>
          <t>2024-11-23</t>
        </is>
      </c>
      <c r="BT77" s="8"/>
      <c r="BU77" s="8"/>
      <c r="BV77" s="8"/>
      <c r="BW77" s="8"/>
      <c r="BX77" s="8"/>
      <c r="BY77" s="8"/>
      <c r="BZ77" s="9"/>
      <c r="CA77" s="9"/>
      <c r="CB77" t="inlineStr" s="8">
        <is>
          <t>3166435448</t>
        </is>
      </c>
      <c r="CC77" t="inlineStr" s="8">
        <is>
          <t>halpert.sandy.75326230@example.com</t>
        </is>
      </c>
      <c r="CD77" t="inlineStr" s="8">
        <is>
          <t>PANTHER PINK CEL: 3166436342</t>
        </is>
      </c>
      <c r="CE77" t="inlineStr" s="8">
        <is>
          <t>NC5991 JUN.22/24 CESION DE LOIS STARK A SANDY HALPERT *ANTIC $12.000.000 *ARRAS $4'640</t>
        </is>
      </c>
    </row>
    <row r="78" ht="13.7" customHeight="1">
      <c r="A78" t="inlineStr" s="8">
        <is>
          <t>60007919101586</t>
        </is>
      </c>
      <c r="B78" s="8"/>
      <c r="C78" t="inlineStr" s="8">
        <is>
          <t>304</t>
        </is>
      </c>
      <c r="D78" s="9">
        <v>55.20</v>
      </c>
      <c r="E78" t="inlineStr" s="8">
        <is>
          <t>75247680</t>
        </is>
      </c>
      <c r="F78" t="inlineStr" s="8">
        <is>
          <t>ORGANA DRACO</t>
        </is>
      </c>
      <c r="G78" t="inlineStr" s="8">
        <is>
          <t>*DESISTIM/ARRAS</t>
        </is>
      </c>
      <c r="H78" t="inlineStr" s="8">
        <is>
          <t>BANCO DE OCCIDENTE</t>
        </is>
      </c>
      <c r="I78" s="9">
        <v>192172500.00</v>
      </c>
      <c r="J78" s="8"/>
      <c r="K78" s="8"/>
      <c r="L78" s="8"/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/>
      <c r="BF78" s="9"/>
      <c r="BG78" s="9"/>
      <c r="BH78" s="9"/>
      <c r="BI78" s="9">
        <f>SUM(M78,N78,Q78,R78,S78,T78,U78,V78,W78,X78,Y78,Z78,AA78,AB78,AC78,AD78,AE78,AF78,AG78,AH78,AI78,AJ78,AK78,AL78,AM78,AN78,AO78,AP78,AQ78,AR78,AS78,AT78,AU78,AV78,AW78,AX78,AY78,AZ78,BA78,BB78,BC78,BD78,BE78,BF78,BG78,BH78)</f>
      </c>
      <c r="BJ78" s="9">
        <f>I78-BI78</f>
      </c>
      <c r="BK78" s="9">
        <f>BJ78-BL78-BM78-BN78-BO78</f>
      </c>
      <c r="BL78" s="9"/>
      <c r="BM78" s="9"/>
      <c r="BN78" s="9"/>
      <c r="BO78" s="9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t="inlineStr" s="8">
        <is>
          <t>3166426519</t>
        </is>
      </c>
      <c r="CC78" t="inlineStr" s="8">
        <is>
          <t>organa.draco.75247680@example.com</t>
        </is>
      </c>
      <c r="CD78" t="inlineStr" s="8">
        <is>
          <t>JETSON GEORGE CEL: 3166426966</t>
        </is>
      </c>
      <c r="CE78" t="inlineStr" s="8">
        <is>
          <t>NC5888 SEP.6/22 DESISTIMIENTO POR ARRAS DRACO ORGANA</t>
        </is>
      </c>
    </row>
    <row r="79" ht="13.7" customHeight="1">
      <c r="A79" t="inlineStr" s="8">
        <is>
          <t>60007919104844</t>
        </is>
      </c>
      <c r="B79" s="8"/>
      <c r="C79" t="inlineStr" s="8">
        <is>
          <t>704</t>
        </is>
      </c>
      <c r="D79" s="9">
        <v>55.20</v>
      </c>
      <c r="E79" t="inlineStr" s="8">
        <is>
          <t>75492123</t>
        </is>
      </c>
      <c r="F79" t="inlineStr" s="8">
        <is>
          <t>SIMPSON HOMER</t>
        </is>
      </c>
      <c r="G79" t="inlineStr" s="8">
        <is>
          <t>*DESISTIM/ARRAS</t>
        </is>
      </c>
      <c r="H79" s="8"/>
      <c r="I79" s="9">
        <v>192172500.00</v>
      </c>
      <c r="J79" s="8"/>
      <c r="K79" s="8"/>
      <c r="L79" s="8"/>
      <c r="M79" s="9"/>
      <c r="N79" s="9"/>
      <c r="O79" s="8"/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9"/>
      <c r="BF79" s="9"/>
      <c r="BG79" s="9"/>
      <c r="BH79" s="9"/>
      <c r="BI79" s="9">
        <f>SUM(M79,N79,Q79,R79,S79,T79,U79,V79,W79,X79,Y79,Z79,AA79,AB79,AC79,AD79,AE79,AF79,AG79,AH79,AI79,AJ79,AK79,AL79,AM79,AN79,AO79,AP79,AQ79,AR79,AS79,AT79,AU79,AV79,AW79,AX79,AY79,AZ79,BA79,BB79,BC79,BD79,BE79,BF79,BG79,BH79)</f>
      </c>
      <c r="BJ79" s="9">
        <f>I79-BI79</f>
      </c>
      <c r="BK79" s="9">
        <f>BJ79-BL79-BM79-BN79-BO79</f>
      </c>
      <c r="BL79" s="9"/>
      <c r="BM79" s="9"/>
      <c r="BN79" s="9"/>
      <c r="BO79" s="9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9"/>
      <c r="CA79" s="9"/>
      <c r="CB79" t="inlineStr" s="8">
        <is>
          <t>3166463637</t>
        </is>
      </c>
      <c r="CC79" t="inlineStr" s="8">
        <is>
          <t>simpson.homer.75492123@example.com</t>
        </is>
      </c>
      <c r="CD79" t="inlineStr" s="8">
        <is>
          <t>DUCK DAFFY CEL: 3166463940</t>
        </is>
      </c>
      <c r="CE79" t="inlineStr" s="8">
        <is>
          <t>NC6207 NOV.13/23 DESISTIMIENTO POR ARRAS HOMER SIMPSON/LISA WOLOWITZ</t>
        </is>
      </c>
    </row>
    <row r="80" ht="13.7" customHeight="1">
      <c r="A80" t="inlineStr" s="8">
        <is>
          <t>60007919103485</t>
        </is>
      </c>
      <c r="B80" s="8"/>
      <c r="C80" t="inlineStr" s="8">
        <is>
          <t>504</t>
        </is>
      </c>
      <c r="D80" s="9">
        <v>55.20</v>
      </c>
      <c r="E80" t="inlineStr" s="8">
        <is>
          <t>75390928</t>
        </is>
      </c>
      <c r="F80" t="inlineStr" s="8">
        <is>
          <t>BENDER MICHAEL</t>
        </is>
      </c>
      <c r="G80" t="inlineStr" s="8">
        <is>
          <t>*DESISTIM/ARRAS</t>
        </is>
      </c>
      <c r="H80" t="inlineStr" s="8">
        <is>
          <t>BANCO DE OCCIDENTE</t>
        </is>
      </c>
      <c r="I80" s="9">
        <v>192172500.00</v>
      </c>
      <c r="J80" s="8"/>
      <c r="K80" s="8"/>
      <c r="L80" s="8"/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9"/>
      <c r="BF80" s="9"/>
      <c r="BG80" s="9"/>
      <c r="BH80" s="9"/>
      <c r="BI80" s="9">
        <f>SUM(M80,N80,Q80,R80,S80,T80,U80,V80,W80,X80,Y80,Z80,AA80,AB80,AC80,AD80,AE80,AF80,AG80,AH80,AI80,AJ80,AK80,AL80,AM80,AN80,AO80,AP80,AQ80,AR80,AS80,AT80,AU80,AV80,AW80,AX80,AY80,AZ80,BA80,BB80,BC80,BD80,BE80,BF80,BG80,BH80)</f>
      </c>
      <c r="BJ80" s="9">
        <f>I80-BI80</f>
      </c>
      <c r="BK80" s="9">
        <f>BJ80-BL80-BM80-BN80-BO80</f>
      </c>
      <c r="BL80" s="9"/>
      <c r="BM80" s="9"/>
      <c r="BN80" s="9"/>
      <c r="BO80" s="9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9"/>
      <c r="CA80" s="9"/>
      <c r="CB80" t="inlineStr" s="8">
        <is>
          <t>3166445217</t>
        </is>
      </c>
      <c r="CC80" t="inlineStr" s="8">
        <is>
          <t>bender.michael.75390928@example.com</t>
        </is>
      </c>
      <c r="CD80" t="inlineStr" s="8">
        <is>
          <t>DUCK DAFFY CEL: 3166445281</t>
        </is>
      </c>
      <c r="CE80" t="inlineStr" s="8">
        <is>
          <t>NC6056 DIC.11/23 DESISTIMIENTO POR ARRAS MICHAEL BENDER</t>
        </is>
      </c>
    </row>
    <row r="81" ht="13.7" customHeight="1">
      <c r="A81" t="inlineStr" s="8">
        <is>
          <t>60007919100718</t>
        </is>
      </c>
      <c r="B81" s="8"/>
      <c r="C81" t="inlineStr" s="8">
        <is>
          <t>203</t>
        </is>
      </c>
      <c r="D81" s="9">
        <v>55.20</v>
      </c>
      <c r="E81" t="inlineStr" s="8">
        <is>
          <t>75172646</t>
        </is>
      </c>
      <c r="F81" t="inlineStr" s="8">
        <is>
          <t>BEESLY PATRICK</t>
        </is>
      </c>
      <c r="G81" t="inlineStr" s="8">
        <is>
          <t>BEESLY PATRICK</t>
        </is>
      </c>
      <c r="H81" s="8"/>
      <c r="I81" s="9">
        <v>192172500.00</v>
      </c>
      <c r="J81" t="inlineStr" s="8">
        <is>
          <t>NCR5806 - NCR5807 - NCR5805</t>
        </is>
      </c>
      <c r="K81" t="inlineStr" s="8">
        <is>
          <t>NCR5803 - NCR5802 - NCR5804</t>
        </is>
      </c>
      <c r="L81" s="8"/>
      <c r="M81" s="9">
        <f>1539000+5042000+20272000</f>
      </c>
      <c r="N81" s="9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>
        <v>2176000</v>
      </c>
      <c r="AH81" s="10">
        <v>21068000</v>
      </c>
      <c r="AI81" s="10"/>
      <c r="AJ81" s="10"/>
      <c r="AK81" s="10"/>
      <c r="AL81" s="10"/>
      <c r="AM81" s="10"/>
      <c r="AN81" s="10">
        <v>2972000</v>
      </c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/>
      <c r="BF81" s="9"/>
      <c r="BG81" s="9"/>
      <c r="BH81" s="9"/>
      <c r="BI81" s="9">
        <f>SUM(M81,N81,Q81,R81,S81,T81,U81,V81,W81,X81,Y81,Z81,AA81,AB81,AC81,AD81,AE81,AF81,AG81,AH81,AI81,AJ81,AK81,AL81,AM81,AN81,AO81,AP81,AQ81,AR81,AS81,AT81,AU81,AV81,AW81,AX81,AY81,AZ81,BA81,BB81,BC81,BD81,BE81,BF81,BG81,BH81)</f>
      </c>
      <c r="BJ81" s="9">
        <f>I81-BI81</f>
      </c>
      <c r="BK81" s="9">
        <f>BJ81-BL81-BM81-BN81-BO81</f>
      </c>
      <c r="BL81" s="9"/>
      <c r="BM81" s="9"/>
      <c r="BN81" s="9"/>
      <c r="BO81" s="9"/>
      <c r="BP81" s="8"/>
      <c r="BQ81" t="inlineStr" s="8">
        <is>
          <t>2023-08-21</t>
        </is>
      </c>
      <c r="BR81" t="inlineStr" s="8">
        <is>
          <t>2023-11-16</t>
        </is>
      </c>
      <c r="BS81" s="8"/>
      <c r="BT81" s="8"/>
      <c r="BU81" s="8"/>
      <c r="BV81" s="8"/>
      <c r="BW81" s="8"/>
      <c r="BX81" s="8"/>
      <c r="BY81" s="8"/>
      <c r="BZ81" s="9"/>
      <c r="CA81" s="9"/>
      <c r="CB81" t="inlineStr" s="8">
        <is>
          <t>3166416246</t>
        </is>
      </c>
      <c r="CC81" t="inlineStr" s="8">
        <is>
          <t>beesly.patrick.75172646@example.com</t>
        </is>
      </c>
      <c r="CD81" t="inlineStr" s="8">
        <is>
          <t>MOUSE MICKEY CEL: 3166416642</t>
        </is>
      </c>
      <c r="CE81" t="inlineStr" s="8">
        <is>
          <t>NC5801 DIC.15/23 TERMINACION UNILATERAL PATRICK BEESLY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13.0" customWidth="1"/>
    <col min="51" max="51" width="13.0" customWidth="1"/>
    <col min="52" max="52" width="13.0" customWidth="1"/>
    <col min="53" max="53" width="13.0" customWidth="1"/>
    <col min="54" max="54" width="13.0" customWidth="1"/>
    <col min="55" max="55" width="13.0" customWidth="1"/>
    <col min="56" max="56" width="13.0" customWidth="1"/>
    <col min="57" max="57" width="13.0" customWidth="1"/>
    <col min="58" max="58" width="13.0" customWidth="1"/>
    <col min="59" max="59" width="12.42578125" customWidth="1"/>
    <col min="60" max="60" width="15.5703125" customWidth="1"/>
    <col min="61" max="61" width="15.28515625" customWidth="1"/>
    <col min="62" max="62" width="14.140625" customWidth="1"/>
    <col min="63" max="63" width="15.28515625" customWidth="1"/>
    <col min="64" max="64" width="11.5703125" customWidth="1"/>
    <col min="65" max="65" width="13.0" customWidth="1"/>
    <col min="66" max="66" width="13.0" customWidth="1"/>
    <col min="67" max="67" width="13.0" customWidth="1"/>
    <col min="68" max="68" width="13.0" customWidth="1"/>
    <col min="69" max="69" width="13.0" customWidth="1"/>
    <col min="70" max="70" width="13.0" customWidth="1"/>
    <col min="71" max="71" width="13.0" customWidth="1"/>
    <col min="72" max="72" width="13.0" customWidth="1"/>
    <col min="73" max="73" width="13.0" customWidth="1"/>
    <col min="74" max="74" width="8.140625" customWidth="1"/>
    <col min="75" max="75" width="11.42578125" customWidth="1"/>
    <col min="76" max="76" width="11.42578125" customWidth="1"/>
    <col min="77" max="77" width="11.42578125" customWidth="1"/>
    <col min="78" max="78" width="11.42578125" customWidth="1"/>
    <col min="79" max="79" width="11.42578125" customWidth="1"/>
    <col min="80" max="80" width="11.42578125" customWidth="1"/>
    <col min="81" max="81" width="11.42578125" customWidth="1"/>
    <col min="82" max="82" width="13.0" customWidth="1"/>
    <col min="83" max="83" width="20.0" customWidth="1"/>
    <col min="84" max="84" width="24.0" customWidth="1"/>
    <col min="85" max="85" width="105.140625" customWidth="1"/>
  </cols>
  <sheetData>
    <row r="1">
      <c r="A1" t="inlineStr" s="1">
        <is>
          <t>CONJUNTO CERRADO KSMP T7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ENE/2022</t>
        </is>
      </c>
      <c r="R4" t="inlineStr" s="5">
        <is>
          <t>RECIBO FIDUCIA FEB/2022</t>
        </is>
      </c>
      <c r="S4" t="inlineStr" s="5">
        <is>
          <t>RECIBO FIDUCIA MAR/2022</t>
        </is>
      </c>
      <c r="T4" t="inlineStr" s="5">
        <is>
          <t>RECIBO FIDUCIA ABR/2022</t>
        </is>
      </c>
      <c r="U4" t="inlineStr" s="5">
        <is>
          <t>RECIBO FIDUCIA MAY/2022</t>
        </is>
      </c>
      <c r="V4" t="inlineStr" s="5">
        <is>
          <t>RECIBO FIDUCIA JUN/2022</t>
        </is>
      </c>
      <c r="W4" t="inlineStr" s="5">
        <is>
          <t>RECIBO FIDUCIA JUL/2022</t>
        </is>
      </c>
      <c r="X4" t="inlineStr" s="5">
        <is>
          <t>RECIBO FIDUCIA AGO/2022</t>
        </is>
      </c>
      <c r="Y4" t="inlineStr" s="5">
        <is>
          <t>RECIBO FIDUCIA SEP/2022</t>
        </is>
      </c>
      <c r="Z4" t="inlineStr" s="5">
        <is>
          <t>RECIBO FIDUCIA OCT/2022</t>
        </is>
      </c>
      <c r="AA4" t="inlineStr" s="5">
        <is>
          <t>RECIBO FIDUCIA NOV/2022</t>
        </is>
      </c>
      <c r="AB4" t="inlineStr" s="5">
        <is>
          <t>RECIBO FIDUCIA DIC/2022</t>
        </is>
      </c>
      <c r="AC4" t="inlineStr" s="5">
        <is>
          <t>RECIBO FIDUCIA ENE/2023</t>
        </is>
      </c>
      <c r="AD4" t="inlineStr" s="5">
        <is>
          <t>RECIBO FIDUCIA FEB/2023</t>
        </is>
      </c>
      <c r="AE4" t="inlineStr" s="5">
        <is>
          <t>RECIBO FIDUCIA MAR/2023</t>
        </is>
      </c>
      <c r="AF4" t="inlineStr" s="5">
        <is>
          <t>RECIBO FIDUCIA ABR/2023</t>
        </is>
      </c>
      <c r="AG4" t="inlineStr" s="5">
        <is>
          <t>RECIBO FIDUCIA MAY/2023</t>
        </is>
      </c>
      <c r="AH4" t="inlineStr" s="5">
        <is>
          <t>RECIBO FIDUCIA JUN/2023</t>
        </is>
      </c>
      <c r="AI4" t="inlineStr" s="5">
        <is>
          <t>RECIBO FIDUCIA JUL/2023</t>
        </is>
      </c>
      <c r="AJ4" t="inlineStr" s="5">
        <is>
          <t>RECIBO FIDUCIA AGO/2023</t>
        </is>
      </c>
      <c r="AK4" t="inlineStr" s="5">
        <is>
          <t>RECIBO FIDUCIA SEP/2023</t>
        </is>
      </c>
      <c r="AL4" t="inlineStr" s="5">
        <is>
          <t>RECIBO FIDUCIA OCT/2023</t>
        </is>
      </c>
      <c r="AM4" t="inlineStr" s="5">
        <is>
          <t>RECIBO FIDUCIA NOV/2023</t>
        </is>
      </c>
      <c r="AN4" t="inlineStr" s="5">
        <is>
          <t>RECIBO FIDUCIA DIC/2023</t>
        </is>
      </c>
      <c r="AO4" t="inlineStr" s="5">
        <is>
          <t>RECIBO FIDUCIA ENE/2024</t>
        </is>
      </c>
      <c r="AP4" t="inlineStr" s="5">
        <is>
          <t>RECIBO FIDUCIA FEB/2024</t>
        </is>
      </c>
      <c r="AQ4" t="inlineStr" s="5">
        <is>
          <t>RECIBO FIDUCIA MAR/2024</t>
        </is>
      </c>
      <c r="AR4" t="inlineStr" s="5">
        <is>
          <t>RECIBO FIDUCIA ABR/2024</t>
        </is>
      </c>
      <c r="AS4" t="inlineStr" s="5">
        <is>
          <t>RECIBO FIDUCIA MAY/2024</t>
        </is>
      </c>
      <c r="AT4" t="inlineStr" s="5">
        <is>
          <t>RECIBO FIDUCIA JUN/2024</t>
        </is>
      </c>
      <c r="AU4" t="inlineStr" s="5">
        <is>
          <t>RECIBO FIDUCIA JUL/2024</t>
        </is>
      </c>
      <c r="AV4" t="inlineStr" s="5">
        <is>
          <t>RECIBO FIDUCIA AGO/2024</t>
        </is>
      </c>
      <c r="AW4" t="inlineStr" s="5">
        <is>
          <t>RECIBO FIDUCIA SEP/2024</t>
        </is>
      </c>
      <c r="AX4" t="inlineStr" s="5">
        <is>
          <t>RECIBO FIDUCIA OCT/2024</t>
        </is>
      </c>
      <c r="AY4" t="inlineStr" s="5">
        <is>
          <t>RECIBO FIDUCIA NOV/2024</t>
        </is>
      </c>
      <c r="AZ4" t="inlineStr" s="5">
        <is>
          <t>RECIBO FIDUCIA DIC/2024</t>
        </is>
      </c>
      <c r="BA4" t="inlineStr" s="5">
        <is>
          <t>RECIBO FIDUCIA ENE/2025</t>
        </is>
      </c>
      <c r="BB4" t="inlineStr" s="5">
        <is>
          <t>RECIBO FIDUCIA FEB/2025</t>
        </is>
      </c>
      <c r="BC4" t="inlineStr" s="5">
        <is>
          <t>RECIBO FIDUCIA MAR/2025</t>
        </is>
      </c>
      <c r="BD4" t="inlineStr" s="5">
        <is>
          <t>RECIBO FIDUCIA ABR/2025</t>
        </is>
      </c>
      <c r="BE4" t="inlineStr" s="5">
        <is>
          <t>RECIBO FIDUCIA MAY/2025</t>
        </is>
      </c>
      <c r="BF4" t="inlineStr" s="5">
        <is>
          <t>RECIBO FIDUCIA JUN/2025</t>
        </is>
      </c>
      <c r="BG4" t="inlineStr" s="4">
        <is>
          <t>ABONOS CR CONSTRUCTOR</t>
        </is>
      </c>
      <c r="BH4" t="inlineStr" s="4">
        <is>
          <t>DESEMBOLSO SUBSIDIO CAJAS DE COMPENSACION</t>
        </is>
      </c>
      <c r="BI4" t="inlineStr" s="4">
        <is>
          <t>DESEMBOLSO SUBSIDIOS GOBIERNO</t>
        </is>
      </c>
      <c r="BJ4" t="inlineStr" s="2">
        <is>
          <t>AJUSTE</t>
        </is>
      </c>
      <c r="BK4" t="inlineStr" s="2">
        <is>
          <t>TOTAL RECIBIDO</t>
        </is>
      </c>
      <c r="BL4" t="inlineStr" s="2">
        <is>
          <t>SALDO POR COBRAR</t>
        </is>
      </c>
      <c r="BM4" t="inlineStr" s="2">
        <is>
          <t>RECURSOS PROPIOS</t>
        </is>
      </c>
      <c r="BN4" t="inlineStr" s="2">
        <is>
          <t>CREDITO BANCARIO</t>
        </is>
      </c>
      <c r="BO4" t="inlineStr" s="2">
        <is>
          <t>CAJA HONOR</t>
        </is>
      </c>
      <c r="BP4" t="inlineStr" s="6">
        <is>
          <t>SUBSIDIOS MCY</t>
        </is>
      </c>
      <c r="BQ4" t="inlineStr" s="6">
        <is>
          <t>SUBSIDIOS CAJA COMP</t>
        </is>
      </c>
      <c r="BR4" t="inlineStr" s="6">
        <is>
          <t>ENTIDAD</t>
        </is>
      </c>
      <c r="BS4" t="inlineStr" s="2">
        <is>
          <t>FECHA CONTRATO DE ADHESION</t>
        </is>
      </c>
      <c r="BT4" t="inlineStr" s="2">
        <is>
          <t>FECHA DE PROMESA</t>
        </is>
      </c>
      <c r="BU4" t="inlineStr" s="7">
        <is>
          <t>ENTREGA REAL</t>
        </is>
      </c>
      <c r="BV4" t="inlineStr" s="6">
        <is>
          <t>MATRIC</t>
        </is>
      </c>
      <c r="BW4" t="inlineStr" s="6">
        <is>
          <t>FECHA ESC</t>
        </is>
      </c>
      <c r="BX4" t="inlineStr" s="6">
        <is>
          <t>ESC</t>
        </is>
      </c>
      <c r="BY4" t="inlineStr" s="6">
        <is>
          <t>NOT</t>
        </is>
      </c>
      <c r="BZ4" t="inlineStr" s="6">
        <is>
          <t>FECHA C/TRADIC</t>
        </is>
      </c>
      <c r="CA4" t="inlineStr" s="6">
        <is>
          <t>FE</t>
        </is>
      </c>
      <c r="CB4" t="inlineStr" s="2">
        <is>
          <t>INTERESES</t>
        </is>
      </c>
      <c r="CC4" t="inlineStr" s="2">
        <is>
          <t>VALOR</t>
        </is>
      </c>
      <c r="CD4" t="inlineStr" s="2">
        <is>
          <t>TELEFONO</t>
        </is>
      </c>
      <c r="CE4" t="inlineStr" s="2">
        <is>
          <t>E-MAIL</t>
        </is>
      </c>
      <c r="CF4" t="inlineStr" s="2">
        <is>
          <t>CONTACTO</t>
        </is>
      </c>
      <c r="CG4" t="inlineStr" s="2">
        <is>
          <t>OBSERVACIONES</t>
        </is>
      </c>
    </row>
    <row r="5" ht="12.75" customHeight="1">
      <c r="A5" t="inlineStr" s="8">
        <is>
          <t>60007919105406</t>
        </is>
      </c>
      <c r="B5" s="8"/>
      <c r="C5" t="inlineStr" s="8">
        <is>
          <t>101</t>
        </is>
      </c>
      <c r="D5" s="9">
        <v>55.20</v>
      </c>
      <c r="E5" t="inlineStr" s="8">
        <is>
          <t>75525932</t>
        </is>
      </c>
      <c r="F5" t="inlineStr" s="8">
        <is>
          <t>BUELLER MARGE</t>
        </is>
      </c>
      <c r="G5" s="8"/>
      <c r="H5" s="8"/>
      <c r="I5" s="9">
        <v>192172500.00</v>
      </c>
      <c r="J5" t="inlineStr" s="8">
        <is>
          <t>NCR6250</t>
        </is>
      </c>
      <c r="K5" t="inlineStr" s="8">
        <is>
          <t>NCR6252 - NCR6253 - NCR6251</t>
        </is>
      </c>
      <c r="L5" t="inlineStr" s="8">
        <is>
          <t>MAY.15/23F - JUN.19/23F - AGO.24/23 - OCT.12/23F</t>
        </is>
      </c>
      <c r="M5" s="9">
        <v>35744000</v>
      </c>
      <c r="N5" s="9"/>
      <c r="O5" s="8"/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>
        <v>57460000</v>
      </c>
      <c r="AH5" s="10">
        <v>83594500</v>
      </c>
      <c r="AI5" s="10"/>
      <c r="AJ5" s="10"/>
      <c r="AK5" s="10"/>
      <c r="AL5" s="10">
        <v>15374000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9"/>
      <c r="BH5" s="9"/>
      <c r="BI5" s="9"/>
      <c r="BJ5" s="9"/>
      <c r="BK5" s="9">
        <f>SUM(M5,N5,Q5,R5,S5,T5,U5,V5,W5,X5,Y5,Z5,AA5,AB5,AC5,AD5,AE5,AF5,AG5,AH5,AI5,AJ5,AK5,AL5,AM5,AN5,AO5,AP5,AQ5,AR5,AS5,AT5,AU5,AV5,AW5,AX5,AY5,AZ5,BA5,BB5,BC5,BD5,BE5,BF5,BG5,BH5,BI5,BJ5)</f>
      </c>
      <c r="BL5" s="9">
        <f>I5-BK5</f>
      </c>
      <c r="BM5" s="9">
        <f>BL5-BN5-BO5-BP5-BQ5</f>
      </c>
      <c r="BN5" s="9"/>
      <c r="BO5" s="9"/>
      <c r="BP5" s="9"/>
      <c r="BQ5" s="9"/>
      <c r="BR5" s="8"/>
      <c r="BS5" t="inlineStr" s="8">
        <is>
          <t>2023-07-03</t>
        </is>
      </c>
      <c r="BT5" t="inlineStr" s="8">
        <is>
          <t>2023-09-10</t>
        </is>
      </c>
      <c r="BU5" t="inlineStr" s="8">
        <is>
          <t>2024-09-14</t>
        </is>
      </c>
      <c r="BV5" s="8"/>
      <c r="BW5" s="8"/>
      <c r="BX5" s="8"/>
      <c r="BY5" s="8"/>
      <c r="BZ5" s="8"/>
      <c r="CA5" s="8"/>
      <c r="CB5" s="9"/>
      <c r="CC5" s="9"/>
      <c r="CD5" t="inlineStr" s="8">
        <is>
          <t>3166467940</t>
        </is>
      </c>
      <c r="CE5" t="inlineStr" s="8">
        <is>
          <t>bueller.marge.75525932@example.com</t>
        </is>
      </c>
      <c r="CF5" t="inlineStr" s="8">
        <is>
          <t>DUCK DAFFY CEL: 3166468124</t>
        </is>
      </c>
      <c r="CG5" s="8"/>
    </row>
    <row r="6" ht="12.75" customHeight="1">
      <c r="A6" t="inlineStr" s="8">
        <is>
          <t>60007919105487</t>
        </is>
      </c>
      <c r="B6" s="8"/>
      <c r="C6" t="inlineStr" s="8">
        <is>
          <t>102</t>
        </is>
      </c>
      <c r="D6" s="9">
        <v>55.20</v>
      </c>
      <c r="E6" t="inlineStr" s="8">
        <is>
          <t>75534101</t>
        </is>
      </c>
      <c r="F6" t="inlineStr" s="8">
        <is>
          <t>JANE EDDIE</t>
        </is>
      </c>
      <c r="G6" s="8"/>
      <c r="H6" t="inlineStr" s="8">
        <is>
          <t>BANCO CAJA SOCIAL</t>
        </is>
      </c>
      <c r="I6" s="9">
        <v>192172500.00</v>
      </c>
      <c r="J6" t="inlineStr" s="8">
        <is>
          <t>NC6254CESION - NCR6255CR</t>
        </is>
      </c>
      <c r="K6" s="8"/>
      <c r="L6" t="inlineStr" s="8">
        <is>
          <t>(JUN.1/23CESION)</t>
        </is>
      </c>
      <c r="M6" s="9"/>
      <c r="N6" s="9">
        <v>18000000</v>
      </c>
      <c r="O6" t="inlineStr" s="8">
        <is>
          <t>JUN.24/23</t>
        </is>
      </c>
      <c r="P6" s="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9">
        <v>95000000</v>
      </c>
      <c r="BH6" s="9"/>
      <c r="BI6" s="9"/>
      <c r="BJ6" s="9"/>
      <c r="BK6" s="9">
        <f>SUM(M6,N6,Q6,R6,S6,T6,U6,V6,W6,X6,Y6,Z6,AA6,AB6,AC6,AD6,AE6,AF6,AG6,AH6,AI6,AJ6,AK6,AL6,AM6,AN6,AO6,AP6,AQ6,AR6,AS6,AT6,AU6,AV6,AW6,AX6,AY6,AZ6,BA6,BB6,BC6,BD6,BE6,BF6,BG6,BH6,BI6,BJ6)</f>
      </c>
      <c r="BL6" s="9">
        <f>I6-BK6</f>
      </c>
      <c r="BM6" s="9">
        <f>BL6-BN6-BO6-BP6-BQ6</f>
      </c>
      <c r="BN6" s="9"/>
      <c r="BO6" s="9"/>
      <c r="BP6" s="9"/>
      <c r="BQ6" s="9"/>
      <c r="BR6" s="8"/>
      <c r="BS6" t="inlineStr" s="8">
        <is>
          <t>2022-08-05</t>
        </is>
      </c>
      <c r="BT6" t="inlineStr" s="8">
        <is>
          <t>2022-11-23</t>
        </is>
      </c>
      <c r="BU6" s="8"/>
      <c r="BV6" s="8"/>
      <c r="BW6" s="8"/>
      <c r="BX6" s="8"/>
      <c r="BY6" s="8"/>
      <c r="BZ6" s="8"/>
      <c r="CA6" s="8"/>
      <c r="CB6" s="9"/>
      <c r="CC6" s="9"/>
      <c r="CD6" t="inlineStr" s="8">
        <is>
          <t>3166469402</t>
        </is>
      </c>
      <c r="CE6" t="inlineStr" s="8">
        <is>
          <t>jane.eddie.75534101@example.com</t>
        </is>
      </c>
      <c r="CF6" t="inlineStr" s="8">
        <is>
          <t>DUCK DAFFY CEL: 3166470022</t>
        </is>
      </c>
      <c r="CG6" t="inlineStr" s="8">
        <is>
          <t>NC6254 JUN.1/23 CESION DE LEGOLAS TARGARYEN A EDDIE JANE *ANTIC $18.000.000 *ARRAS $4'640</t>
        </is>
      </c>
    </row>
    <row r="7" ht="12.75" customHeight="1">
      <c r="A7" t="inlineStr" s="8">
        <is>
          <t>60007919105652</t>
        </is>
      </c>
      <c r="B7" s="8"/>
      <c r="C7" t="inlineStr" s="8">
        <is>
          <t>103</t>
        </is>
      </c>
      <c r="D7" s="9">
        <v>55.20</v>
      </c>
      <c r="E7" t="inlineStr" s="8">
        <is>
          <t>75540528</t>
        </is>
      </c>
      <c r="F7" t="inlineStr" s="8">
        <is>
          <t>KOOTHRAPPALI LEONARD</t>
        </is>
      </c>
      <c r="G7" t="inlineStr" s="8">
        <is>
          <t>TANO HAN</t>
        </is>
      </c>
      <c r="H7" t="inlineStr" s="8">
        <is>
          <t>BANCO CAJA SOCIAL</t>
        </is>
      </c>
      <c r="I7" s="9">
        <v>192172500.00</v>
      </c>
      <c r="J7" t="inlineStr" s="8">
        <is>
          <t>NCR6267CR</t>
        </is>
      </c>
      <c r="K7" t="inlineStr" s="8">
        <is>
          <t>NCR6263 - NCR6265 - NCR6260 - NCR6262 - NCR6266 - NCR6264 - NCR6259 - NCR6258 - NCR6261</t>
        </is>
      </c>
      <c r="L7" t="inlineStr" s="8">
        <is>
          <t>MAY.5/22F - MAY.26/22F - JUL.6/22F - JUL.21/22F - AGO.8/22F - AGO.10/22F - SEP.14/22F - ENE.14/23F - MAY.24/23F</t>
        </is>
      </c>
      <c r="M7" s="9"/>
      <c r="N7" s="9"/>
      <c r="O7" t="inlineStr" s="8">
        <is>
          <t>ENE.11/23</t>
        </is>
      </c>
      <c r="P7" s="8"/>
      <c r="Q7" s="10"/>
      <c r="R7" s="10"/>
      <c r="S7" s="10"/>
      <c r="T7" s="10"/>
      <c r="U7" s="10">
        <f>12081000+5087000</f>
      </c>
      <c r="V7" s="10"/>
      <c r="W7" s="10">
        <f>2162000+15388000</f>
      </c>
      <c r="X7" s="10">
        <f>22254500+39551000</f>
      </c>
      <c r="Y7" s="10">
        <v>10047000</v>
      </c>
      <c r="Z7" s="10"/>
      <c r="AA7" s="10"/>
      <c r="AB7" s="10"/>
      <c r="AC7" s="10">
        <v>14498000</v>
      </c>
      <c r="AD7" s="10"/>
      <c r="AE7" s="10"/>
      <c r="AF7" s="10"/>
      <c r="AG7" s="10">
        <v>6104000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9">
        <v>65000000</v>
      </c>
      <c r="BH7" s="9"/>
      <c r="BI7" s="9"/>
      <c r="BJ7" s="9"/>
      <c r="BK7" s="9">
        <f>SUM(M7,N7,Q7,R7,S7,T7,U7,V7,W7,X7,Y7,Z7,AA7,AB7,AC7,AD7,AE7,AF7,AG7,AH7,AI7,AJ7,AK7,AL7,AM7,AN7,AO7,AP7,AQ7,AR7,AS7,AT7,AU7,AV7,AW7,AX7,AY7,AZ7,BA7,BB7,BC7,BD7,BE7,BF7,BG7,BH7,BI7,BJ7)</f>
      </c>
      <c r="BL7" s="9">
        <f>I7-BK7</f>
      </c>
      <c r="BM7" s="9">
        <f>BL7-BN7-BO7-BP7-BQ7</f>
      </c>
      <c r="BN7" s="9"/>
      <c r="BO7" s="9"/>
      <c r="BP7" s="9"/>
      <c r="BQ7" s="9"/>
      <c r="BR7" s="8"/>
      <c r="BS7" t="inlineStr" s="8">
        <is>
          <t>2022-08-18</t>
        </is>
      </c>
      <c r="BT7" t="inlineStr" s="8">
        <is>
          <t>2022-10-01</t>
        </is>
      </c>
      <c r="BU7" t="inlineStr" s="8">
        <is>
          <t>2023-06-08</t>
        </is>
      </c>
      <c r="BV7" s="8"/>
      <c r="BW7" s="8"/>
      <c r="BX7" s="8"/>
      <c r="BY7" s="8"/>
      <c r="BZ7" s="8"/>
      <c r="CA7" s="8"/>
      <c r="CB7" s="9"/>
      <c r="CC7" s="9"/>
      <c r="CD7" t="inlineStr" s="8">
        <is>
          <t>3166470279</t>
        </is>
      </c>
      <c r="CE7" t="inlineStr" s="8">
        <is>
          <t>koothrappali.leonard.75540528@example.com</t>
        </is>
      </c>
      <c r="CF7" t="inlineStr" s="8">
        <is>
          <t>DUCK DAFFY CEL: 3166471034</t>
        </is>
      </c>
      <c r="CG7" s="8"/>
    </row>
    <row r="8" ht="12.75" customHeight="1">
      <c r="A8" t="inlineStr" s="8">
        <is>
          <t>60007919105846</t>
        </is>
      </c>
      <c r="B8" s="8"/>
      <c r="C8" t="inlineStr" s="8">
        <is>
          <t>104</t>
        </is>
      </c>
      <c r="D8" s="9">
        <v>55.20</v>
      </c>
      <c r="E8" t="inlineStr" s="8">
        <is>
          <t>75551719</t>
        </is>
      </c>
      <c r="F8" t="inlineStr" s="8">
        <is>
          <t>MAYFIELD DWIGHT</t>
        </is>
      </c>
      <c r="G8" s="8"/>
      <c r="H8" s="8"/>
      <c r="I8" s="9">
        <v>192172500.00</v>
      </c>
      <c r="J8" s="8"/>
      <c r="K8" t="inlineStr" s="8">
        <is>
          <t>NCR6271 - NCR6269 - NCR6273 - NCR6268 - NCR6270 - NCR6272 - NCR6274</t>
        </is>
      </c>
      <c r="L8" t="inlineStr" s="8">
        <is>
          <t>JUL.1/22F - JUL.23/22F - NOV.9/22F - NOV.21/22F - ENE.7/23F - ABR.22/23F - ABR.23/23F</t>
        </is>
      </c>
      <c r="M8" s="9"/>
      <c r="N8" s="9"/>
      <c r="O8" s="8"/>
      <c r="P8" s="8"/>
      <c r="Q8" s="10"/>
      <c r="R8" s="10"/>
      <c r="S8" s="10"/>
      <c r="T8" s="10"/>
      <c r="U8" s="10"/>
      <c r="V8" s="10"/>
      <c r="W8" s="10">
        <f>1153000+34015000</f>
      </c>
      <c r="X8" s="10"/>
      <c r="Y8" s="10"/>
      <c r="Z8" s="10"/>
      <c r="AA8" s="10">
        <f>8071000+63993000</f>
      </c>
      <c r="AB8" s="10"/>
      <c r="AC8" s="10">
        <v>72833000</v>
      </c>
      <c r="AD8" s="10"/>
      <c r="AE8" s="10"/>
      <c r="AF8" s="10">
        <f>2498000+9609500</f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9"/>
      <c r="BH8" s="9"/>
      <c r="BI8" s="9"/>
      <c r="BJ8" s="9"/>
      <c r="BK8" s="9">
        <f>SUM(M8,N8,Q8,R8,S8,T8,U8,V8,W8,X8,Y8,Z8,AA8,AB8,AC8,AD8,AE8,AF8,AG8,AH8,AI8,AJ8,AK8,AL8,AM8,AN8,AO8,AP8,AQ8,AR8,AS8,AT8,AU8,AV8,AW8,AX8,AY8,AZ8,BA8,BB8,BC8,BD8,BE8,BF8,BG8,BH8,BI8,BJ8)</f>
      </c>
      <c r="BL8" s="9">
        <f>I8-BK8</f>
      </c>
      <c r="BM8" s="9">
        <f>BL8-BN8-BO8-BP8-BQ8</f>
      </c>
      <c r="BN8" s="9"/>
      <c r="BO8" s="9"/>
      <c r="BP8" s="9"/>
      <c r="BQ8" s="9"/>
      <c r="BR8" s="8"/>
      <c r="BS8" t="inlineStr" s="8">
        <is>
          <t>2022-07-07</t>
        </is>
      </c>
      <c r="BT8" t="inlineStr" s="8">
        <is>
          <t>2022-07-17</t>
        </is>
      </c>
      <c r="BU8" t="inlineStr" s="8">
        <is>
          <t>2023-09-20</t>
        </is>
      </c>
      <c r="BV8" s="8"/>
      <c r="BW8" s="8"/>
      <c r="BX8" s="8"/>
      <c r="BY8" s="8"/>
      <c r="BZ8" s="8"/>
      <c r="CA8" s="8"/>
      <c r="CB8" s="9"/>
      <c r="CC8" s="9"/>
      <c r="CD8" t="inlineStr" s="8">
        <is>
          <t>3166471196</t>
        </is>
      </c>
      <c r="CE8" t="inlineStr" s="8">
        <is>
          <t>mayfield.dwight.75551719@example.com</t>
        </is>
      </c>
      <c r="CF8" t="inlineStr" s="8">
        <is>
          <t>MOUSE MICKEY CEL: 3166471490</t>
        </is>
      </c>
      <c r="CG8" s="8"/>
    </row>
    <row r="9" ht="12.75" customHeight="1">
      <c r="A9" t="inlineStr" s="8">
        <is>
          <t>60007919105907</t>
        </is>
      </c>
      <c r="B9" s="8"/>
      <c r="C9" t="inlineStr" s="8">
        <is>
          <t>105</t>
        </is>
      </c>
      <c r="D9" s="9">
        <v>55.20</v>
      </c>
      <c r="E9" t="inlineStr" s="8">
        <is>
          <t>75563497</t>
        </is>
      </c>
      <c r="F9" t="inlineStr" s="8">
        <is>
          <t>SINCLAIR GUSTAVO</t>
        </is>
      </c>
      <c r="G9" t="inlineStr" s="8">
        <is>
          <t>TRIBBIANI SUMMER</t>
        </is>
      </c>
      <c r="H9" t="inlineStr" s="8">
        <is>
          <t>BANCO CAJA SOCIAL</t>
        </is>
      </c>
      <c r="I9" s="9">
        <v>192172500.00</v>
      </c>
      <c r="J9" t="inlineStr" s="8">
        <is>
          <t>NC6275TRASLADO - NCR6278 - NCR6281CR</t>
        </is>
      </c>
      <c r="K9" t="inlineStr" s="8">
        <is>
          <t>NCR6279 - NCR6280 - NCR6277 - NCR6276</t>
        </is>
      </c>
      <c r="L9" t="inlineStr" s="8">
        <is>
          <t>MAY.24/22F - JUN.16/22F - OCT.19/22F - ABR.2/23F - (JUN.1/23TRASLADO) - AGO.10/23</t>
        </is>
      </c>
      <c r="M9" s="9">
        <v>100000</v>
      </c>
      <c r="N9" s="9">
        <v>18000000</v>
      </c>
      <c r="O9" t="inlineStr" s="8">
        <is>
          <t>AGO.10/23</t>
        </is>
      </c>
      <c r="P9" s="8"/>
      <c r="Q9" s="10"/>
      <c r="R9" s="10"/>
      <c r="S9" s="10"/>
      <c r="T9" s="10"/>
      <c r="U9" s="10">
        <v>695000</v>
      </c>
      <c r="V9" s="10">
        <v>10003500</v>
      </c>
      <c r="W9" s="10"/>
      <c r="X9" s="10"/>
      <c r="Y9" s="10"/>
      <c r="Z9" s="10">
        <v>4403000</v>
      </c>
      <c r="AA9" s="10"/>
      <c r="AB9" s="10"/>
      <c r="AC9" s="10"/>
      <c r="AD9" s="10"/>
      <c r="AE9" s="10"/>
      <c r="AF9" s="10">
        <v>7971000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9">
        <v>125000000</v>
      </c>
      <c r="BH9" s="9"/>
      <c r="BI9" s="9"/>
      <c r="BJ9" s="9"/>
      <c r="BK9" s="9">
        <f>SUM(M9,N9,Q9,R9,S9,T9,U9,V9,W9,X9,Y9,Z9,AA9,AB9,AC9,AD9,AE9,AF9,AG9,AH9,AI9,AJ9,AK9,AL9,AM9,AN9,AO9,AP9,AQ9,AR9,AS9,AT9,AU9,AV9,AW9,AX9,AY9,AZ9,BA9,BB9,BC9,BD9,BE9,BF9,BG9,BH9,BI9,BJ9)</f>
      </c>
      <c r="BL9" s="9">
        <f>I9-BK9</f>
      </c>
      <c r="BM9" s="9">
        <f>BL9-BN9-BO9-BP9-BQ9</f>
      </c>
      <c r="BN9" s="9"/>
      <c r="BO9" s="9"/>
      <c r="BP9" s="9"/>
      <c r="BQ9" s="9"/>
      <c r="BR9" s="8"/>
      <c r="BS9" t="inlineStr" s="8">
        <is>
          <t>2022-07-30</t>
        </is>
      </c>
      <c r="BT9" t="inlineStr" s="8">
        <is>
          <t>2022-08-22</t>
        </is>
      </c>
      <c r="BU9" t="inlineStr" s="8">
        <is>
          <t>2023-09-06</t>
        </is>
      </c>
      <c r="BV9" s="8"/>
      <c r="BW9" s="8"/>
      <c r="BX9" s="8"/>
      <c r="BY9" s="8"/>
      <c r="BZ9" s="8"/>
      <c r="CA9" s="8"/>
      <c r="CB9" s="9"/>
      <c r="CC9" s="9"/>
      <c r="CD9" t="inlineStr" s="8">
        <is>
          <t>3166472078</t>
        </is>
      </c>
      <c r="CE9" t="inlineStr" s="8">
        <is>
          <t>sinclair.gustavo.75563497@example.com</t>
        </is>
      </c>
      <c r="CF9" t="inlineStr" s="8">
        <is>
          <t>FLINTSTONE FRED CEL: 3166473251</t>
        </is>
      </c>
      <c r="CG9" s="8"/>
    </row>
    <row r="10" ht="12.75" customHeight="1">
      <c r="A10" t="inlineStr" s="8">
        <is>
          <t>60007919106056</t>
        </is>
      </c>
      <c r="B10" s="8"/>
      <c r="C10" t="inlineStr" s="8">
        <is>
          <t>106</t>
        </is>
      </c>
      <c r="D10" s="9">
        <v>55.20</v>
      </c>
      <c r="E10" t="inlineStr" s="8">
        <is>
          <t>75576500</t>
        </is>
      </c>
      <c r="F10" t="inlineStr" s="8">
        <is>
          <t>MARPLE AMY</t>
        </is>
      </c>
      <c r="G10" s="8"/>
      <c r="H10" t="inlineStr" s="8">
        <is>
          <t>BANCO DAVIVIENDA</t>
        </is>
      </c>
      <c r="I10" s="9">
        <v>192172500.00</v>
      </c>
      <c r="J10" t="inlineStr" s="8">
        <is>
          <t>NCR6288 - NCR6290 - NCR6283 - NCR6292CR</t>
        </is>
      </c>
      <c r="K10" t="inlineStr" s="8">
        <is>
          <t>NCR6291 - NCR6286 - NCR6287 - NCR6285 - NCR6289 - NCR6284</t>
        </is>
      </c>
      <c r="L10" t="inlineStr" s="8">
        <is>
          <t>MAR.28/24F - ABR.27/24F - JUN.6/24 - JUN.14/24 - JUL.7/24F - AGO.28/24F - SEP.3/24F - SEP.24/24F - DIC.8/24</t>
        </is>
      </c>
      <c r="M10" s="9">
        <f>7951000+6084000+663000</f>
      </c>
      <c r="N10" s="9"/>
      <c r="O10" t="inlineStr" s="8">
        <is>
          <t>MAY.23/24</t>
        </is>
      </c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>
        <v>13852334</v>
      </c>
      <c r="AR10" s="10">
        <v>16324000</v>
      </c>
      <c r="AS10" s="10"/>
      <c r="AT10" s="10"/>
      <c r="AU10" s="10">
        <v>1446000</v>
      </c>
      <c r="AV10" s="10">
        <v>1265000</v>
      </c>
      <c r="AW10" s="10">
        <f>1506000+11144000</f>
      </c>
      <c r="AX10" s="10"/>
      <c r="AY10" s="10"/>
      <c r="AZ10" s="10"/>
      <c r="BA10" s="10"/>
      <c r="BB10" s="10"/>
      <c r="BC10" s="10"/>
      <c r="BD10" s="10"/>
      <c r="BE10" s="10"/>
      <c r="BF10" s="10"/>
      <c r="BG10" s="9">
        <v>30117666</v>
      </c>
      <c r="BH10" s="9"/>
      <c r="BI10" s="9"/>
      <c r="BJ10" s="9"/>
      <c r="BK10" s="9">
        <f>SUM(M10,N10,Q10,R10,S10,T10,U10,V10,W10,X10,Y10,Z10,AA10,AB10,AC10,AD10,AE10,AF10,AG10,AH10,AI10,AJ10,AK10,AL10,AM10,AN10,AO10,AP10,AQ10,AR10,AS10,AT10,AU10,AV10,AW10,AX10,AY10,AZ10,BA10,BB10,BC10,BD10,BE10,BF10,BG10,BH10,BI10,BJ10)</f>
      </c>
      <c r="BL10" s="9">
        <f>I10-BK10</f>
      </c>
      <c r="BM10" s="9">
        <f>BL10-BN10-BO10-BP10-BQ10</f>
      </c>
      <c r="BN10" s="9"/>
      <c r="BO10" s="9"/>
      <c r="BP10" s="9"/>
      <c r="BQ10" s="9"/>
      <c r="BR10" s="8"/>
      <c r="BS10" t="inlineStr" s="8">
        <is>
          <t>2024-04-10</t>
        </is>
      </c>
      <c r="BT10" t="inlineStr" s="8">
        <is>
          <t>2024-05-06</t>
        </is>
      </c>
      <c r="BU10" s="8"/>
      <c r="BV10" s="8"/>
      <c r="BW10" s="8"/>
      <c r="BX10" s="8"/>
      <c r="BY10" s="8"/>
      <c r="BZ10" s="8"/>
      <c r="CA10" s="8"/>
      <c r="CB10" s="9"/>
      <c r="CC10" s="9"/>
      <c r="CD10" t="inlineStr" s="8">
        <is>
          <t>3166473688</t>
        </is>
      </c>
      <c r="CE10" t="inlineStr" s="8">
        <is>
          <t>marple.amy.75576500@example.com</t>
        </is>
      </c>
      <c r="CF10" t="inlineStr" s="8">
        <is>
          <t>MOUSE MINNIE CEL: 3166474379</t>
        </is>
      </c>
      <c r="CG10" s="8"/>
    </row>
    <row r="11" ht="12.75" customHeight="1">
      <c r="A11" t="inlineStr" s="8">
        <is>
          <t>60007919106148</t>
        </is>
      </c>
      <c r="B11" s="8"/>
      <c r="C11" t="inlineStr" s="8">
        <is>
          <t>107</t>
        </is>
      </c>
      <c r="D11" s="9">
        <v>55.20</v>
      </c>
      <c r="E11" t="inlineStr" s="8">
        <is>
          <t>75577620</t>
        </is>
      </c>
      <c r="F11" t="inlineStr" s="8">
        <is>
          <t>TARGARYEN CHANDLER</t>
        </is>
      </c>
      <c r="G11" t="inlineStr" s="8">
        <is>
          <t>WEASLEY SHELDON</t>
        </is>
      </c>
      <c r="H11" t="inlineStr" s="8">
        <is>
          <t>BANCO DE BOGOTA</t>
        </is>
      </c>
      <c r="I11" s="9">
        <v>192172500.00</v>
      </c>
      <c r="J11" t="inlineStr" s="8">
        <is>
          <t>NCR6295 - NCR6298 - NCR6297 - NCR6301CR</t>
        </is>
      </c>
      <c r="K11" t="inlineStr" s="8">
        <is>
          <t>NCR6299 - NCR6296 - NCR6294 - NCR6300</t>
        </is>
      </c>
      <c r="L11" t="inlineStr" s="8">
        <is>
          <t>OCT.22/23 - OCT.22/23 - NOV.27/23 - ENE.1/24F - FEB.12/24F - MAR.18/24F - JUN.15/24F</t>
        </is>
      </c>
      <c r="M11" s="9">
        <f>20682000+232000+12811000</f>
      </c>
      <c r="N11" s="9"/>
      <c r="O11" t="inlineStr" s="8">
        <is>
          <t>JUL.4/24</t>
        </is>
      </c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>
        <v>232000</v>
      </c>
      <c r="AP11" s="10">
        <v>7331000</v>
      </c>
      <c r="AQ11" s="10">
        <v>13428000</v>
      </c>
      <c r="AR11" s="10"/>
      <c r="AS11" s="10"/>
      <c r="AT11" s="10">
        <v>22456500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9">
        <v>95000000</v>
      </c>
      <c r="BH11" s="9"/>
      <c r="BI11" s="9"/>
      <c r="BJ11" s="9"/>
      <c r="BK11" s="9">
        <f>SUM(M11,N11,Q11,R11,S11,T11,U11,V11,W11,X11,Y11,Z11,AA11,AB11,AC11,AD11,AE11,AF11,AG11,AH11,AI11,AJ11,AK11,AL11,AM11,AN11,AO11,AP11,AQ11,AR11,AS11,AT11,AU11,AV11,AW11,AX11,AY11,AZ11,BA11,BB11,BC11,BD11,BE11,BF11,BG11,BH11,BI11,BJ11)</f>
      </c>
      <c r="BL11" s="9">
        <f>I11-BK11</f>
      </c>
      <c r="BM11" s="9">
        <f>BL11-BN11-BO11-BP11-BQ11</f>
      </c>
      <c r="BN11" s="9"/>
      <c r="BO11" s="9"/>
      <c r="BP11" s="9"/>
      <c r="BQ11" s="9"/>
      <c r="BR11" s="8"/>
      <c r="BS11" t="inlineStr" s="8">
        <is>
          <t>2023-10-10</t>
        </is>
      </c>
      <c r="BT11" t="inlineStr" s="8">
        <is>
          <t>2024-02-03</t>
        </is>
      </c>
      <c r="BU11" s="8"/>
      <c r="BV11" s="8"/>
      <c r="BW11" s="8"/>
      <c r="BX11" s="8"/>
      <c r="BY11" s="8"/>
      <c r="BZ11" s="8"/>
      <c r="CA11" s="8"/>
      <c r="CB11" s="9"/>
      <c r="CC11" s="9"/>
      <c r="CD11" t="inlineStr" s="8">
        <is>
          <t>3166475099</t>
        </is>
      </c>
      <c r="CE11" t="inlineStr" s="8">
        <is>
          <t>targaryen.chandler.75577620@example.com</t>
        </is>
      </c>
      <c r="CF11" t="inlineStr" s="8">
        <is>
          <t>MOUSE MINNIE CEL: 3166475744</t>
        </is>
      </c>
      <c r="CG11" s="8"/>
    </row>
    <row r="12" ht="12.75" customHeight="1">
      <c r="A12" t="inlineStr" s="8">
        <is>
          <t>60007919106372</t>
        </is>
      </c>
      <c r="B12" s="8"/>
      <c r="C12" t="inlineStr" s="8">
        <is>
          <t>201</t>
        </is>
      </c>
      <c r="D12" s="9">
        <v>55.20</v>
      </c>
      <c r="E12" t="inlineStr" s="8">
        <is>
          <t>75586534</t>
        </is>
      </c>
      <c r="F12" t="inlineStr" s="8">
        <is>
          <t>GAMGEE HERMIONE</t>
        </is>
      </c>
      <c r="G12" t="inlineStr" s="8">
        <is>
          <t>EHRMANTRAUT HARRY</t>
        </is>
      </c>
      <c r="H12" s="8"/>
      <c r="I12" s="9">
        <v>192172500.00</v>
      </c>
      <c r="J12" t="inlineStr" s="8">
        <is>
          <t>NCR6307 - NCR6310</t>
        </is>
      </c>
      <c r="K12" t="inlineStr" s="8">
        <is>
          <t>NCR6308 - NCR6304 - NCR6306 - NCR6305 - NCR6309 - NCR6311</t>
        </is>
      </c>
      <c r="L12" t="inlineStr" s="8">
        <is>
          <t>JUN.11/24 - JUN.24/24 - JUL.28/24F - SEP.3/24F - SEP.17/24F - SEP.28/24F - OCT.6/24F - FEB.6/25F</t>
        </is>
      </c>
      <c r="M12" s="9">
        <f>20858000+22084000</f>
      </c>
      <c r="N12" s="9"/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>
        <v>13036000</v>
      </c>
      <c r="AV12" s="10"/>
      <c r="AW12" s="10">
        <f>13343000+12116000+59812000</f>
      </c>
      <c r="AX12" s="10">
        <v>4601000</v>
      </c>
      <c r="AY12" s="10"/>
      <c r="AZ12" s="10"/>
      <c r="BA12" s="10"/>
      <c r="BB12" s="10">
        <v>7514000</v>
      </c>
      <c r="BC12" s="10"/>
      <c r="BD12" s="10"/>
      <c r="BE12" s="10"/>
      <c r="BF12" s="10"/>
      <c r="BG12" s="9"/>
      <c r="BH12" s="9"/>
      <c r="BI12" s="9"/>
      <c r="BJ12" s="9"/>
      <c r="BK12" s="9">
        <f>SUM(M12,N12,Q12,R12,S12,T12,U12,V12,W12,X12,Y12,Z12,AA12,AB12,AC12,AD12,AE12,AF12,AG12,AH12,AI12,AJ12,AK12,AL12,AM12,AN12,AO12,AP12,AQ12,AR12,AS12,AT12,AU12,AV12,AW12,AX12,AY12,AZ12,BA12,BB12,BC12,BD12,BE12,BF12,BG12,BH12,BI12,BJ12)</f>
      </c>
      <c r="BL12" s="9">
        <f>I12-BK12</f>
      </c>
      <c r="BM12" s="9">
        <f>BL12-BN12-BO12-BP12-BQ12</f>
      </c>
      <c r="BN12" s="9"/>
      <c r="BO12" s="9"/>
      <c r="BP12" s="9"/>
      <c r="BQ12" s="9"/>
      <c r="BR12" s="8"/>
      <c r="BS12" t="inlineStr" s="8">
        <is>
          <t>2024-04-08</t>
        </is>
      </c>
      <c r="BT12" t="inlineStr" s="8">
        <is>
          <t>2024-05-02</t>
        </is>
      </c>
      <c r="BU12" s="8"/>
      <c r="BV12" s="8"/>
      <c r="BW12" s="8"/>
      <c r="BX12" s="8"/>
      <c r="BY12" s="8"/>
      <c r="BZ12" s="8"/>
      <c r="CA12" s="8"/>
      <c r="CB12" s="9"/>
      <c r="CC12" s="9"/>
      <c r="CD12" t="inlineStr" s="8">
        <is>
          <t>3166476125</t>
        </is>
      </c>
      <c r="CE12" t="inlineStr" s="8">
        <is>
          <t>gamgee.hermione.75586534@example.com</t>
        </is>
      </c>
      <c r="CF12" t="inlineStr" s="8">
        <is>
          <t>JAKE CEL: 3166476503</t>
        </is>
      </c>
      <c r="CG12" s="8"/>
    </row>
    <row r="13" ht="12.75" customHeight="1">
      <c r="A13" t="inlineStr" s="8">
        <is>
          <t>60007919106459</t>
        </is>
      </c>
      <c r="B13" s="8"/>
      <c r="C13" t="inlineStr" s="8">
        <is>
          <t>202</t>
        </is>
      </c>
      <c r="D13" s="9">
        <v>55.20</v>
      </c>
      <c r="E13" t="inlineStr" s="8">
        <is>
          <t>75599922</t>
        </is>
      </c>
      <c r="F13" t="inlineStr" s="8">
        <is>
          <t>LANNISTER HERCULE</t>
        </is>
      </c>
      <c r="G13" s="8"/>
      <c r="H13" t="inlineStr" s="8">
        <is>
          <t>BANCO DE OCCIDENTE</t>
        </is>
      </c>
      <c r="I13" s="9">
        <v>192172500.00</v>
      </c>
      <c r="J13" t="inlineStr" s="8">
        <is>
          <t>NCR6315 - NCR6313 - NCR6312 - NCR6316 - NCR6314 - NCR6320CR</t>
        </is>
      </c>
      <c r="K13" t="inlineStr" s="8">
        <is>
          <t>NCR6317 - NCR6319 - NCR6318</t>
        </is>
      </c>
      <c r="L13" t="inlineStr" s="8">
        <is>
          <t>NOV.13/23 - DIC.14/23 - DIC.25/23 - JUN.2/24 - JUN.23/24 - NOV.21/24F - DIC.14/24F - DIC.25/24F</t>
        </is>
      </c>
      <c r="M13" s="9">
        <f>13918000+5346000+3318000+1383000+6452000</f>
      </c>
      <c r="N13" s="9"/>
      <c r="O13" t="inlineStr" s="8">
        <is>
          <t>OCT.15/24</t>
        </is>
      </c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>
        <v>7097000</v>
      </c>
      <c r="AZ13" s="10">
        <f>28389500+26269000</f>
      </c>
      <c r="BA13" s="10"/>
      <c r="BB13" s="10"/>
      <c r="BC13" s="10"/>
      <c r="BD13" s="10"/>
      <c r="BE13" s="10"/>
      <c r="BF13" s="10"/>
      <c r="BG13" s="9">
        <v>80000000</v>
      </c>
      <c r="BH13" s="9"/>
      <c r="BI13" s="9"/>
      <c r="BJ13" s="9"/>
      <c r="BK13" s="9">
        <f>SUM(M13,N13,Q13,R13,S13,T13,U13,V13,W13,X13,Y13,Z13,AA13,AB13,AC13,AD13,AE13,AF13,AG13,AH13,AI13,AJ13,AK13,AL13,AM13,AN13,AO13,AP13,AQ13,AR13,AS13,AT13,AU13,AV13,AW13,AX13,AY13,AZ13,BA13,BB13,BC13,BD13,BE13,BF13,BG13,BH13,BI13,BJ13)</f>
      </c>
      <c r="BL13" s="9">
        <f>I13-BK13</f>
      </c>
      <c r="BM13" s="9">
        <f>BL13-BN13-BO13-BP13-BQ13</f>
      </c>
      <c r="BN13" s="9"/>
      <c r="BO13" s="9"/>
      <c r="BP13" s="9"/>
      <c r="BQ13" s="9"/>
      <c r="BR13" s="8"/>
      <c r="BS13" t="inlineStr" s="8">
        <is>
          <t>2024-01-18</t>
        </is>
      </c>
      <c r="BT13" t="inlineStr" s="8">
        <is>
          <t>2024-04-08</t>
        </is>
      </c>
      <c r="BU13" s="8"/>
      <c r="BV13" s="8"/>
      <c r="BW13" s="8"/>
      <c r="BX13" s="8"/>
      <c r="BY13" s="8"/>
      <c r="BZ13" s="8"/>
      <c r="CA13" s="8"/>
      <c r="CB13" s="9"/>
      <c r="CC13" s="9"/>
      <c r="CD13" t="inlineStr" s="8">
        <is>
          <t>3166476537</t>
        </is>
      </c>
      <c r="CE13" t="inlineStr" s="8">
        <is>
          <t>lannister.hercule.75599922@example.com</t>
        </is>
      </c>
      <c r="CF13" t="inlineStr" s="8">
        <is>
          <t>MOUSE MINNIE CEL: 3166477119</t>
        </is>
      </c>
      <c r="CG13" s="8"/>
    </row>
    <row r="14" ht="12.75" customHeight="1">
      <c r="A14" t="inlineStr" s="8">
        <is>
          <t>60007919106465</t>
        </is>
      </c>
      <c r="B14" s="8"/>
      <c r="C14" t="inlineStr" s="8">
        <is>
          <t>203</t>
        </is>
      </c>
      <c r="D14" s="9">
        <v>55.20</v>
      </c>
      <c r="E14" t="inlineStr" s="8">
        <is>
          <t>75608028</t>
        </is>
      </c>
      <c r="F14" t="inlineStr" s="8">
        <is>
          <t>SOLO SAMWISE</t>
        </is>
      </c>
      <c r="G14" s="8"/>
      <c r="H14" t="inlineStr" s="8">
        <is>
          <t>BANCO CAJA SOCIAL</t>
        </is>
      </c>
      <c r="I14" s="9">
        <v>192172500.00</v>
      </c>
      <c r="J14" t="inlineStr" s="8">
        <is>
          <t>NCR6325 - NCR6331 - NCR6330 - NC6322CESION - NCR6332CR</t>
        </is>
      </c>
      <c r="K14" t="inlineStr" s="8">
        <is>
          <t>NCR6328 - NCR6327 - NCR6326 - NCR6329 - NCR6323 - NCR6324</t>
        </is>
      </c>
      <c r="L14" t="inlineStr" s="8">
        <is>
          <t>ENE.6/23F - MAR.10/23F - ABR.9/23F - ABR.13/23F - AGO.3/23 - SEP.9/23 - OCT.14/23 - ABR.12/24F - (MAY.28/24CESION) - JUL.10/24F</t>
        </is>
      </c>
      <c r="M14" s="9">
        <f>764000+12337500+29258000</f>
      </c>
      <c r="N14" s="9">
        <v>18000000</v>
      </c>
      <c r="O14" t="inlineStr" s="8">
        <is>
          <t>MAY.26/24</t>
        </is>
      </c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16813000</v>
      </c>
      <c r="AD14" s="10"/>
      <c r="AE14" s="10">
        <v>10262000</v>
      </c>
      <c r="AF14" s="10">
        <f>21398000+109000</f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>
        <v>4694000</v>
      </c>
      <c r="AS14" s="10"/>
      <c r="AT14" s="10"/>
      <c r="AU14" s="10">
        <v>13537000</v>
      </c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9">
        <v>65000000</v>
      </c>
      <c r="BH14" s="9"/>
      <c r="BI14" s="9"/>
      <c r="BJ14" s="9"/>
      <c r="BK14" s="9">
        <f>SUM(M14,N14,Q14,R14,S14,T14,U14,V14,W14,X14,Y14,Z14,AA14,AB14,AC14,AD14,AE14,AF14,AG14,AH14,AI14,AJ14,AK14,AL14,AM14,AN14,AO14,AP14,AQ14,AR14,AS14,AT14,AU14,AV14,AW14,AX14,AY14,AZ14,BA14,BB14,BC14,BD14,BE14,BF14,BG14,BH14,BI14,BJ14)</f>
      </c>
      <c r="BL14" s="9">
        <f>I14-BK14</f>
      </c>
      <c r="BM14" s="9">
        <f>BL14-BN14-BO14-BP14-BQ14</f>
      </c>
      <c r="BN14" s="9"/>
      <c r="BO14" s="9"/>
      <c r="BP14" s="9"/>
      <c r="BQ14" s="9"/>
      <c r="BR14" s="8"/>
      <c r="BS14" t="inlineStr" s="8">
        <is>
          <t>2023-02-21</t>
        </is>
      </c>
      <c r="BT14" t="inlineStr" s="8">
        <is>
          <t>2023-05-08</t>
        </is>
      </c>
      <c r="BU14" t="inlineStr" s="8">
        <is>
          <t>2024-10-17</t>
        </is>
      </c>
      <c r="BV14" s="8"/>
      <c r="BW14" s="8"/>
      <c r="BX14" s="8"/>
      <c r="BY14" s="8"/>
      <c r="BZ14" s="8"/>
      <c r="CA14" s="8"/>
      <c r="CB14" s="9"/>
      <c r="CC14" s="9"/>
      <c r="CD14" t="inlineStr" s="8">
        <is>
          <t>3166479047</t>
        </is>
      </c>
      <c r="CE14" t="inlineStr" s="8">
        <is>
          <t>solo.samwise.75608028@example.com</t>
        </is>
      </c>
      <c r="CF14" t="inlineStr" s="8">
        <is>
          <t>FLINTSTONE FRED CEL: 3166479218</t>
        </is>
      </c>
      <c r="CG14" t="inlineStr" s="8">
        <is>
          <t>NC6322 MAY.28/24 CESION DE BRIAN GREEN/MONICA WAYNE A SAMWISE SOLO *ANTIC $18.000.000 *ARRAS $4'640</t>
        </is>
      </c>
    </row>
    <row r="15" ht="12.75" customHeight="1">
      <c r="A15" t="inlineStr" s="8">
        <is>
          <t>60007919106640</t>
        </is>
      </c>
      <c r="B15" s="8"/>
      <c r="C15" t="inlineStr" s="8">
        <is>
          <t>204</t>
        </is>
      </c>
      <c r="D15" s="9">
        <v>55.20</v>
      </c>
      <c r="E15" t="inlineStr" s="8">
        <is>
          <t>75615284</t>
        </is>
      </c>
      <c r="F15" t="inlineStr" s="8">
        <is>
          <t>GREENLEAF CLEVELAND</t>
        </is>
      </c>
      <c r="G15" t="inlineStr" s="8">
        <is>
          <t>SMITH FERRIS</t>
        </is>
      </c>
      <c r="H15" t="inlineStr" s="8">
        <is>
          <t>BANCOLOMBIA</t>
        </is>
      </c>
      <c r="I15" s="9">
        <v>192172500.00</v>
      </c>
      <c r="J15" t="inlineStr" s="8">
        <is>
          <t>NCR6338CR</t>
        </is>
      </c>
      <c r="K15" t="inlineStr" s="8">
        <is>
          <t>NCR6334 - NCR6335 - NCR6336 - NCR6337</t>
        </is>
      </c>
      <c r="L15" t="inlineStr" s="8">
        <is>
          <t>ABR.8/24F - ABR.14/24F - JUN.6/24F - OCT.6/24F</t>
        </is>
      </c>
      <c r="M15" s="9"/>
      <c r="N15" s="9"/>
      <c r="O15" t="inlineStr" s="8">
        <is>
          <t>SEP.29/24</t>
        </is>
      </c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>
        <f>2486000+10918000</f>
      </c>
      <c r="AS15" s="10"/>
      <c r="AT15" s="10">
        <v>1008000</v>
      </c>
      <c r="AU15" s="10"/>
      <c r="AV15" s="10"/>
      <c r="AW15" s="10"/>
      <c r="AX15" s="10">
        <v>2974000</v>
      </c>
      <c r="AY15" s="10"/>
      <c r="AZ15" s="10"/>
      <c r="BA15" s="10"/>
      <c r="BB15" s="10"/>
      <c r="BC15" s="10"/>
      <c r="BD15" s="10"/>
      <c r="BE15" s="10"/>
      <c r="BF15" s="10"/>
      <c r="BG15" s="9">
        <v>95000000</v>
      </c>
      <c r="BH15" s="9"/>
      <c r="BI15" s="9"/>
      <c r="BJ15" s="9"/>
      <c r="BK15" s="9">
        <f>SUM(M15,N15,Q15,R15,S15,T15,U15,V15,W15,X15,Y15,Z15,AA15,AB15,AC15,AD15,AE15,AF15,AG15,AH15,AI15,AJ15,AK15,AL15,AM15,AN15,AO15,AP15,AQ15,AR15,AS15,AT15,AU15,AV15,AW15,AX15,AY15,AZ15,BA15,BB15,BC15,BD15,BE15,BF15,BG15,BH15,BI15,BJ15)</f>
      </c>
      <c r="BL15" s="9">
        <f>I15-BK15</f>
      </c>
      <c r="BM15" s="9">
        <f>BL15-BN15-BO15-BP15-BQ15</f>
      </c>
      <c r="BN15" s="9"/>
      <c r="BO15" s="9"/>
      <c r="BP15" s="9"/>
      <c r="BQ15" s="9"/>
      <c r="BR15" s="8"/>
      <c r="BS15" t="inlineStr" s="8">
        <is>
          <t>2024-01-17</t>
        </is>
      </c>
      <c r="BT15" t="inlineStr" s="8">
        <is>
          <t>2024-04-14</t>
        </is>
      </c>
      <c r="BU15" s="8"/>
      <c r="BV15" s="8"/>
      <c r="BW15" s="8"/>
      <c r="BX15" s="8"/>
      <c r="BY15" s="8"/>
      <c r="BZ15" s="8"/>
      <c r="CA15" s="8"/>
      <c r="CB15" s="9"/>
      <c r="CC15" s="9"/>
      <c r="CD15" t="inlineStr" s="8">
        <is>
          <t>3166480151</t>
        </is>
      </c>
      <c r="CE15" t="inlineStr" s="8">
        <is>
          <t>greenleaf.cleveland.75615284@example.com</t>
        </is>
      </c>
      <c r="CF15" t="inlineStr" s="8">
        <is>
          <t>BUNNY BUGS CEL: 3166481790</t>
        </is>
      </c>
      <c r="CG15" s="8"/>
    </row>
    <row r="16" ht="12.75" customHeight="1">
      <c r="A16" t="inlineStr" s="8">
        <is>
          <t>60007919106803</t>
        </is>
      </c>
      <c r="B16" s="8"/>
      <c r="C16" t="inlineStr" s="8">
        <is>
          <t>205</t>
        </is>
      </c>
      <c r="D16" s="9">
        <v>55.20</v>
      </c>
      <c r="E16" t="inlineStr" s="8">
        <is>
          <t>75630999</t>
        </is>
      </c>
      <c r="F16" t="inlineStr" s="8">
        <is>
          <t>ROGERS JOHN</t>
        </is>
      </c>
      <c r="G16" s="8"/>
      <c r="H16" s="8"/>
      <c r="I16" s="9">
        <v>192172500.00</v>
      </c>
      <c r="J16" t="inlineStr" s="8">
        <is>
          <t>NCR6341 - NCR6340</t>
        </is>
      </c>
      <c r="K16" t="inlineStr" s="8">
        <is>
          <t>NCR6342 - NCR6339</t>
        </is>
      </c>
      <c r="L16" t="inlineStr" s="8">
        <is>
          <t>SEP.15/23F - OCT.28/23F - NOV.18/23 - JUN.13/24</t>
        </is>
      </c>
      <c r="M16" s="9">
        <f>24406000+12107000</f>
      </c>
      <c r="N16" s="9"/>
      <c r="O16" s="8"/>
      <c r="P16" s="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v>79559500</v>
      </c>
      <c r="AL16" s="10">
        <v>76100000</v>
      </c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9"/>
      <c r="BH16" s="9"/>
      <c r="BI16" s="9"/>
      <c r="BJ16" s="9"/>
      <c r="BK16" s="9">
        <f>SUM(M16,N16,Q16,R16,S16,T16,U16,V16,W16,X16,Y16,Z16,AA16,AB16,AC16,AD16,AE16,AF16,AG16,AH16,AI16,AJ16,AK16,AL16,AM16,AN16,AO16,AP16,AQ16,AR16,AS16,AT16,AU16,AV16,AW16,AX16,AY16,AZ16,BA16,BB16,BC16,BD16,BE16,BF16,BG16,BH16,BI16,BJ16)</f>
      </c>
      <c r="BL16" s="9">
        <f>I16-BK16</f>
      </c>
      <c r="BM16" s="9">
        <f>BL16-BN16-BO16-BP16-BQ16</f>
      </c>
      <c r="BN16" s="9"/>
      <c r="BO16" s="9"/>
      <c r="BP16" s="9"/>
      <c r="BQ16" s="9"/>
      <c r="BR16" s="8"/>
      <c r="BS16" t="inlineStr" s="8">
        <is>
          <t>2023-07-04</t>
        </is>
      </c>
      <c r="BT16" t="inlineStr" s="8">
        <is>
          <t>2023-07-31</t>
        </is>
      </c>
      <c r="BU16" s="8"/>
      <c r="BV16" s="8"/>
      <c r="BW16" s="8"/>
      <c r="BX16" s="8"/>
      <c r="BY16" s="8"/>
      <c r="BZ16" s="8"/>
      <c r="CA16" s="8"/>
      <c r="CB16" s="9"/>
      <c r="CC16" s="9"/>
      <c r="CD16" t="inlineStr" s="8">
        <is>
          <t>3166481894</t>
        </is>
      </c>
      <c r="CE16" t="inlineStr" s="8">
        <is>
          <t>rogers.john.75630999@example.com</t>
        </is>
      </c>
      <c r="CF16" t="inlineStr" s="8">
        <is>
          <t>PANTHER PINK CEL: 3166481983</t>
        </is>
      </c>
      <c r="CG16" s="8"/>
    </row>
    <row r="17" ht="12.75" customHeight="1">
      <c r="A17" t="inlineStr" s="8">
        <is>
          <t>60007919106876</t>
        </is>
      </c>
      <c r="B17" s="8"/>
      <c r="C17" t="inlineStr" s="8">
        <is>
          <t>206</t>
        </is>
      </c>
      <c r="D17" s="9">
        <v>55.20</v>
      </c>
      <c r="E17" t="inlineStr" s="8">
        <is>
          <t>75640154</t>
        </is>
      </c>
      <c r="F17" t="inlineStr" s="8">
        <is>
          <t>BUFFAY LUCAS</t>
        </is>
      </c>
      <c r="G17" t="inlineStr" s="8">
        <is>
          <t>ROMANOFF SANDY</t>
        </is>
      </c>
      <c r="H17" t="inlineStr" s="8">
        <is>
          <t>BANCOLOMBIA</t>
        </is>
      </c>
      <c r="I17" s="9">
        <v>192172500.00</v>
      </c>
      <c r="J17" t="inlineStr" s="8">
        <is>
          <t>NCR6353CR</t>
        </is>
      </c>
      <c r="K17" t="inlineStr" s="8">
        <is>
          <t>NCR6347 - NCR6348 - NCR6352 - NCR6351 - NCR6349 - NCR6350 - NCR6346 - NCR6345 - NCR6344</t>
        </is>
      </c>
      <c r="L17" t="inlineStr" s="8">
        <is>
          <t>FEB.10/22F - MAR.6/22F - JUN.19/22F - SEP.18/22F - SEP.20/22F - ENE.12/23F - ABR.14/23F - ABR.19/23F - JUN.12/23F</t>
        </is>
      </c>
      <c r="M17" s="9"/>
      <c r="N17" s="9"/>
      <c r="O17" t="inlineStr" s="8">
        <is>
          <t>JUL.12/22</t>
        </is>
      </c>
      <c r="P17" s="8"/>
      <c r="Q17" s="10"/>
      <c r="R17" s="10">
        <v>14375000</v>
      </c>
      <c r="S17" s="10">
        <v>336000</v>
      </c>
      <c r="T17" s="10"/>
      <c r="U17" s="10"/>
      <c r="V17" s="10">
        <v>1814500</v>
      </c>
      <c r="W17" s="10"/>
      <c r="X17" s="10"/>
      <c r="Y17" s="10">
        <f>1276000+873000</f>
      </c>
      <c r="Z17" s="10"/>
      <c r="AA17" s="10"/>
      <c r="AB17" s="10"/>
      <c r="AC17" s="10">
        <v>7994000</v>
      </c>
      <c r="AD17" s="10"/>
      <c r="AE17" s="10"/>
      <c r="AF17" s="10">
        <f>13031000+4702000</f>
      </c>
      <c r="AG17" s="10"/>
      <c r="AH17" s="10">
        <v>22771000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9">
        <v>110000000</v>
      </c>
      <c r="BH17" s="9"/>
      <c r="BI17" s="9"/>
      <c r="BJ17" s="9"/>
      <c r="BK17" s="9">
        <f>SUM(M17,N17,Q17,R17,S17,T17,U17,V17,W17,X17,Y17,Z17,AA17,AB17,AC17,AD17,AE17,AF17,AG17,AH17,AI17,AJ17,AK17,AL17,AM17,AN17,AO17,AP17,AQ17,AR17,AS17,AT17,AU17,AV17,AW17,AX17,AY17,AZ17,BA17,BB17,BC17,BD17,BE17,BF17,BG17,BH17,BI17,BJ17)</f>
      </c>
      <c r="BL17" s="9">
        <f>I17-BK17</f>
      </c>
      <c r="BM17" s="9">
        <f>BL17-BN17-BO17-BP17-BQ17</f>
      </c>
      <c r="BN17" s="9"/>
      <c r="BO17" s="9"/>
      <c r="BP17" s="9"/>
      <c r="BQ17" s="9"/>
      <c r="BR17" s="8"/>
      <c r="BS17" t="inlineStr" s="8">
        <is>
          <t>2022-03-11</t>
        </is>
      </c>
      <c r="BT17" t="inlineStr" s="8">
        <is>
          <t>2022-04-13</t>
        </is>
      </c>
      <c r="BU17" t="inlineStr" s="8">
        <is>
          <t>2023-07-18</t>
        </is>
      </c>
      <c r="BV17" s="8"/>
      <c r="BW17" s="8"/>
      <c r="BX17" s="8"/>
      <c r="BY17" s="8"/>
      <c r="BZ17" s="8"/>
      <c r="CA17" s="8"/>
      <c r="CB17" s="9"/>
      <c r="CC17" s="9"/>
      <c r="CD17" t="inlineStr" s="8">
        <is>
          <t>3166482697</t>
        </is>
      </c>
      <c r="CE17" t="inlineStr" s="8">
        <is>
          <t>buffay.lucas.75640154@example.com</t>
        </is>
      </c>
      <c r="CF17" t="inlineStr" s="8">
        <is>
          <t>MOUSE MICKEY CEL: 3166483744</t>
        </is>
      </c>
      <c r="CG17" s="8"/>
    </row>
    <row r="18" ht="12.75" customHeight="1">
      <c r="A18" t="inlineStr" s="8">
        <is>
          <t>60007919107135</t>
        </is>
      </c>
      <c r="B18" s="8"/>
      <c r="C18" t="inlineStr" s="8">
        <is>
          <t>207</t>
        </is>
      </c>
      <c r="D18" s="9">
        <v>55.20</v>
      </c>
      <c r="E18" t="inlineStr" s="8">
        <is>
          <t>75650834</t>
        </is>
      </c>
      <c r="F18" t="inlineStr" s="8">
        <is>
          <t>SINCLAIR RON</t>
        </is>
      </c>
      <c r="G18" t="inlineStr" s="8">
        <is>
          <t>WATSON MIKE</t>
        </is>
      </c>
      <c r="H18" t="inlineStr" s="8">
        <is>
          <t>BANCO DE OCCIDENTE</t>
        </is>
      </c>
      <c r="I18" s="9">
        <v>192172500.00</v>
      </c>
      <c r="J18" t="inlineStr" s="8">
        <is>
          <t>NCR6355 - NCR6363 - NCR6364CR</t>
        </is>
      </c>
      <c r="K18" t="inlineStr" s="8">
        <is>
          <t>NCR6362 - NCR6358 - NCR6360 - NCR6359 - NCR6356 - NCR6357 - NCR6361</t>
        </is>
      </c>
      <c r="L18" t="inlineStr" s="8">
        <is>
          <t>OCT.9/22F - NOV.21/22F - DIC.4/22F - DIC.7/22F - JUN.12/23 - JUN.13/23F - JUN.13/23 - JUN.25/23F - AGO.21/23F</t>
        </is>
      </c>
      <c r="M18" s="9">
        <f>604500+7725000</f>
      </c>
      <c r="N18" s="9"/>
      <c r="O18" t="inlineStr" s="8">
        <is>
          <t>FEB.3/23</t>
        </is>
      </c>
      <c r="P18" s="8"/>
      <c r="Q18" s="10"/>
      <c r="R18" s="10"/>
      <c r="S18" s="10"/>
      <c r="T18" s="10"/>
      <c r="U18" s="10"/>
      <c r="V18" s="10"/>
      <c r="W18" s="10"/>
      <c r="X18" s="10"/>
      <c r="Y18" s="10"/>
      <c r="Z18" s="10">
        <v>739000</v>
      </c>
      <c r="AA18" s="10">
        <v>11957000</v>
      </c>
      <c r="AB18" s="10">
        <f>10680000+1209000</f>
      </c>
      <c r="AC18" s="10"/>
      <c r="AD18" s="10"/>
      <c r="AE18" s="10"/>
      <c r="AF18" s="10"/>
      <c r="AG18" s="10"/>
      <c r="AH18" s="10">
        <f>7590000+13905000</f>
      </c>
      <c r="AI18" s="10"/>
      <c r="AJ18" s="10">
        <v>12763000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9">
        <v>125000000</v>
      </c>
      <c r="BH18" s="9"/>
      <c r="BI18" s="9"/>
      <c r="BJ18" s="9"/>
      <c r="BK18" s="9">
        <f>SUM(M18,N18,Q18,R18,S18,T18,U18,V18,W18,X18,Y18,Z18,AA18,AB18,AC18,AD18,AE18,AF18,AG18,AH18,AI18,AJ18,AK18,AL18,AM18,AN18,AO18,AP18,AQ18,AR18,AS18,AT18,AU18,AV18,AW18,AX18,AY18,AZ18,BA18,BB18,BC18,BD18,BE18,BF18,BG18,BH18,BI18,BJ18)</f>
      </c>
      <c r="BL18" s="9">
        <f>I18-BK18</f>
      </c>
      <c r="BM18" s="9">
        <f>BL18-BN18-BO18-BP18-BQ18</f>
      </c>
      <c r="BN18" s="9"/>
      <c r="BO18" s="9"/>
      <c r="BP18" s="9"/>
      <c r="BQ18" s="9"/>
      <c r="BR18" s="8"/>
      <c r="BS18" t="inlineStr" s="8">
        <is>
          <t>2022-11-02</t>
        </is>
      </c>
      <c r="BT18" t="inlineStr" s="8">
        <is>
          <t>2023-02-01</t>
        </is>
      </c>
      <c r="BU18" t="inlineStr" s="8">
        <is>
          <t>2023-11-05</t>
        </is>
      </c>
      <c r="BV18" s="8"/>
      <c r="BW18" s="8"/>
      <c r="BX18" s="8"/>
      <c r="BY18" s="8"/>
      <c r="BZ18" s="8"/>
      <c r="CA18" s="8"/>
      <c r="CB18" s="9"/>
      <c r="CC18" s="9"/>
      <c r="CD18" t="inlineStr" s="8">
        <is>
          <t>3166484218</t>
        </is>
      </c>
      <c r="CE18" t="inlineStr" s="8">
        <is>
          <t>sinclair.ron.75650834@example.com</t>
        </is>
      </c>
      <c r="CF18" t="inlineStr" s="8">
        <is>
          <t>FLINTSTONE FRED CEL: 3166484821</t>
        </is>
      </c>
      <c r="CG18" s="8"/>
    </row>
    <row r="19" ht="12.75" customHeight="1">
      <c r="A19" t="inlineStr" s="8">
        <is>
          <t>60007919107219</t>
        </is>
      </c>
      <c r="B19" s="8"/>
      <c r="C19" t="inlineStr" s="8">
        <is>
          <t>301</t>
        </is>
      </c>
      <c r="D19" s="9">
        <v>55.20</v>
      </c>
      <c r="E19" t="inlineStr" s="8">
        <is>
          <t>75662523</t>
        </is>
      </c>
      <c r="F19" t="inlineStr" s="8">
        <is>
          <t>MARPLE LUCIFER</t>
        </is>
      </c>
      <c r="G19" s="8"/>
      <c r="H19" t="inlineStr" s="8">
        <is>
          <t>BANCO DAVIVIENDA</t>
        </is>
      </c>
      <c r="I19" s="9">
        <v>192172500.00</v>
      </c>
      <c r="J19" t="inlineStr" s="8">
        <is>
          <t>NCR6368 - NCR6370 - NCR6372 - NCR6367 - NCR6376CR</t>
        </is>
      </c>
      <c r="K19" t="inlineStr" s="8">
        <is>
          <t>NCR6369 - NCR6374 - NCR6371 - NCR6375 - NCR6365 - NCR6373 - NCR6366</t>
        </is>
      </c>
      <c r="L19" t="inlineStr" s="8">
        <is>
          <t>NOV.27/22F - ENE.24/23F - FEB.3/23F - MAY.22/23F - JUN.5/23F - JUL.3/23F - AGO.15/23F - OCT.22/23 - DIC.5/23 - DIC.14/23 - DIC.21/23</t>
        </is>
      </c>
      <c r="M19" s="9">
        <f>13695000+3464000+4601000+1137000</f>
      </c>
      <c r="N19" s="9"/>
      <c r="O19" t="inlineStr" s="8">
        <is>
          <t>ENE.17/23</t>
        </is>
      </c>
      <c r="P19" s="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>
        <v>1245000</v>
      </c>
      <c r="AB19" s="10"/>
      <c r="AC19" s="10">
        <v>3735000</v>
      </c>
      <c r="AD19" s="10">
        <v>1083000</v>
      </c>
      <c r="AE19" s="10"/>
      <c r="AF19" s="10"/>
      <c r="AG19" s="10">
        <v>865667</v>
      </c>
      <c r="AH19" s="10">
        <v>5413000</v>
      </c>
      <c r="AI19" s="10">
        <v>15752000</v>
      </c>
      <c r="AJ19" s="10">
        <v>3140000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9">
        <v>27065333</v>
      </c>
      <c r="BH19" s="9"/>
      <c r="BI19" s="9"/>
      <c r="BJ19" s="9"/>
      <c r="BK19" s="9">
        <f>SUM(M19,N19,Q19,R19,S19,T19,U19,V19,W19,X19,Y19,Z19,AA19,AB19,AC19,AD19,AE19,AF19,AG19,AH19,AI19,AJ19,AK19,AL19,AM19,AN19,AO19,AP19,AQ19,AR19,AS19,AT19,AU19,AV19,AW19,AX19,AY19,AZ19,BA19,BB19,BC19,BD19,BE19,BF19,BG19,BH19,BI19,BJ19)</f>
      </c>
      <c r="BL19" s="9">
        <f>I19-BK19</f>
      </c>
      <c r="BM19" s="9">
        <f>BL19-BN19-BO19-BP19-BQ19</f>
      </c>
      <c r="BN19" s="9"/>
      <c r="BO19" s="9"/>
      <c r="BP19" s="9"/>
      <c r="BQ19" s="9"/>
      <c r="BR19" s="8"/>
      <c r="BS19" t="inlineStr" s="8">
        <is>
          <t>2022-10-07</t>
        </is>
      </c>
      <c r="BT19" t="inlineStr" s="8">
        <is>
          <t>2022-11-18</t>
        </is>
      </c>
      <c r="BU19" s="8"/>
      <c r="BV19" s="8"/>
      <c r="BW19" s="8"/>
      <c r="BX19" s="8"/>
      <c r="BY19" s="8"/>
      <c r="BZ19" s="8"/>
      <c r="CA19" s="8"/>
      <c r="CB19" s="9"/>
      <c r="CC19" s="9"/>
      <c r="CD19" t="inlineStr" s="8">
        <is>
          <t>3166485424</t>
        </is>
      </c>
      <c r="CE19" t="inlineStr" s="8">
        <is>
          <t>marple.lucifer.75662523@example.com</t>
        </is>
      </c>
      <c r="CF19" t="inlineStr" s="8">
        <is>
          <t>PANTHER PINK CEL: 3166486028</t>
        </is>
      </c>
      <c r="CG19" s="8"/>
    </row>
    <row r="20" ht="12.75" customHeight="1">
      <c r="A20" t="inlineStr" s="8">
        <is>
          <t>60007919107293</t>
        </is>
      </c>
      <c r="B20" s="8"/>
      <c r="C20" t="inlineStr" s="8">
        <is>
          <t>302</t>
        </is>
      </c>
      <c r="D20" s="9">
        <v>55.20</v>
      </c>
      <c r="E20" t="inlineStr" s="8">
        <is>
          <t>75674476</t>
        </is>
      </c>
      <c r="F20" t="inlineStr" s="8">
        <is>
          <t>PINKMAN WILL</t>
        </is>
      </c>
      <c r="G20" t="inlineStr" s="8">
        <is>
          <t>MARPLE JESSE</t>
        </is>
      </c>
      <c r="H20" s="8"/>
      <c r="I20" s="9">
        <v>192172500.00</v>
      </c>
      <c r="J20" t="inlineStr" s="8">
        <is>
          <t>NC6377CESION</t>
        </is>
      </c>
      <c r="K20" t="inlineStr" s="8">
        <is>
          <t>NCR6379 - NCR6380 - NCR6378 - NCR6381 - NCR6382</t>
        </is>
      </c>
      <c r="L20" t="inlineStr" s="8">
        <is>
          <t>ENE.1/24F - ENE.18/24F - ENE.22/24F - JUL.26/24F - SEP.20/24F - (DIC.12/24CESION)</t>
        </is>
      </c>
      <c r="M20" s="9"/>
      <c r="N20" s="9">
        <v>12000000</v>
      </c>
      <c r="O20" s="8"/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>
        <f>17297000+12792000+88825000</f>
      </c>
      <c r="AP20" s="10"/>
      <c r="AQ20" s="10"/>
      <c r="AR20" s="10"/>
      <c r="AS20" s="10"/>
      <c r="AT20" s="10"/>
      <c r="AU20" s="10">
        <v>13513000</v>
      </c>
      <c r="AV20" s="10"/>
      <c r="AW20" s="10">
        <v>47745500</v>
      </c>
      <c r="AX20" s="10"/>
      <c r="AY20" s="10"/>
      <c r="AZ20" s="10"/>
      <c r="BA20" s="10"/>
      <c r="BB20" s="10"/>
      <c r="BC20" s="10"/>
      <c r="BD20" s="10"/>
      <c r="BE20" s="10"/>
      <c r="BF20" s="10"/>
      <c r="BG20" s="9"/>
      <c r="BH20" s="9"/>
      <c r="BI20" s="9"/>
      <c r="BJ20" s="9"/>
      <c r="BK20" s="9">
        <f>SUM(M20,N20,Q20,R20,S20,T20,U20,V20,W20,X20,Y20,Z20,AA20,AB20,AC20,AD20,AE20,AF20,AG20,AH20,AI20,AJ20,AK20,AL20,AM20,AN20,AO20,AP20,AQ20,AR20,AS20,AT20,AU20,AV20,AW20,AX20,AY20,AZ20,BA20,BB20,BC20,BD20,BE20,BF20,BG20,BH20,BI20,BJ20)</f>
      </c>
      <c r="BL20" s="9">
        <f>I20-BK20</f>
      </c>
      <c r="BM20" s="9">
        <f>BL20-BN20-BO20-BP20-BQ20</f>
      </c>
      <c r="BN20" s="9"/>
      <c r="BO20" s="9"/>
      <c r="BP20" s="9"/>
      <c r="BQ20" s="9"/>
      <c r="BR20" s="8"/>
      <c r="BS20" t="inlineStr" s="8">
        <is>
          <t>2024-04-06</t>
        </is>
      </c>
      <c r="BT20" t="inlineStr" s="8">
        <is>
          <t>2024-05-14</t>
        </is>
      </c>
      <c r="BU20" s="8"/>
      <c r="BV20" s="8"/>
      <c r="BW20" s="8"/>
      <c r="BX20" s="8"/>
      <c r="BY20" s="8"/>
      <c r="BZ20" s="8"/>
      <c r="CA20" s="8"/>
      <c r="CB20" s="9"/>
      <c r="CC20" s="9"/>
      <c r="CD20" t="inlineStr" s="8">
        <is>
          <t>3166487145</t>
        </is>
      </c>
      <c r="CE20" t="inlineStr" s="8">
        <is>
          <t>pinkman.will.75674476@example.com</t>
        </is>
      </c>
      <c r="CF20" t="inlineStr" s="8">
        <is>
          <t>JETSON GEORGE CEL: 3166487653</t>
        </is>
      </c>
      <c r="CG20" s="8"/>
    </row>
    <row r="21" ht="12.75" customHeight="1">
      <c r="A21" t="inlineStr" s="8">
        <is>
          <t>60007919107424</t>
        </is>
      </c>
      <c r="B21" s="8"/>
      <c r="C21" t="inlineStr" s="8">
        <is>
          <t>303</t>
        </is>
      </c>
      <c r="D21" s="9">
        <v>55.20</v>
      </c>
      <c r="E21" t="inlineStr" s="8">
        <is>
          <t>75692028</t>
        </is>
      </c>
      <c r="F21" t="inlineStr" s="8">
        <is>
          <t>WATSON CLEVELAND</t>
        </is>
      </c>
      <c r="G21" s="8"/>
      <c r="H21" t="inlineStr" s="8">
        <is>
          <t>BANCO DE OCCIDENTE</t>
        </is>
      </c>
      <c r="I21" s="9">
        <v>192172500.00</v>
      </c>
      <c r="J21" t="inlineStr" s="8">
        <is>
          <t>NC6383CESION - NCR6388 - NCR6391CR</t>
        </is>
      </c>
      <c r="K21" t="inlineStr" s="8">
        <is>
          <t>NCR6385 - NCR6384 - NCR6389 - NCR6387 - NCR6390 - NCR6386</t>
        </is>
      </c>
      <c r="L21" t="inlineStr" s="8">
        <is>
          <t>(MAR.4/23CESION) - MAR.12/23F - NOV.6/23 - DIC.7/23F - FEB.22/24F - MAR.13/24F - ABR.2/24F - MAY.9/24F</t>
        </is>
      </c>
      <c r="M21" s="9">
        <v>342000</v>
      </c>
      <c r="N21" s="9">
        <v>15000000</v>
      </c>
      <c r="O21" t="inlineStr" s="8">
        <is>
          <t>DIC.23/23</t>
        </is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344000</v>
      </c>
      <c r="AF21" s="10"/>
      <c r="AG21" s="10"/>
      <c r="AH21" s="10"/>
      <c r="AI21" s="10"/>
      <c r="AJ21" s="10"/>
      <c r="AK21" s="10"/>
      <c r="AL21" s="10"/>
      <c r="AM21" s="10"/>
      <c r="AN21" s="10">
        <v>470000</v>
      </c>
      <c r="AO21" s="10"/>
      <c r="AP21" s="10">
        <v>124000</v>
      </c>
      <c r="AQ21" s="10">
        <v>206000</v>
      </c>
      <c r="AR21" s="10">
        <v>180000</v>
      </c>
      <c r="AS21" s="10">
        <v>759000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9">
        <v>65000000</v>
      </c>
      <c r="BH21" s="9"/>
      <c r="BI21" s="9"/>
      <c r="BJ21" s="9"/>
      <c r="BK21" s="9">
        <f>SUM(M21,N21,Q21,R21,S21,T21,U21,V21,W21,X21,Y21,Z21,AA21,AB21,AC21,AD21,AE21,AF21,AG21,AH21,AI21,AJ21,AK21,AL21,AM21,AN21,AO21,AP21,AQ21,AR21,AS21,AT21,AU21,AV21,AW21,AX21,AY21,AZ21,BA21,BB21,BC21,BD21,BE21,BF21,BG21,BH21,BI21,BJ21)</f>
      </c>
      <c r="BL21" s="9">
        <f>I21-BK21</f>
      </c>
      <c r="BM21" s="9">
        <f>BL21-BN21-BO21-BP21-BQ21</f>
      </c>
      <c r="BN21" s="9"/>
      <c r="BO21" s="9"/>
      <c r="BP21" s="9"/>
      <c r="BQ21" s="9"/>
      <c r="BR21" s="8"/>
      <c r="BS21" t="inlineStr" s="8">
        <is>
          <t>2022-10-29</t>
        </is>
      </c>
      <c r="BT21" t="inlineStr" s="8">
        <is>
          <t>2023-02-09</t>
        </is>
      </c>
      <c r="BU21" s="8"/>
      <c r="BV21" s="8"/>
      <c r="BW21" s="8"/>
      <c r="BX21" s="8"/>
      <c r="BY21" s="8"/>
      <c r="BZ21" s="8"/>
      <c r="CA21" s="8"/>
      <c r="CB21" s="9"/>
      <c r="CC21" s="9"/>
      <c r="CD21" t="inlineStr" s="8">
        <is>
          <t>3166488834</t>
        </is>
      </c>
      <c r="CE21" t="inlineStr" s="8">
        <is>
          <t>watson.cleveland.75692028@example.com</t>
        </is>
      </c>
      <c r="CF21" t="inlineStr" s="8">
        <is>
          <t>MOUSE MINNIE CEL: 3166489425</t>
        </is>
      </c>
      <c r="CG21" t="inlineStr" s="8">
        <is>
          <t>NC6383 MAR.4/23 CESION DE LUCAS TENTACLES A CLEVELAND WATSON *ANTIC $15.000.000 *ARRAS $4'640</t>
        </is>
      </c>
    </row>
    <row r="22" ht="12.75" customHeight="1">
      <c r="A22" t="inlineStr" s="8">
        <is>
          <t>60007919107558</t>
        </is>
      </c>
      <c r="B22" s="8"/>
      <c r="C22" t="inlineStr" s="8">
        <is>
          <t>304</t>
        </is>
      </c>
      <c r="D22" s="9">
        <v>55.20</v>
      </c>
      <c r="E22" t="inlineStr" s="8">
        <is>
          <t>75695056</t>
        </is>
      </c>
      <c r="F22" t="inlineStr" s="8">
        <is>
          <t>BAGGINS PETER</t>
        </is>
      </c>
      <c r="G22" s="8"/>
      <c r="H22" t="inlineStr" s="8">
        <is>
          <t>BANCOLOMBIA</t>
        </is>
      </c>
      <c r="I22" s="9">
        <v>192172500.00</v>
      </c>
      <c r="J22" t="inlineStr" s="8">
        <is>
          <t>NCR6398 - NCR6402CR</t>
        </is>
      </c>
      <c r="K22" t="inlineStr" s="8">
        <is>
          <t>NCR6397 - NCR6400 - NCR6399 - NCR6401 - NCR6396 - NCR6394 - NCR6393 - NCR6395</t>
        </is>
      </c>
      <c r="L22" t="inlineStr" s="8">
        <is>
          <t>ABR.10/23F - JUN.8/23F - SEP.27/23 - DIC.9/23F - DIC.26/23F - ENE.5/24F - ENE.11/24F - ENE.18/24F - ENE.19/24F</t>
        </is>
      </c>
      <c r="M22" s="9">
        <v>3335000</v>
      </c>
      <c r="N22" s="9"/>
      <c r="O22" t="inlineStr" s="8">
        <is>
          <t>SEP.26/23</t>
        </is>
      </c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>
        <v>13669000</v>
      </c>
      <c r="AG22" s="10"/>
      <c r="AH22" s="10">
        <v>1276000</v>
      </c>
      <c r="AI22" s="10"/>
      <c r="AJ22" s="10"/>
      <c r="AK22" s="10"/>
      <c r="AL22" s="10"/>
      <c r="AM22" s="10"/>
      <c r="AN22" s="10">
        <f>4529000+11652500</f>
      </c>
      <c r="AO22" s="10">
        <f>823000+1894000+2182000+1812000</f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9">
        <v>125000000</v>
      </c>
      <c r="BH22" s="9"/>
      <c r="BI22" s="9"/>
      <c r="BJ22" s="9"/>
      <c r="BK22" s="9">
        <f>SUM(M22,N22,Q22,R22,S22,T22,U22,V22,W22,X22,Y22,Z22,AA22,AB22,AC22,AD22,AE22,AF22,AG22,AH22,AI22,AJ22,AK22,AL22,AM22,AN22,AO22,AP22,AQ22,AR22,AS22,AT22,AU22,AV22,AW22,AX22,AY22,AZ22,BA22,BB22,BC22,BD22,BE22,BF22,BG22,BH22,BI22,BJ22)</f>
      </c>
      <c r="BL22" s="9">
        <f>I22-BK22</f>
      </c>
      <c r="BM22" s="9">
        <f>BL22-BN22-BO22-BP22-BQ22</f>
      </c>
      <c r="BN22" s="9"/>
      <c r="BO22" s="9"/>
      <c r="BP22" s="9"/>
      <c r="BQ22" s="9"/>
      <c r="BR22" s="8"/>
      <c r="BS22" t="inlineStr" s="8">
        <is>
          <t>2023-06-17</t>
        </is>
      </c>
      <c r="BT22" t="inlineStr" s="8">
        <is>
          <t>2023-08-07</t>
        </is>
      </c>
      <c r="BU22" s="8"/>
      <c r="BV22" s="8"/>
      <c r="BW22" s="8"/>
      <c r="BX22" s="8"/>
      <c r="BY22" s="8"/>
      <c r="BZ22" s="8"/>
      <c r="CA22" s="8"/>
      <c r="CB22" s="9"/>
      <c r="CC22" s="9"/>
      <c r="CD22" t="inlineStr" s="8">
        <is>
          <t>3166489964</t>
        </is>
      </c>
      <c r="CE22" t="inlineStr" s="8">
        <is>
          <t>baggins.peter.75695056@example.com</t>
        </is>
      </c>
      <c r="CF22" t="inlineStr" s="8">
        <is>
          <t>JETSON GEORGE CEL: 3166490763</t>
        </is>
      </c>
      <c r="CG22" s="8"/>
    </row>
    <row r="23" ht="12.75" customHeight="1">
      <c r="A23" t="inlineStr" s="8">
        <is>
          <t>60007919107610</t>
        </is>
      </c>
      <c r="B23" s="8"/>
      <c r="C23" t="inlineStr" s="8">
        <is>
          <t>305</t>
        </is>
      </c>
      <c r="D23" s="9">
        <v>55.20</v>
      </c>
      <c r="E23" t="inlineStr" s="8">
        <is>
          <t>75702469</t>
        </is>
      </c>
      <c r="F23" t="inlineStr" s="8">
        <is>
          <t>SOLO JANE</t>
        </is>
      </c>
      <c r="G23" s="8"/>
      <c r="H23" t="inlineStr" s="8">
        <is>
          <t>BANCO CAJA SOCIAL</t>
        </is>
      </c>
      <c r="I23" s="9">
        <v>192172500.00</v>
      </c>
      <c r="J23" t="inlineStr" s="8">
        <is>
          <t>NCR6408CR</t>
        </is>
      </c>
      <c r="K23" t="inlineStr" s="8">
        <is>
          <t>NCR6404 - NCR6405 - NCR6406 - NCR6407</t>
        </is>
      </c>
      <c r="L23" t="inlineStr" s="8">
        <is>
          <t>OCT.7/23F - OCT.11/23F - OCT.15/23F - OCT.17/23F</t>
        </is>
      </c>
      <c r="M23" s="9"/>
      <c r="N23" s="9"/>
      <c r="O23" t="inlineStr" s="8">
        <is>
          <t>AGO.29/24</t>
        </is>
      </c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>
        <f>83232000+10881000+4263000+13796500</f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9">
        <v>80000000</v>
      </c>
      <c r="BH23" s="9"/>
      <c r="BI23" s="9"/>
      <c r="BJ23" s="9"/>
      <c r="BK23" s="9">
        <f>SUM(M23,N23,Q23,R23,S23,T23,U23,V23,W23,X23,Y23,Z23,AA23,AB23,AC23,AD23,AE23,AF23,AG23,AH23,AI23,AJ23,AK23,AL23,AM23,AN23,AO23,AP23,AQ23,AR23,AS23,AT23,AU23,AV23,AW23,AX23,AY23,AZ23,BA23,BB23,BC23,BD23,BE23,BF23,BG23,BH23,BI23,BJ23)</f>
      </c>
      <c r="BL23" s="9">
        <f>I23-BK23</f>
      </c>
      <c r="BM23" s="9">
        <f>BL23-BN23-BO23-BP23-BQ23</f>
      </c>
      <c r="BN23" s="9"/>
      <c r="BO23" s="9"/>
      <c r="BP23" s="9"/>
      <c r="BQ23" s="9"/>
      <c r="BR23" s="8"/>
      <c r="BS23" t="inlineStr" s="8">
        <is>
          <t>2023-12-01</t>
        </is>
      </c>
      <c r="BT23" t="inlineStr" s="8">
        <is>
          <t>2024-01-12</t>
        </is>
      </c>
      <c r="BU23" s="8"/>
      <c r="BV23" s="8"/>
      <c r="BW23" s="8"/>
      <c r="BX23" s="8"/>
      <c r="BY23" s="8"/>
      <c r="BZ23" s="8"/>
      <c r="CA23" s="8"/>
      <c r="CB23" s="9"/>
      <c r="CC23" s="9"/>
      <c r="CD23" t="inlineStr" s="8">
        <is>
          <t>3166490969</t>
        </is>
      </c>
      <c r="CE23" t="inlineStr" s="8">
        <is>
          <t>solo.jane.75702469@example.com</t>
        </is>
      </c>
      <c r="CF23" t="inlineStr" s="8">
        <is>
          <t>MOUSE MICKEY CEL: 3166491526</t>
        </is>
      </c>
      <c r="CG23" s="8"/>
    </row>
    <row r="24" ht="12.75" customHeight="1">
      <c r="A24" t="inlineStr" s="8">
        <is>
          <t>60007919107660</t>
        </is>
      </c>
      <c r="B24" s="8"/>
      <c r="C24" t="inlineStr" s="8">
        <is>
          <t>306</t>
        </is>
      </c>
      <c r="D24" s="9">
        <v>55.20</v>
      </c>
      <c r="E24" t="inlineStr" s="8">
        <is>
          <t>75709205</t>
        </is>
      </c>
      <c r="F24" t="inlineStr" s="8">
        <is>
          <t>MALFOY CLEVELAND</t>
        </is>
      </c>
      <c r="G24" t="inlineStr" s="8">
        <is>
          <t>SQUAREPANTS CLINT</t>
        </is>
      </c>
      <c r="H24" t="inlineStr" s="8">
        <is>
          <t>BANCO DE BOGOTA</t>
        </is>
      </c>
      <c r="I24" s="9">
        <v>192172500.00</v>
      </c>
      <c r="J24" t="inlineStr" s="8">
        <is>
          <t>NCR6411 - NCR6410 - NCR6415CR</t>
        </is>
      </c>
      <c r="K24" t="inlineStr" s="8">
        <is>
          <t>NCR6412 - NCR6414 - NCR6409 - NCR6413</t>
        </is>
      </c>
      <c r="L24" t="inlineStr" s="8">
        <is>
          <t>JUN.15/23F - JUN.25/23F - JUL.24/23 - AGO.16/23 - DIC.18/23F - MAR.23/24F</t>
        </is>
      </c>
      <c r="M24" s="9">
        <f>20191000+4711000</f>
      </c>
      <c r="N24" s="9"/>
      <c r="O24" t="inlineStr" s="8">
        <is>
          <t>FEB.11/24</t>
        </is>
      </c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f>46664000+12900500</f>
      </c>
      <c r="AI24" s="10"/>
      <c r="AJ24" s="10"/>
      <c r="AK24" s="10"/>
      <c r="AL24" s="10"/>
      <c r="AM24" s="10"/>
      <c r="AN24" s="10">
        <v>13124000</v>
      </c>
      <c r="AO24" s="10"/>
      <c r="AP24" s="10"/>
      <c r="AQ24" s="10">
        <v>14582000</v>
      </c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9">
        <v>80000000</v>
      </c>
      <c r="BH24" s="9"/>
      <c r="BI24" s="9"/>
      <c r="BJ24" s="9"/>
      <c r="BK24" s="9">
        <f>SUM(M24,N24,Q24,R24,S24,T24,U24,V24,W24,X24,Y24,Z24,AA24,AB24,AC24,AD24,AE24,AF24,AG24,AH24,AI24,AJ24,AK24,AL24,AM24,AN24,AO24,AP24,AQ24,AR24,AS24,AT24,AU24,AV24,AW24,AX24,AY24,AZ24,BA24,BB24,BC24,BD24,BE24,BF24,BG24,BH24,BI24,BJ24)</f>
      </c>
      <c r="BL24" s="9">
        <f>I24-BK24</f>
      </c>
      <c r="BM24" s="9">
        <f>BL24-BN24-BO24-BP24-BQ24</f>
      </c>
      <c r="BN24" s="9"/>
      <c r="BO24" s="9"/>
      <c r="BP24" s="9"/>
      <c r="BQ24" s="9"/>
      <c r="BR24" s="8"/>
      <c r="BS24" t="inlineStr" s="8">
        <is>
          <t>2023-06-15</t>
        </is>
      </c>
      <c r="BT24" t="inlineStr" s="8">
        <is>
          <t>2023-09-01</t>
        </is>
      </c>
      <c r="BU24" t="inlineStr" s="8">
        <is>
          <t>2024-05-02</t>
        </is>
      </c>
      <c r="BV24" s="8"/>
      <c r="BW24" s="8"/>
      <c r="BX24" s="8"/>
      <c r="BY24" s="8"/>
      <c r="BZ24" s="8"/>
      <c r="CA24" s="8"/>
      <c r="CB24" s="9"/>
      <c r="CC24" s="9"/>
      <c r="CD24" t="inlineStr" s="8">
        <is>
          <t>3166492397</t>
        </is>
      </c>
      <c r="CE24" t="inlineStr" s="8">
        <is>
          <t>malfoy.cleveland.75709205@example.com</t>
        </is>
      </c>
      <c r="CF24" t="inlineStr" s="8">
        <is>
          <t>MOUSE MINNIE CEL: 3166492566</t>
        </is>
      </c>
      <c r="CG24" s="8"/>
    </row>
    <row r="25" ht="12.75" customHeight="1">
      <c r="A25" t="inlineStr" s="8">
        <is>
          <t>60007919107754</t>
        </is>
      </c>
      <c r="B25" s="8"/>
      <c r="C25" t="inlineStr" s="8">
        <is>
          <t>307</t>
        </is>
      </c>
      <c r="D25" s="9">
        <v>55.20</v>
      </c>
      <c r="E25" t="inlineStr" s="8">
        <is>
          <t>75719075</t>
        </is>
      </c>
      <c r="F25" t="inlineStr" s="8">
        <is>
          <t>MARPLE MAGGIE</t>
        </is>
      </c>
      <c r="G25" s="8"/>
      <c r="H25" t="inlineStr" s="8">
        <is>
          <t>BANCOLOMBIA</t>
        </is>
      </c>
      <c r="I25" s="9">
        <v>192172500.00</v>
      </c>
      <c r="J25" t="inlineStr" s="8">
        <is>
          <t>NCR6431CR</t>
        </is>
      </c>
      <c r="K25" t="inlineStr" s="8">
        <is>
          <t>NCR6428 - NCR6423 - NCR6425 - NCR6426 - NCR6420 - NCR6424 - NCR6418 - NCR6417 - NCR6421 - NCR6430 - NCR6427 - NCR6429 - NCR6419 - NCR6422</t>
        </is>
      </c>
      <c r="L25" t="inlineStr" s="8">
        <is>
          <t>SEP.19/22F - OCT.17/22F - OCT.28/22F - NOV.14/22F - DIC.25/22F - ENE.22/23F - FEB.1/23F - FEB.16/23F - MAR.25/23F - ABR.8/23F - ABR.10/23F - ABR.16/23F - ABR.17/23F - ABR.19/23F</t>
        </is>
      </c>
      <c r="M25" s="9"/>
      <c r="N25" s="9"/>
      <c r="O25" t="inlineStr" s="8">
        <is>
          <t>ENE.11/23</t>
        </is>
      </c>
      <c r="P25" s="8"/>
      <c r="Q25" s="10"/>
      <c r="R25" s="10"/>
      <c r="S25" s="10"/>
      <c r="T25" s="10"/>
      <c r="U25" s="10"/>
      <c r="V25" s="10"/>
      <c r="W25" s="10"/>
      <c r="X25" s="10"/>
      <c r="Y25" s="10">
        <v>5384000</v>
      </c>
      <c r="Z25" s="10">
        <f>9310000+16377000</f>
      </c>
      <c r="AA25" s="10">
        <v>13909000</v>
      </c>
      <c r="AB25" s="10">
        <v>1458000</v>
      </c>
      <c r="AC25" s="10">
        <v>8974000</v>
      </c>
      <c r="AD25" s="10">
        <f>9422000+3141000</f>
      </c>
      <c r="AE25" s="10">
        <v>337000</v>
      </c>
      <c r="AF25" s="10">
        <f>4151500+23556000+561000+11778000+3814000</f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9">
        <v>80000000</v>
      </c>
      <c r="BH25" s="9"/>
      <c r="BI25" s="9"/>
      <c r="BJ25" s="9"/>
      <c r="BK25" s="9">
        <f>SUM(M25,N25,Q25,R25,S25,T25,U25,V25,W25,X25,Y25,Z25,AA25,AB25,AC25,AD25,AE25,AF25,AG25,AH25,AI25,AJ25,AK25,AL25,AM25,AN25,AO25,AP25,AQ25,AR25,AS25,AT25,AU25,AV25,AW25,AX25,AY25,AZ25,BA25,BB25,BC25,BD25,BE25,BF25,BG25,BH25,BI25,BJ25)</f>
      </c>
      <c r="BL25" s="9">
        <f>I25-BK25</f>
      </c>
      <c r="BM25" s="9">
        <f>BL25-BN25-BO25-BP25-BQ25</f>
      </c>
      <c r="BN25" s="9"/>
      <c r="BO25" s="9"/>
      <c r="BP25" s="9"/>
      <c r="BQ25" s="9"/>
      <c r="BR25" s="8"/>
      <c r="BS25" t="inlineStr" s="8">
        <is>
          <t>2022-09-26</t>
        </is>
      </c>
      <c r="BT25" t="inlineStr" s="8">
        <is>
          <t>2022-10-30</t>
        </is>
      </c>
      <c r="BU25" t="inlineStr" s="8">
        <is>
          <t>2023-06-18</t>
        </is>
      </c>
      <c r="BV25" s="8"/>
      <c r="BW25" s="8"/>
      <c r="BX25" s="8"/>
      <c r="BY25" s="8"/>
      <c r="BZ25" s="8"/>
      <c r="CA25" s="8"/>
      <c r="CB25" s="9"/>
      <c r="CC25" s="9"/>
      <c r="CD25" t="inlineStr" s="8">
        <is>
          <t>3166492987</t>
        </is>
      </c>
      <c r="CE25" t="inlineStr" s="8">
        <is>
          <t>marple.maggie.75719075@example.com</t>
        </is>
      </c>
      <c r="CF25" t="inlineStr" s="8">
        <is>
          <t>BUNNY BUGS CEL: 3166493261</t>
        </is>
      </c>
      <c r="CG25" s="8"/>
    </row>
    <row r="26" ht="12.75" customHeight="1">
      <c r="A26" t="inlineStr" s="8">
        <is>
          <t>60007919107857</t>
        </is>
      </c>
      <c r="B26" s="8"/>
      <c r="C26" t="inlineStr" s="8">
        <is>
          <t>401</t>
        </is>
      </c>
      <c r="D26" s="9">
        <v>55.20</v>
      </c>
      <c r="E26" t="inlineStr" s="8">
        <is>
          <t>75726043</t>
        </is>
      </c>
      <c r="F26" t="inlineStr" s="8">
        <is>
          <t>POTTER LOIS</t>
        </is>
      </c>
      <c r="G26" s="8"/>
      <c r="H26" t="inlineStr" s="8">
        <is>
          <t>BANCO CAJA SOCIAL</t>
        </is>
      </c>
      <c r="I26" s="9">
        <v>192172500.00</v>
      </c>
      <c r="J26" t="inlineStr" s="8">
        <is>
          <t>NCR6438 - NCR6437 - NCR6439 - NCR6440 - NCR6441 - NCR6442CR</t>
        </is>
      </c>
      <c r="K26" t="inlineStr" s="8">
        <is>
          <t>NCR6435 - NCR6436 - NCR6432 - NCR6434 - NCR6433</t>
        </is>
      </c>
      <c r="L26" t="inlineStr" s="8">
        <is>
          <t>JUL.11/22F - JUL.25/22F - OCT.27/22F - DIC.4/22F - MAR.27/23F - JUN.20/23 - JUL.1/23 - JUL.2/23 - JUL.7/23 - JUL.10/23</t>
        </is>
      </c>
      <c r="M26" s="9">
        <f>4701000+12812000+12167000+22674500+2304000</f>
      </c>
      <c r="N26" s="9"/>
      <c r="O26" t="inlineStr" s="8">
        <is>
          <t>MAR.15/23</t>
        </is>
      </c>
      <c r="P26" s="8"/>
      <c r="Q26" s="10"/>
      <c r="R26" s="10"/>
      <c r="S26" s="10"/>
      <c r="T26" s="10"/>
      <c r="U26" s="10"/>
      <c r="V26" s="10"/>
      <c r="W26" s="10">
        <f>8480000+10323000</f>
      </c>
      <c r="X26" s="10"/>
      <c r="Y26" s="10"/>
      <c r="Z26" s="10">
        <v>830000</v>
      </c>
      <c r="AA26" s="10"/>
      <c r="AB26" s="10">
        <v>10139000</v>
      </c>
      <c r="AC26" s="10"/>
      <c r="AD26" s="10"/>
      <c r="AE26" s="10">
        <v>7742000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9">
        <v>80000000</v>
      </c>
      <c r="BH26" s="9"/>
      <c r="BI26" s="9"/>
      <c r="BJ26" s="9"/>
      <c r="BK26" s="9">
        <f>SUM(M26,N26,Q26,R26,S26,T26,U26,V26,W26,X26,Y26,Z26,AA26,AB26,AC26,AD26,AE26,AF26,AG26,AH26,AI26,AJ26,AK26,AL26,AM26,AN26,AO26,AP26,AQ26,AR26,AS26,AT26,AU26,AV26,AW26,AX26,AY26,AZ26,BA26,BB26,BC26,BD26,BE26,BF26,BG26,BH26,BI26,BJ26)</f>
      </c>
      <c r="BL26" s="9">
        <f>I26-BK26</f>
      </c>
      <c r="BM26" s="9">
        <f>BL26-BN26-BO26-BP26-BQ26</f>
      </c>
      <c r="BN26" s="9"/>
      <c r="BO26" s="9"/>
      <c r="BP26" s="9"/>
      <c r="BQ26" s="9"/>
      <c r="BR26" s="8"/>
      <c r="BS26" t="inlineStr" s="8">
        <is>
          <t>2022-05-06</t>
        </is>
      </c>
      <c r="BT26" t="inlineStr" s="8">
        <is>
          <t>2022-08-22</t>
        </is>
      </c>
      <c r="BU26" t="inlineStr" s="8">
        <is>
          <t>2023-08-26</t>
        </is>
      </c>
      <c r="BV26" s="8"/>
      <c r="BW26" s="8"/>
      <c r="BX26" s="8"/>
      <c r="BY26" s="8"/>
      <c r="BZ26" s="8"/>
      <c r="CA26" s="8"/>
      <c r="CB26" s="9"/>
      <c r="CC26" s="9"/>
      <c r="CD26" t="inlineStr" s="8">
        <is>
          <t>3166493637</t>
        </is>
      </c>
      <c r="CE26" t="inlineStr" s="8">
        <is>
          <t>potter.lois.75726043@example.com</t>
        </is>
      </c>
      <c r="CF26" t="inlineStr" s="8">
        <is>
          <t>BUNNY BUGS CEL: 3166493880</t>
        </is>
      </c>
      <c r="CG26" s="8"/>
    </row>
    <row r="27" ht="12.75" customHeight="1">
      <c r="A27" t="inlineStr" s="8">
        <is>
          <t>60007919107993</t>
        </is>
      </c>
      <c r="B27" s="8"/>
      <c r="C27" t="inlineStr" s="8">
        <is>
          <t>402</t>
        </is>
      </c>
      <c r="D27" s="9">
        <v>55.20</v>
      </c>
      <c r="E27" t="inlineStr" s="8">
        <is>
          <t>75733385</t>
        </is>
      </c>
      <c r="F27" t="inlineStr" s="8">
        <is>
          <t>DECKER HARRY</t>
        </is>
      </c>
      <c r="G27" s="8"/>
      <c r="H27" t="inlineStr" s="8">
        <is>
          <t>BANCOLOMBIA</t>
        </is>
      </c>
      <c r="I27" s="9">
        <v>192172500.00</v>
      </c>
      <c r="J27" t="inlineStr" s="8">
        <is>
          <t>NCR6445 - NCR6444 - NCR6446 - NCR6448CR</t>
        </is>
      </c>
      <c r="K27" t="inlineStr" s="8">
        <is>
          <t>NCR6447</t>
        </is>
      </c>
      <c r="L27" t="inlineStr" s="8">
        <is>
          <t>NOV.13/23 - NOV.18/23 - DIC.2/23 - AGO.22/24F</t>
        </is>
      </c>
      <c r="M27" s="9">
        <f>6628000+4269000+9718000</f>
      </c>
      <c r="N27" s="9"/>
      <c r="O27" t="inlineStr" s="8">
        <is>
          <t>ABR.18/24</t>
        </is>
      </c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>
        <v>35557500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9">
        <v>110000000</v>
      </c>
      <c r="BH27" s="9"/>
      <c r="BI27" s="9"/>
      <c r="BJ27" s="9"/>
      <c r="BK27" s="9">
        <f>SUM(M27,N27,Q27,R27,S27,T27,U27,V27,W27,X27,Y27,Z27,AA27,AB27,AC27,AD27,AE27,AF27,AG27,AH27,AI27,AJ27,AK27,AL27,AM27,AN27,AO27,AP27,AQ27,AR27,AS27,AT27,AU27,AV27,AW27,AX27,AY27,AZ27,BA27,BB27,BC27,BD27,BE27,BF27,BG27,BH27,BI27,BJ27)</f>
      </c>
      <c r="BL27" s="9">
        <f>I27-BK27</f>
      </c>
      <c r="BM27" s="9">
        <f>BL27-BN27-BO27-BP27-BQ27</f>
      </c>
      <c r="BN27" s="9"/>
      <c r="BO27" s="9"/>
      <c r="BP27" s="9"/>
      <c r="BQ27" s="9"/>
      <c r="BR27" s="8"/>
      <c r="BS27" t="inlineStr" s="8">
        <is>
          <t>2023-10-14</t>
        </is>
      </c>
      <c r="BT27" t="inlineStr" s="8">
        <is>
          <t>2023-12-17</t>
        </is>
      </c>
      <c r="BU27" t="inlineStr" s="8">
        <is>
          <t>2025-02-28</t>
        </is>
      </c>
      <c r="BV27" s="8"/>
      <c r="BW27" s="8"/>
      <c r="BX27" s="8"/>
      <c r="BY27" s="8"/>
      <c r="BZ27" s="8"/>
      <c r="CA27" s="8"/>
      <c r="CB27" s="9"/>
      <c r="CC27" s="9"/>
      <c r="CD27" t="inlineStr" s="8">
        <is>
          <t>3166494737</t>
        </is>
      </c>
      <c r="CE27" t="inlineStr" s="8">
        <is>
          <t>decker.harry.75733385@example.com</t>
        </is>
      </c>
      <c r="CF27" t="inlineStr" s="8">
        <is>
          <t>DUCK DAFFY CEL: 3166494808</t>
        </is>
      </c>
      <c r="CG27" s="8"/>
    </row>
    <row r="28" ht="12.75" customHeight="1">
      <c r="A28" t="inlineStr" s="8">
        <is>
          <t>60007919108024</t>
        </is>
      </c>
      <c r="B28" s="8"/>
      <c r="C28" t="inlineStr" s="8">
        <is>
          <t>403</t>
        </is>
      </c>
      <c r="D28" s="9">
        <v>55.20</v>
      </c>
      <c r="E28" t="inlineStr" s="8">
        <is>
          <t>75737996</t>
        </is>
      </c>
      <c r="F28" t="inlineStr" s="8">
        <is>
          <t>ROGERS DWIGHT</t>
        </is>
      </c>
      <c r="G28" s="8"/>
      <c r="H28" t="inlineStr" s="8">
        <is>
          <t>BANCO DE BOGOTA</t>
        </is>
      </c>
      <c r="I28" s="9">
        <v>192172500.00</v>
      </c>
      <c r="J28" t="inlineStr" s="8">
        <is>
          <t>NCR6456 - NCR6457 - NCR6453 - NCR6455 - NCR6454 - NCR6458CR</t>
        </is>
      </c>
      <c r="K28" t="inlineStr" s="8">
        <is>
          <t>NCR6451 - NCR6452</t>
        </is>
      </c>
      <c r="L28" t="inlineStr" s="8">
        <is>
          <t>SEP.8/23 - SEP.13/23 - SEP.17/23F - OCT.27/23 - NOV.10/23 - DIC.26/23 - FEB.27/24F</t>
        </is>
      </c>
      <c r="M28" s="9">
        <f>8712500+13930000+17634000+157000+6156000</f>
      </c>
      <c r="N28" s="9"/>
      <c r="O28" t="inlineStr" s="8">
        <is>
          <t>MAR.13/24</t>
        </is>
      </c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>
        <v>887000</v>
      </c>
      <c r="AL28" s="10"/>
      <c r="AM28" s="10"/>
      <c r="AN28" s="10"/>
      <c r="AO28" s="10"/>
      <c r="AP28" s="10">
        <v>4696000</v>
      </c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9">
        <v>110000000</v>
      </c>
      <c r="BH28" s="9"/>
      <c r="BI28" s="9"/>
      <c r="BJ28" s="9"/>
      <c r="BK28" s="9">
        <f>SUM(M28,N28,Q28,R28,S28,T28,U28,V28,W28,X28,Y28,Z28,AA28,AB28,AC28,AD28,AE28,AF28,AG28,AH28,AI28,AJ28,AK28,AL28,AM28,AN28,AO28,AP28,AQ28,AR28,AS28,AT28,AU28,AV28,AW28,AX28,AY28,AZ28,BA28,BB28,BC28,BD28,BE28,BF28,BG28,BH28,BI28,BJ28)</f>
      </c>
      <c r="BL28" s="9">
        <f>I28-BK28</f>
      </c>
      <c r="BM28" s="9">
        <f>BL28-BN28-BO28-BP28-BQ28</f>
      </c>
      <c r="BN28" s="9"/>
      <c r="BO28" s="9"/>
      <c r="BP28" s="9"/>
      <c r="BQ28" s="9"/>
      <c r="BR28" s="8"/>
      <c r="BS28" t="inlineStr" s="8">
        <is>
          <t>2023-10-04</t>
        </is>
      </c>
      <c r="BT28" t="inlineStr" s="8">
        <is>
          <t>2023-10-20</t>
        </is>
      </c>
      <c r="BU28" t="inlineStr" s="8">
        <is>
          <t>2024-07-09</t>
        </is>
      </c>
      <c r="BV28" s="8"/>
      <c r="BW28" s="8"/>
      <c r="BX28" s="8"/>
      <c r="BY28" s="8"/>
      <c r="BZ28" s="8"/>
      <c r="CA28" s="8"/>
      <c r="CB28" s="9"/>
      <c r="CC28" s="9"/>
      <c r="CD28" t="inlineStr" s="8">
        <is>
          <t>3166495373</t>
        </is>
      </c>
      <c r="CE28" t="inlineStr" s="8">
        <is>
          <t>rogers.dwight.75737996@example.com</t>
        </is>
      </c>
      <c r="CF28" t="inlineStr" s="8">
        <is>
          <t>PANTHER PINK CEL: 3166495661</t>
        </is>
      </c>
      <c r="CG28" s="8"/>
    </row>
    <row r="29" ht="12.75" customHeight="1">
      <c r="A29" s="8"/>
      <c r="B29" s="8"/>
      <c r="C29" t="inlineStr" s="8">
        <is>
          <t>404</t>
        </is>
      </c>
      <c r="D29" s="9">
        <v>55.20</v>
      </c>
      <c r="E29" s="8"/>
      <c r="F29" s="8"/>
      <c r="G29" s="8"/>
      <c r="H29" s="8"/>
      <c r="I29" s="9">
        <v>192172500.00</v>
      </c>
      <c r="J29" s="8"/>
      <c r="K29" s="8"/>
      <c r="L29" s="8"/>
      <c r="M29" s="9"/>
      <c r="N29" s="9"/>
      <c r="O29" s="8"/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8"/>
      <c r="CE29" s="8"/>
      <c r="CF29" s="8"/>
      <c r="CG29" s="8"/>
    </row>
    <row r="30" ht="12.75" customHeight="1">
      <c r="A30" s="8"/>
      <c r="B30" s="8"/>
      <c r="C30" t="inlineStr" s="8">
        <is>
          <t>405</t>
        </is>
      </c>
      <c r="D30" s="9">
        <v>55.20</v>
      </c>
      <c r="E30" s="8"/>
      <c r="F30" s="8"/>
      <c r="G30" s="8"/>
      <c r="H30" t="inlineStr" s="8">
        <is>
          <t>BBVA</t>
        </is>
      </c>
      <c r="I30" s="9">
        <v>192172500.00</v>
      </c>
      <c r="J30" s="8"/>
      <c r="K30" s="8"/>
      <c r="L30" s="8"/>
      <c r="M30" s="9"/>
      <c r="N30" s="9"/>
      <c r="O30" s="8"/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8"/>
      <c r="CE30" s="8"/>
      <c r="CF30" s="8"/>
      <c r="CG30" s="8"/>
    </row>
    <row r="31" ht="12.75" customHeight="1">
      <c r="A31" t="inlineStr" s="8">
        <is>
          <t>60007919108299</t>
        </is>
      </c>
      <c r="B31" s="8"/>
      <c r="C31" t="inlineStr" s="8">
        <is>
          <t>406</t>
        </is>
      </c>
      <c r="D31" s="9">
        <v>55.20</v>
      </c>
      <c r="E31" t="inlineStr" s="8">
        <is>
          <t>75755529</t>
        </is>
      </c>
      <c r="F31" t="inlineStr" s="8">
        <is>
          <t>EHRMANTRAUT NATASHA</t>
        </is>
      </c>
      <c r="G31" s="8"/>
      <c r="H31" s="8"/>
      <c r="I31" s="9">
        <v>192172500.00</v>
      </c>
      <c r="J31" t="inlineStr" s="8">
        <is>
          <t>NCR6490</t>
        </is>
      </c>
      <c r="K31" t="inlineStr" s="8">
        <is>
          <t>NCR6489 - NCR6487 - NCR6491 - NCR6492 - NCR6485 - NCR6488 - NCR6484 - NCR6486</t>
        </is>
      </c>
      <c r="L31" t="inlineStr" s="8">
        <is>
          <t>ABR.13/24F - JUN.8/24F - AGO.3/24F - AGO.14/24F - DIC.7/24 - DIC.8/24F - DIC.11/24F - DIC.12/24F - DIC.20/24F</t>
        </is>
      </c>
      <c r="M31" s="9">
        <v>20273000</v>
      </c>
      <c r="N31" s="9"/>
      <c r="O31" s="8"/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>
        <v>5151000</v>
      </c>
      <c r="AS31" s="10"/>
      <c r="AT31" s="10">
        <v>3157000</v>
      </c>
      <c r="AU31" s="10"/>
      <c r="AV31" s="10">
        <f>18279000+8807500</f>
      </c>
      <c r="AW31" s="10"/>
      <c r="AX31" s="10"/>
      <c r="AY31" s="10"/>
      <c r="AZ31" s="10">
        <f>42540000+36226000+3490000+28249000</f>
      </c>
      <c r="BA31" s="10"/>
      <c r="BB31" s="10"/>
      <c r="BC31" s="10"/>
      <c r="BD31" s="10"/>
      <c r="BE31" s="10"/>
      <c r="BF31" s="10"/>
      <c r="BG31" s="9"/>
      <c r="BH31" s="9"/>
      <c r="BI31" s="9"/>
      <c r="BJ31" s="9"/>
      <c r="BK31" s="9">
        <f>SUM(M31,N31,Q31,R31,S31,T31,U31,V31,W31,X31,Y31,Z31,AA31,AB31,AC31,AD31,AE31,AF31,AG31,AH31,AI31,AJ31,AK31,AL31,AM31,AN31,AO31,AP31,AQ31,AR31,AS31,AT31,AU31,AV31,AW31,AX31,AY31,AZ31,BA31,BB31,BC31,BD31,BE31,BF31,BG31,BH31,BI31,BJ31)</f>
      </c>
      <c r="BL31" s="9">
        <f>I31-BK31</f>
      </c>
      <c r="BM31" s="9">
        <f>BL31-BN31-BO31-BP31-BQ31</f>
      </c>
      <c r="BN31" s="9"/>
      <c r="BO31" s="9"/>
      <c r="BP31" s="9"/>
      <c r="BQ31" s="9"/>
      <c r="BR31" s="8"/>
      <c r="BS31" t="inlineStr" s="8">
        <is>
          <t>2024-04-21</t>
        </is>
      </c>
      <c r="BT31" t="inlineStr" s="8">
        <is>
          <t>2024-07-05</t>
        </is>
      </c>
      <c r="BU31" s="8"/>
      <c r="BV31" s="8"/>
      <c r="BW31" s="8"/>
      <c r="BX31" s="8"/>
      <c r="BY31" s="8"/>
      <c r="BZ31" s="8"/>
      <c r="CA31" s="8"/>
      <c r="CB31" s="9"/>
      <c r="CC31" s="9"/>
      <c r="CD31" t="inlineStr" s="8">
        <is>
          <t>3166497543</t>
        </is>
      </c>
      <c r="CE31" t="inlineStr" s="8">
        <is>
          <t>ehrmantraut.natasha.75755529@example.com</t>
        </is>
      </c>
      <c r="CF31" t="inlineStr" s="8">
        <is>
          <t>FLINTSTONE FRED CEL: 3166497877</t>
        </is>
      </c>
      <c r="CG31" s="8"/>
    </row>
    <row r="32" ht="12.75" customHeight="1">
      <c r="A32" t="inlineStr" s="8">
        <is>
          <t>60007919108345</t>
        </is>
      </c>
      <c r="B32" s="8"/>
      <c r="C32" t="inlineStr" s="8">
        <is>
          <t>407</t>
        </is>
      </c>
      <c r="D32" s="9">
        <v>55.20</v>
      </c>
      <c r="E32" t="inlineStr" s="8">
        <is>
          <t>75764196</t>
        </is>
      </c>
      <c r="F32" t="inlineStr" s="8">
        <is>
          <t>TARGARYEN LEIA</t>
        </is>
      </c>
      <c r="G32" t="inlineStr" s="8">
        <is>
          <t>GREENLEAF OBI WAN</t>
        </is>
      </c>
      <c r="H32" t="inlineStr" s="8">
        <is>
          <t>BBVA</t>
        </is>
      </c>
      <c r="I32" s="9">
        <v>192172500.00</v>
      </c>
      <c r="J32" t="inlineStr" s="8">
        <is>
          <t>NCR6507CR</t>
        </is>
      </c>
      <c r="K32" t="inlineStr" s="8">
        <is>
          <t>NCR6503 - NCR6504 - NCR6505 - NCR6506</t>
        </is>
      </c>
      <c r="L32" t="inlineStr" s="8">
        <is>
          <t>MAY.2/24F - MAY.4/24F - JUN.21/24F - MAY.15/25F</t>
        </is>
      </c>
      <c r="M32" s="9"/>
      <c r="N32" s="9"/>
      <c r="O32" t="inlineStr" s="8">
        <is>
          <t>ENE.19/25</t>
        </is>
      </c>
      <c r="P32" s="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>
        <f>17514000+656000</f>
      </c>
      <c r="AT32" s="10">
        <v>2430000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>
        <v>17977000</v>
      </c>
      <c r="BF32" s="10"/>
      <c r="BG32" s="9">
        <v>110000000</v>
      </c>
      <c r="BH32" s="9"/>
      <c r="BI32" s="9"/>
      <c r="BJ32" s="9"/>
      <c r="BK32" s="9">
        <f>SUM(M32,N32,Q32,R32,S32,T32,U32,V32,W32,X32,Y32,Z32,AA32,AB32,AC32,AD32,AE32,AF32,AG32,AH32,AI32,AJ32,AK32,AL32,AM32,AN32,AO32,AP32,AQ32,AR32,AS32,AT32,AU32,AV32,AW32,AX32,AY32,AZ32,BA32,BB32,BC32,BD32,BE32,BF32,BG32,BH32,BI32,BJ32)</f>
      </c>
      <c r="BL32" s="9">
        <f>I32-BK32</f>
      </c>
      <c r="BM32" s="9">
        <f>BL32-BN32-BO32-BP32-BQ32</f>
      </c>
      <c r="BN32" s="9"/>
      <c r="BO32" s="9"/>
      <c r="BP32" s="9"/>
      <c r="BQ32" s="9"/>
      <c r="BR32" s="8"/>
      <c r="BS32" t="inlineStr" s="8">
        <is>
          <t>2024-03-08</t>
        </is>
      </c>
      <c r="BT32" t="inlineStr" s="8">
        <is>
          <t>2024-04-18</t>
        </is>
      </c>
      <c r="BU32" s="8"/>
      <c r="BV32" s="8"/>
      <c r="BW32" s="8"/>
      <c r="BX32" s="8"/>
      <c r="BY32" s="8"/>
      <c r="BZ32" s="8"/>
      <c r="CA32" s="8"/>
      <c r="CB32" s="9"/>
      <c r="CC32" s="9"/>
      <c r="CD32" t="inlineStr" s="8">
        <is>
          <t>3166498666</t>
        </is>
      </c>
      <c r="CE32" t="inlineStr" s="8">
        <is>
          <t>targaryen.leia.75764196@example.com</t>
        </is>
      </c>
      <c r="CF32" t="inlineStr" s="8">
        <is>
          <t>MOUSE MINNIE CEL: 3166499491</t>
        </is>
      </c>
      <c r="CG32" s="8"/>
    </row>
    <row r="33" ht="12.75" customHeight="1">
      <c r="A33" t="inlineStr" s="8">
        <is>
          <t>60007919108502</t>
        </is>
      </c>
      <c r="B33" s="8"/>
      <c r="C33" t="inlineStr" s="8">
        <is>
          <t>501</t>
        </is>
      </c>
      <c r="D33" s="9">
        <v>55.20</v>
      </c>
      <c r="E33" t="inlineStr" s="8">
        <is>
          <t>75777464</t>
        </is>
      </c>
      <c r="F33" t="inlineStr" s="8">
        <is>
          <t>WHEELER AMY</t>
        </is>
      </c>
      <c r="G33" t="inlineStr" s="8">
        <is>
          <t>MORNINGSTAR WILL</t>
        </is>
      </c>
      <c r="H33" t="inlineStr" s="8">
        <is>
          <t>BBVA</t>
        </is>
      </c>
      <c r="I33" s="9">
        <v>192172500.00</v>
      </c>
      <c r="J33" t="inlineStr" s="8">
        <is>
          <t>NCR6513 - NCR6512 - NCR6515 - NCR6517CR</t>
        </is>
      </c>
      <c r="K33" t="inlineStr" s="8">
        <is>
          <t>NCR6516 - NCR6514 - NCR6508 - NCR6511 - NCR6510 - NCR6509</t>
        </is>
      </c>
      <c r="L33" t="inlineStr" s="8">
        <is>
          <t>JUL.15/23F - AGO.4/23 - NOV.2/23 - NOV.21/23 - MAR.7/24F - ABR.3/24F - ABR.9/24F - ABR.10/24F - ABR.26/24F</t>
        </is>
      </c>
      <c r="M33" s="9">
        <f>2351000+6516000+3090000</f>
      </c>
      <c r="N33" s="9"/>
      <c r="O33" t="inlineStr" s="8">
        <is>
          <t>MAR.9/24</t>
        </is>
      </c>
      <c r="P33" s="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>
        <v>25726500</v>
      </c>
      <c r="AJ33" s="10"/>
      <c r="AK33" s="10"/>
      <c r="AL33" s="10"/>
      <c r="AM33" s="10"/>
      <c r="AN33" s="10"/>
      <c r="AO33" s="10"/>
      <c r="AP33" s="10"/>
      <c r="AQ33" s="10">
        <v>8464000</v>
      </c>
      <c r="AR33" s="10">
        <f>6717000+8262000+5374000+672000</f>
      </c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9">
        <v>125000000</v>
      </c>
      <c r="BH33" s="9"/>
      <c r="BI33" s="9"/>
      <c r="BJ33" s="9"/>
      <c r="BK33" s="9">
        <f>SUM(M33,N33,Q33,R33,S33,T33,U33,V33,W33,X33,Y33,Z33,AA33,AB33,AC33,AD33,AE33,AF33,AG33,AH33,AI33,AJ33,AK33,AL33,AM33,AN33,AO33,AP33,AQ33,AR33,AS33,AT33,AU33,AV33,AW33,AX33,AY33,AZ33,BA33,BB33,BC33,BD33,BE33,BF33,BG33,BH33,BI33,BJ33)</f>
      </c>
      <c r="BL33" s="9">
        <f>I33-BK33</f>
      </c>
      <c r="BM33" s="9">
        <f>BL33-BN33-BO33-BP33-BQ33</f>
      </c>
      <c r="BN33" s="9"/>
      <c r="BO33" s="9"/>
      <c r="BP33" s="9"/>
      <c r="BQ33" s="9"/>
      <c r="BR33" s="8"/>
      <c r="BS33" t="inlineStr" s="8">
        <is>
          <t>2023-08-08</t>
        </is>
      </c>
      <c r="BT33" t="inlineStr" s="8">
        <is>
          <t>2023-09-06</t>
        </is>
      </c>
      <c r="BU33" t="inlineStr" s="8">
        <is>
          <t>2024-12-06</t>
        </is>
      </c>
      <c r="BV33" s="8"/>
      <c r="BW33" s="8"/>
      <c r="BX33" s="8"/>
      <c r="BY33" s="8"/>
      <c r="BZ33" s="8"/>
      <c r="CA33" s="8"/>
      <c r="CB33" s="9"/>
      <c r="CC33" s="9"/>
      <c r="CD33" t="inlineStr" s="8">
        <is>
          <t>3166499912</t>
        </is>
      </c>
      <c r="CE33" t="inlineStr" s="8">
        <is>
          <t>wheeler.amy.75777464@example.com</t>
        </is>
      </c>
      <c r="CF33" t="inlineStr" s="8">
        <is>
          <t>FLINTSTONE FRED CEL: 3166501207</t>
        </is>
      </c>
      <c r="CG33" s="8"/>
    </row>
    <row r="34" ht="12.75" customHeight="1">
      <c r="A34" t="inlineStr" s="8">
        <is>
          <t>60007919108544</t>
        </is>
      </c>
      <c r="B34" s="8"/>
      <c r="C34" t="inlineStr" s="8">
        <is>
          <t>502</t>
        </is>
      </c>
      <c r="D34" s="9">
        <v>55.20</v>
      </c>
      <c r="E34" t="inlineStr" s="8">
        <is>
          <t>75789373</t>
        </is>
      </c>
      <c r="F34" t="inlineStr" s="8">
        <is>
          <t>MORNINGSTAR SAUL</t>
        </is>
      </c>
      <c r="G34" s="8"/>
      <c r="H34" s="8"/>
      <c r="I34" s="9">
        <v>192172500.00</v>
      </c>
      <c r="J34" s="8"/>
      <c r="K34" t="inlineStr" s="8">
        <is>
          <t>NCR6524 - NCR6518 - NCR6528 - NCR6530 - NCR6523 - NCR6519 - NCR6529 - NCR6527 - NCR6520 - NCR6521 - NCR6522 - NCR6526 - NCR6525</t>
        </is>
      </c>
      <c r="L34" t="inlineStr" s="8">
        <is>
          <t>FEB.16/24F - FEB.20/24F - MAR.9/24F - JUL.10/24F - JUL.23/24F - AGO.3/24F - SEP.22/24F - SEP.26/24F - NOV.12/24F - NOV.18/24F - ENE.28/25F - ABR.23/25F - JUN.14/25F</t>
        </is>
      </c>
      <c r="M34" s="9"/>
      <c r="N34" s="9"/>
      <c r="O34" s="8"/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>
        <f>2689000+1502000</f>
      </c>
      <c r="AQ34" s="10">
        <v>2800000</v>
      </c>
      <c r="AR34" s="10"/>
      <c r="AS34" s="10"/>
      <c r="AT34" s="10"/>
      <c r="AU34" s="10">
        <f>2280000+1836000</f>
      </c>
      <c r="AV34" s="10">
        <v>426000</v>
      </c>
      <c r="AW34" s="10">
        <f>2225000+2077000</f>
      </c>
      <c r="AX34" s="10"/>
      <c r="AY34" s="10">
        <f>223000+983000</f>
      </c>
      <c r="AZ34" s="10"/>
      <c r="BA34" s="10">
        <v>111000</v>
      </c>
      <c r="BB34" s="10"/>
      <c r="BC34" s="10"/>
      <c r="BD34" s="10">
        <v>426000</v>
      </c>
      <c r="BE34" s="10"/>
      <c r="BF34" s="10">
        <v>964000</v>
      </c>
      <c r="BG34" s="9"/>
      <c r="BH34" s="9"/>
      <c r="BI34" s="9"/>
      <c r="BJ34" s="9"/>
      <c r="BK34" s="9">
        <f>SUM(M34,N34,Q34,R34,S34,T34,U34,V34,W34,X34,Y34,Z34,AA34,AB34,AC34,AD34,AE34,AF34,AG34,AH34,AI34,AJ34,AK34,AL34,AM34,AN34,AO34,AP34,AQ34,AR34,AS34,AT34,AU34,AV34,AW34,AX34,AY34,AZ34,BA34,BB34,BC34,BD34,BE34,BF34,BG34,BH34,BI34,BJ34)</f>
      </c>
      <c r="BL34" s="9">
        <f>I34-BK34</f>
      </c>
      <c r="BM34" s="9">
        <f>BL34-BN34-BO34-BP34-BQ34</f>
      </c>
      <c r="BN34" s="9"/>
      <c r="BO34" s="9"/>
      <c r="BP34" s="9"/>
      <c r="BQ34" s="9"/>
      <c r="BR34" s="8"/>
      <c r="BS34" t="inlineStr" s="8">
        <is>
          <t>2024-03-03</t>
        </is>
      </c>
      <c r="BT34" t="inlineStr" s="8">
        <is>
          <t>2024-05-04</t>
        </is>
      </c>
      <c r="BU34" s="8"/>
      <c r="BV34" s="8"/>
      <c r="BW34" s="8"/>
      <c r="BX34" s="8"/>
      <c r="BY34" s="8"/>
      <c r="BZ34" s="8"/>
      <c r="CA34" s="8"/>
      <c r="CB34" s="9"/>
      <c r="CC34" s="9"/>
      <c r="CD34" t="inlineStr" s="8">
        <is>
          <t>3166501937</t>
        </is>
      </c>
      <c r="CE34" t="inlineStr" s="8">
        <is>
          <t>morningstar.saul.75789373@example.com</t>
        </is>
      </c>
      <c r="CF34" t="inlineStr" s="8">
        <is>
          <t>MOUSE MICKEY CEL: 3166502355</t>
        </is>
      </c>
      <c r="CG34" s="8"/>
    </row>
    <row r="35" ht="12.75" customHeight="1">
      <c r="A35" t="inlineStr" s="8">
        <is>
          <t>60007919108582</t>
        </is>
      </c>
      <c r="B35" s="8"/>
      <c r="C35" t="inlineStr" s="8">
        <is>
          <t>503</t>
        </is>
      </c>
      <c r="D35" s="9">
        <v>55.20</v>
      </c>
      <c r="E35" t="inlineStr" s="8">
        <is>
          <t>75794388</t>
        </is>
      </c>
      <c r="F35" t="inlineStr" s="8">
        <is>
          <t>MALFOY BRUCE</t>
        </is>
      </c>
      <c r="G35" s="8"/>
      <c r="H35" t="inlineStr" s="8">
        <is>
          <t>BBVA</t>
        </is>
      </c>
      <c r="I35" s="9">
        <v>192172500.00</v>
      </c>
      <c r="J35" t="inlineStr" s="8">
        <is>
          <t>NCR6532CR</t>
        </is>
      </c>
      <c r="K35" s="8"/>
      <c r="L35" s="8"/>
      <c r="M35" s="9"/>
      <c r="N35" s="9"/>
      <c r="O35" t="inlineStr" s="8">
        <is>
          <t>SEP.5/23</t>
        </is>
      </c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9">
        <v>2197000</v>
      </c>
      <c r="BH35" s="9"/>
      <c r="BI35" s="9"/>
      <c r="BJ35" s="9"/>
      <c r="BK35" s="9">
        <f>SUM(M35,N35,Q35,R35,S35,T35,U35,V35,W35,X35,Y35,Z35,AA35,AB35,AC35,AD35,AE35,AF35,AG35,AH35,AI35,AJ35,AK35,AL35,AM35,AN35,AO35,AP35,AQ35,AR35,AS35,AT35,AU35,AV35,AW35,AX35,AY35,AZ35,BA35,BB35,BC35,BD35,BE35,BF35,BG35,BH35,BI35,BJ35)</f>
      </c>
      <c r="BL35" s="9">
        <f>I35-BK35</f>
      </c>
      <c r="BM35" s="9">
        <f>BL35-BN35-BO35-BP35-BQ35</f>
      </c>
      <c r="BN35" s="9"/>
      <c r="BO35" s="9"/>
      <c r="BP35" s="9"/>
      <c r="BQ35" s="9"/>
      <c r="BR35" s="8"/>
      <c r="BS35" t="inlineStr" s="8">
        <is>
          <t>2022-10-13</t>
        </is>
      </c>
      <c r="BT35" t="inlineStr" s="8">
        <is>
          <t>2022-12-05</t>
        </is>
      </c>
      <c r="BU35" s="8"/>
      <c r="BV35" s="8"/>
      <c r="BW35" s="8"/>
      <c r="BX35" s="8"/>
      <c r="BY35" s="8"/>
      <c r="BZ35" s="8"/>
      <c r="CA35" s="8"/>
      <c r="CB35" s="9"/>
      <c r="CC35" s="9"/>
      <c r="CD35" t="inlineStr" s="8">
        <is>
          <t>3166502902</t>
        </is>
      </c>
      <c r="CE35" t="inlineStr" s="8">
        <is>
          <t>malfoy.bruce.75794388@example.com</t>
        </is>
      </c>
      <c r="CF35" t="inlineStr" s="8">
        <is>
          <t>MOUSE MINNIE CEL: 3166503296</t>
        </is>
      </c>
      <c r="CG35" s="8"/>
    </row>
    <row r="36" ht="12.75" customHeight="1">
      <c r="A36" t="inlineStr" s="8">
        <is>
          <t>60007919108593</t>
        </is>
      </c>
      <c r="B36" s="8"/>
      <c r="C36" t="inlineStr" s="8">
        <is>
          <t>504</t>
        </is>
      </c>
      <c r="D36" s="9">
        <v>55.20</v>
      </c>
      <c r="E36" t="inlineStr" s="8">
        <is>
          <t>75803773</t>
        </is>
      </c>
      <c r="F36" t="inlineStr" s="8">
        <is>
          <t>BARTON OBI WAN</t>
        </is>
      </c>
      <c r="G36" s="8"/>
      <c r="H36" t="inlineStr" s="8">
        <is>
          <t>BANCOLOMBIA</t>
        </is>
      </c>
      <c r="I36" s="9">
        <v>192172500.00</v>
      </c>
      <c r="J36" t="inlineStr" s="8">
        <is>
          <t>NCR6537 - NCR6543 - NCR6539 - NC6534TRASLADO - NCR6545CR</t>
        </is>
      </c>
      <c r="K36" t="inlineStr" s="8">
        <is>
          <t>NCR6535 - NCR6544 - NCR6538 - NCR6540 - NCR6536 - NCR6541 - NCR6542</t>
        </is>
      </c>
      <c r="L36" t="inlineStr" s="8">
        <is>
          <t>JUN.2/23 - JUN.6/23F - JUL.12/23 - AGO.9/23F - AGO.11/23F - OCT.13/23F - NOV.24/23 - (DIC.7/23TRASLADO) - DIC.7/23F - DIC.22/23F - JUL.18/24F</t>
        </is>
      </c>
      <c r="M36" s="9">
        <f>1063000+4577000+8296000</f>
      </c>
      <c r="N36" s="9">
        <v>20000000</v>
      </c>
      <c r="O36" t="inlineStr" s="8">
        <is>
          <t>SEP.30/23</t>
        </is>
      </c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>
        <v>1716000</v>
      </c>
      <c r="AI36" s="10"/>
      <c r="AJ36" s="10">
        <f>3228000+3760000</f>
      </c>
      <c r="AK36" s="10"/>
      <c r="AL36" s="10">
        <v>2002000</v>
      </c>
      <c r="AM36" s="10"/>
      <c r="AN36" s="10">
        <f>1798000+3801000</f>
      </c>
      <c r="AO36" s="10"/>
      <c r="AP36" s="10"/>
      <c r="AQ36" s="10"/>
      <c r="AR36" s="10"/>
      <c r="AS36" s="10"/>
      <c r="AT36" s="10"/>
      <c r="AU36" s="10">
        <v>10625000</v>
      </c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9">
        <v>65000000</v>
      </c>
      <c r="BH36" s="9"/>
      <c r="BI36" s="9"/>
      <c r="BJ36" s="9"/>
      <c r="BK36" s="9">
        <f>SUM(M36,N36,Q36,R36,S36,T36,U36,V36,W36,X36,Y36,Z36,AA36,AB36,AC36,AD36,AE36,AF36,AG36,AH36,AI36,AJ36,AK36,AL36,AM36,AN36,AO36,AP36,AQ36,AR36,AS36,AT36,AU36,AV36,AW36,AX36,AY36,AZ36,BA36,BB36,BC36,BD36,BE36,BF36,BG36,BH36,BI36,BJ36)</f>
      </c>
      <c r="BL36" s="9">
        <f>I36-BK36</f>
      </c>
      <c r="BM36" s="9">
        <f>BL36-BN36-BO36-BP36-BQ36</f>
      </c>
      <c r="BN36" s="9"/>
      <c r="BO36" s="9"/>
      <c r="BP36" s="9"/>
      <c r="BQ36" s="9"/>
      <c r="BR36" s="8"/>
      <c r="BS36" t="inlineStr" s="8">
        <is>
          <t>2022-12-17</t>
        </is>
      </c>
      <c r="BT36" t="inlineStr" s="8">
        <is>
          <t>2023-04-14</t>
        </is>
      </c>
      <c r="BU36" s="8"/>
      <c r="BV36" s="8"/>
      <c r="BW36" s="8"/>
      <c r="BX36" s="8"/>
      <c r="BY36" s="8"/>
      <c r="BZ36" s="8"/>
      <c r="CA36" s="8"/>
      <c r="CB36" s="9"/>
      <c r="CC36" s="9"/>
      <c r="CD36" t="inlineStr" s="8">
        <is>
          <t>3166504209</t>
        </is>
      </c>
      <c r="CE36" t="inlineStr" s="8">
        <is>
          <t>barton.obi.wan.75803773@example.com</t>
        </is>
      </c>
      <c r="CF36" t="inlineStr" s="8">
        <is>
          <t>JETSON GEORGE CEL: 3166504866</t>
        </is>
      </c>
      <c r="CG36" t="inlineStr" s="8">
        <is>
          <t>NC6534 DIC.7/23 TRASLADO DE MAX ROGERS A OBI BARTON *ANTIC $20.000.000 *ARRAS $4'640</t>
        </is>
      </c>
    </row>
    <row r="37" ht="12.75" customHeight="1">
      <c r="A37" s="8"/>
      <c r="B37" s="8"/>
      <c r="C37" t="inlineStr" s="8">
        <is>
          <t>505</t>
        </is>
      </c>
      <c r="D37" s="9">
        <v>55.20</v>
      </c>
      <c r="E37" s="8"/>
      <c r="F37" s="8"/>
      <c r="G37" s="8"/>
      <c r="H37" t="inlineStr" s="8">
        <is>
          <t>BANCO CAJA SOCIAL</t>
        </is>
      </c>
      <c r="I37" s="9">
        <v>192172500.00</v>
      </c>
      <c r="J37" s="8"/>
      <c r="K37" s="8"/>
      <c r="L37" s="8"/>
      <c r="M37" s="9"/>
      <c r="N37" s="9"/>
      <c r="O37" s="8"/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8"/>
      <c r="CE37" s="8"/>
      <c r="CF37" s="8"/>
      <c r="CG37" s="8"/>
    </row>
    <row r="38" ht="12.75" customHeight="1">
      <c r="A38" t="inlineStr" s="8">
        <is>
          <t>60007919108880</t>
        </is>
      </c>
      <c r="B38" s="8"/>
      <c r="C38" t="inlineStr" s="8">
        <is>
          <t>506</t>
        </is>
      </c>
      <c r="D38" s="9">
        <v>55.20</v>
      </c>
      <c r="E38" t="inlineStr" s="8">
        <is>
          <t>75815418</t>
        </is>
      </c>
      <c r="F38" t="inlineStr" s="8">
        <is>
          <t>SIMPSON SAUL</t>
        </is>
      </c>
      <c r="G38" s="8"/>
      <c r="H38" t="inlineStr" s="8">
        <is>
          <t>BANCOLOMBIA</t>
        </is>
      </c>
      <c r="I38" s="9">
        <v>192172500.00</v>
      </c>
      <c r="J38" t="inlineStr" s="8">
        <is>
          <t>NCR6561 - NC6554TRASLADO - NCR6555 - NCR6562CR</t>
        </is>
      </c>
      <c r="K38" t="inlineStr" s="8">
        <is>
          <t>NCR6560 - NCR6558 - NCR6559 - NCR6557 - NCR6556</t>
        </is>
      </c>
      <c r="L38" t="inlineStr" s="8">
        <is>
          <t>OCT.15/23F - NOV.14/23F - DIC.2/23 - DIC.18/23F - (ENE.11/24TRASLADO) - MAY.19/24F - JUN.8/24 - JUL.12/24F</t>
        </is>
      </c>
      <c r="M38" s="9">
        <f>5575500+6133000</f>
      </c>
      <c r="N38" s="9">
        <v>25000000</v>
      </c>
      <c r="O38" t="inlineStr" s="8">
        <is>
          <t>MAR.16/24</t>
        </is>
      </c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>
        <v>632000</v>
      </c>
      <c r="AM38" s="10">
        <v>4238000</v>
      </c>
      <c r="AN38" s="10">
        <v>855000</v>
      </c>
      <c r="AO38" s="10"/>
      <c r="AP38" s="10"/>
      <c r="AQ38" s="10"/>
      <c r="AR38" s="10"/>
      <c r="AS38" s="10">
        <v>15204000</v>
      </c>
      <c r="AT38" s="10"/>
      <c r="AU38" s="10">
        <v>4535000</v>
      </c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9">
        <v>110000000</v>
      </c>
      <c r="BH38" s="9"/>
      <c r="BI38" s="9"/>
      <c r="BJ38" s="9"/>
      <c r="BK38" s="9">
        <f>SUM(M38,N38,Q38,R38,S38,T38,U38,V38,W38,X38,Y38,Z38,AA38,AB38,AC38,AD38,AE38,AF38,AG38,AH38,AI38,AJ38,AK38,AL38,AM38,AN38,AO38,AP38,AQ38,AR38,AS38,AT38,AU38,AV38,AW38,AX38,AY38,AZ38,BA38,BB38,BC38,BD38,BE38,BF38,BG38,BH38,BI38,BJ38)</f>
      </c>
      <c r="BL38" s="9">
        <f>I38-BK38</f>
      </c>
      <c r="BM38" s="9">
        <f>BL38-BN38-BO38-BP38-BQ38</f>
      </c>
      <c r="BN38" s="9"/>
      <c r="BO38" s="9"/>
      <c r="BP38" s="9"/>
      <c r="BQ38" s="9"/>
      <c r="BR38" s="8"/>
      <c r="BS38" t="inlineStr" s="8">
        <is>
          <t>2023-11-14</t>
        </is>
      </c>
      <c r="BT38" t="inlineStr" s="8">
        <is>
          <t>2024-01-26</t>
        </is>
      </c>
      <c r="BU38" t="inlineStr" s="8">
        <is>
          <t>2025-01-28</t>
        </is>
      </c>
      <c r="BV38" s="8"/>
      <c r="BW38" s="8"/>
      <c r="BX38" s="8"/>
      <c r="BY38" s="8"/>
      <c r="BZ38" s="8"/>
      <c r="CA38" s="8"/>
      <c r="CB38" s="9"/>
      <c r="CC38" s="9"/>
      <c r="CD38" t="inlineStr" s="8">
        <is>
          <t>3166506672</t>
        </is>
      </c>
      <c r="CE38" t="inlineStr" s="8">
        <is>
          <t>simpson.saul.75815418@example.com</t>
        </is>
      </c>
      <c r="CF38" t="inlineStr" s="8">
        <is>
          <t>MOUSE MINNIE CEL: 3166507233</t>
        </is>
      </c>
      <c r="CG38" t="inlineStr" s="8">
        <is>
          <t>NC6554 ENE.11/24 TRASLADO DE EUGENE KENOBI A SAUL SIMPSON *ANTIC $25.000.000 *ARRAS $4'640</t>
        </is>
      </c>
    </row>
    <row r="39" ht="12.75" customHeight="1">
      <c r="A39" t="inlineStr" s="8">
        <is>
          <t>60007919108998</t>
        </is>
      </c>
      <c r="B39" s="8"/>
      <c r="C39" t="inlineStr" s="8">
        <is>
          <t>507</t>
        </is>
      </c>
      <c r="D39" s="9">
        <v>55.20</v>
      </c>
      <c r="E39" t="inlineStr" s="8">
        <is>
          <t>75818416</t>
        </is>
      </c>
      <c r="F39" t="inlineStr" s="8">
        <is>
          <t>DREW DUSTIN</t>
        </is>
      </c>
      <c r="G39" s="8"/>
      <c r="H39" t="inlineStr" s="8">
        <is>
          <t>BBVA</t>
        </is>
      </c>
      <c r="I39" s="9">
        <v>192172500.00</v>
      </c>
      <c r="J39" t="inlineStr" s="8">
        <is>
          <t>NCR6568 - NCR6569CR</t>
        </is>
      </c>
      <c r="K39" t="inlineStr" s="8">
        <is>
          <t>NCR6566 - NCR6567 - NCR6565</t>
        </is>
      </c>
      <c r="L39" t="inlineStr" s="8">
        <is>
          <t>JUN.13/22F - DIC.17/22F - MAY.27/23F - JUL.18/23</t>
        </is>
      </c>
      <c r="M39" s="9">
        <v>5608500</v>
      </c>
      <c r="N39" s="9"/>
      <c r="O39" t="inlineStr" s="8">
        <is>
          <t>ENE.25/23</t>
        </is>
      </c>
      <c r="P39" s="8"/>
      <c r="Q39" s="10"/>
      <c r="R39" s="10"/>
      <c r="S39" s="10"/>
      <c r="T39" s="10"/>
      <c r="U39" s="10"/>
      <c r="V39" s="10">
        <v>48234000</v>
      </c>
      <c r="W39" s="10"/>
      <c r="X39" s="10"/>
      <c r="Y39" s="10"/>
      <c r="Z39" s="10"/>
      <c r="AA39" s="10"/>
      <c r="AB39" s="10">
        <v>57208000</v>
      </c>
      <c r="AC39" s="10"/>
      <c r="AD39" s="10"/>
      <c r="AE39" s="10"/>
      <c r="AF39" s="10"/>
      <c r="AG39" s="10">
        <v>1122000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9">
        <v>65000000</v>
      </c>
      <c r="BH39" s="9"/>
      <c r="BI39" s="9"/>
      <c r="BJ39" s="9"/>
      <c r="BK39" s="9">
        <f>SUM(M39,N39,Q39,R39,S39,T39,U39,V39,W39,X39,Y39,Z39,AA39,AB39,AC39,AD39,AE39,AF39,AG39,AH39,AI39,AJ39,AK39,AL39,AM39,AN39,AO39,AP39,AQ39,AR39,AS39,AT39,AU39,AV39,AW39,AX39,AY39,AZ39,BA39,BB39,BC39,BD39,BE39,BF39,BG39,BH39,BI39,BJ39)</f>
      </c>
      <c r="BL39" s="9">
        <f>I39-BK39</f>
      </c>
      <c r="BM39" s="9">
        <f>BL39-BN39-BO39-BP39-BQ39</f>
      </c>
      <c r="BN39" s="9"/>
      <c r="BO39" s="9"/>
      <c r="BP39" s="9"/>
      <c r="BQ39" s="9"/>
      <c r="BR39" s="8"/>
      <c r="BS39" t="inlineStr" s="8">
        <is>
          <t>2022-07-09</t>
        </is>
      </c>
      <c r="BT39" t="inlineStr" s="8">
        <is>
          <t>2022-10-06</t>
        </is>
      </c>
      <c r="BU39" t="inlineStr" s="8">
        <is>
          <t>2023-09-16</t>
        </is>
      </c>
      <c r="BV39" s="8"/>
      <c r="BW39" s="8"/>
      <c r="BX39" s="8"/>
      <c r="BY39" s="8"/>
      <c r="BZ39" s="8"/>
      <c r="CA39" s="8"/>
      <c r="CB39" s="9"/>
      <c r="CC39" s="9"/>
      <c r="CD39" t="inlineStr" s="8">
        <is>
          <t>3166507646</t>
        </is>
      </c>
      <c r="CE39" t="inlineStr" s="8">
        <is>
          <t>drew.dustin.75818416@example.com</t>
        </is>
      </c>
      <c r="CF39" t="inlineStr" s="8">
        <is>
          <t>BUNNY BUGS CEL: 3166508477</t>
        </is>
      </c>
      <c r="CG39" s="8"/>
    </row>
    <row r="40" ht="12.75" customHeight="1">
      <c r="A40" t="inlineStr" s="8">
        <is>
          <t>60007919109116</t>
        </is>
      </c>
      <c r="B40" s="8"/>
      <c r="C40" t="inlineStr" s="8">
        <is>
          <t>601</t>
        </is>
      </c>
      <c r="D40" s="9">
        <v>55.20</v>
      </c>
      <c r="E40" t="inlineStr" s="8">
        <is>
          <t>75822662</t>
        </is>
      </c>
      <c r="F40" t="inlineStr" s="8">
        <is>
          <t>GELLER HOWARD</t>
        </is>
      </c>
      <c r="G40" s="8"/>
      <c r="H40" t="inlineStr" s="8">
        <is>
          <t>BANCO DAVIVIENDA</t>
        </is>
      </c>
      <c r="I40" s="9">
        <v>192172500.00</v>
      </c>
      <c r="J40" t="inlineStr" s="8">
        <is>
          <t>NCR6572 - NCR6571 - NCR6576CR</t>
        </is>
      </c>
      <c r="K40" t="inlineStr" s="8">
        <is>
          <t>NCR6574 - NCR6575 - NCR6573</t>
        </is>
      </c>
      <c r="L40" t="inlineStr" s="8">
        <is>
          <t>NOV.11/23 - NOV.17/23 - NOV.25/23F - FEB.5/24F - JUN.25/24F</t>
        </is>
      </c>
      <c r="M40" s="9">
        <f>2899000+18735000</f>
      </c>
      <c r="N40" s="9"/>
      <c r="O40" t="inlineStr" s="8">
        <is>
          <t>JUN.14/24</t>
        </is>
      </c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>
        <v>3308000</v>
      </c>
      <c r="AN40" s="10"/>
      <c r="AO40" s="10"/>
      <c r="AP40" s="10">
        <v>3606500</v>
      </c>
      <c r="AQ40" s="10"/>
      <c r="AR40" s="10"/>
      <c r="AS40" s="10"/>
      <c r="AT40" s="10">
        <v>8624000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9">
        <v>125000000</v>
      </c>
      <c r="BH40" s="9"/>
      <c r="BI40" s="9"/>
      <c r="BJ40" s="9"/>
      <c r="BK40" s="9">
        <f>SUM(M40,N40,Q40,R40,S40,T40,U40,V40,W40,X40,Y40,Z40,AA40,AB40,AC40,AD40,AE40,AF40,AG40,AH40,AI40,AJ40,AK40,AL40,AM40,AN40,AO40,AP40,AQ40,AR40,AS40,AT40,AU40,AV40,AW40,AX40,AY40,AZ40,BA40,BB40,BC40,BD40,BE40,BF40,BG40,BH40,BI40,BJ40)</f>
      </c>
      <c r="BL40" s="9">
        <f>I40-BK40</f>
      </c>
      <c r="BM40" s="9">
        <f>BL40-BN40-BO40-BP40-BQ40</f>
      </c>
      <c r="BN40" s="9"/>
      <c r="BO40" s="9"/>
      <c r="BP40" s="9"/>
      <c r="BQ40" s="9"/>
      <c r="BR40" s="8"/>
      <c r="BS40" t="inlineStr" s="8">
        <is>
          <t>2023-11-09</t>
        </is>
      </c>
      <c r="BT40" t="inlineStr" s="8">
        <is>
          <t>2023-12-10</t>
        </is>
      </c>
      <c r="BU40" t="inlineStr" s="8">
        <is>
          <t>2024-12-09</t>
        </is>
      </c>
      <c r="BV40" s="8"/>
      <c r="BW40" s="8"/>
      <c r="BX40" s="8"/>
      <c r="BY40" s="8"/>
      <c r="BZ40" s="8"/>
      <c r="CA40" s="8"/>
      <c r="CB40" s="9"/>
      <c r="CC40" s="9"/>
      <c r="CD40" t="inlineStr" s="8">
        <is>
          <t>3166509370</t>
        </is>
      </c>
      <c r="CE40" t="inlineStr" s="8">
        <is>
          <t>geller.howard.75822662@example.com</t>
        </is>
      </c>
      <c r="CF40" t="inlineStr" s="8">
        <is>
          <t>DUCK DAFFY CEL: 3166509994</t>
        </is>
      </c>
      <c r="CG40" s="8"/>
    </row>
    <row r="41" ht="12.75" customHeight="1">
      <c r="A41" t="inlineStr" s="8">
        <is>
          <t>60007919109121</t>
        </is>
      </c>
      <c r="B41" s="8"/>
      <c r="C41" t="inlineStr" s="8">
        <is>
          <t>602</t>
        </is>
      </c>
      <c r="D41" s="9">
        <v>55.20</v>
      </c>
      <c r="E41" t="inlineStr" s="8">
        <is>
          <t>75826646</t>
        </is>
      </c>
      <c r="F41" t="inlineStr" s="8">
        <is>
          <t>WHITE JOEY</t>
        </is>
      </c>
      <c r="G41" s="8"/>
      <c r="H41" t="inlineStr" s="8">
        <is>
          <t>BBVA</t>
        </is>
      </c>
      <c r="I41" s="9">
        <v>192172500.00</v>
      </c>
      <c r="J41" t="inlineStr" s="8">
        <is>
          <t>NCR6583CR</t>
        </is>
      </c>
      <c r="K41" t="inlineStr" s="8">
        <is>
          <t>NCR6580 - NCR6582 - NCR6579 - NCR6581</t>
        </is>
      </c>
      <c r="L41" t="inlineStr" s="8">
        <is>
          <t>OCT.20/24F - OCT.22/24F - OCT.23/24F - OCT.25/24F</t>
        </is>
      </c>
      <c r="M41" s="9"/>
      <c r="N41" s="9"/>
      <c r="O41" t="inlineStr" s="8">
        <is>
          <t>ENE.27/25</t>
        </is>
      </c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>
        <f>18943000+11822500+20756000+15651000</f>
      </c>
      <c r="AY41" s="10"/>
      <c r="AZ41" s="10"/>
      <c r="BA41" s="10"/>
      <c r="BB41" s="10"/>
      <c r="BC41" s="10"/>
      <c r="BD41" s="10"/>
      <c r="BE41" s="10"/>
      <c r="BF41" s="10"/>
      <c r="BG41" s="9">
        <v>125000000</v>
      </c>
      <c r="BH41" s="9"/>
      <c r="BI41" s="9"/>
      <c r="BJ41" s="9"/>
      <c r="BK41" s="9">
        <f>SUM(M41,N41,Q41,R41,S41,T41,U41,V41,W41,X41,Y41,Z41,AA41,AB41,AC41,AD41,AE41,AF41,AG41,AH41,AI41,AJ41,AK41,AL41,AM41,AN41,AO41,AP41,AQ41,AR41,AS41,AT41,AU41,AV41,AW41,AX41,AY41,AZ41,BA41,BB41,BC41,BD41,BE41,BF41,BG41,BH41,BI41,BJ41)</f>
      </c>
      <c r="BL41" s="9">
        <f>I41-BK41</f>
      </c>
      <c r="BM41" s="9">
        <f>BL41-BN41-BO41-BP41-BQ41</f>
      </c>
      <c r="BN41" s="9"/>
      <c r="BO41" s="9"/>
      <c r="BP41" s="9"/>
      <c r="BQ41" s="9"/>
      <c r="BR41" s="8"/>
      <c r="BS41" t="inlineStr" s="8">
        <is>
          <t>2024-02-06</t>
        </is>
      </c>
      <c r="BT41" t="inlineStr" s="8">
        <is>
          <t>2024-04-02</t>
        </is>
      </c>
      <c r="BU41" t="inlineStr" s="8">
        <is>
          <t>2025-05-19</t>
        </is>
      </c>
      <c r="BV41" s="8"/>
      <c r="BW41" s="8"/>
      <c r="BX41" s="8"/>
      <c r="BY41" s="8"/>
      <c r="BZ41" s="8"/>
      <c r="CA41" s="8"/>
      <c r="CB41" s="9"/>
      <c r="CC41" s="9"/>
      <c r="CD41" t="inlineStr" s="8">
        <is>
          <t>3166510319</t>
        </is>
      </c>
      <c r="CE41" t="inlineStr" s="8">
        <is>
          <t>white.joey.75826646@example.com</t>
        </is>
      </c>
      <c r="CF41" t="inlineStr" s="8">
        <is>
          <t>MOUSE MINNIE CEL: 3166510935</t>
        </is>
      </c>
      <c r="CG41" s="8"/>
    </row>
    <row r="42" ht="12.75" customHeight="1">
      <c r="A42" t="inlineStr" s="8">
        <is>
          <t>60007919109224</t>
        </is>
      </c>
      <c r="B42" s="8"/>
      <c r="C42" t="inlineStr" s="8">
        <is>
          <t>603</t>
        </is>
      </c>
      <c r="D42" s="9">
        <v>55.20</v>
      </c>
      <c r="E42" t="inlineStr" s="8">
        <is>
          <t>75831600</t>
        </is>
      </c>
      <c r="F42" t="inlineStr" s="8">
        <is>
          <t>COOPER LEGOLAS</t>
        </is>
      </c>
      <c r="G42" s="8"/>
      <c r="H42" t="inlineStr" s="8">
        <is>
          <t>BANCO CAJA SOCIAL</t>
        </is>
      </c>
      <c r="I42" s="9">
        <v>192172500.00</v>
      </c>
      <c r="J42" t="inlineStr" s="8">
        <is>
          <t>NCR6591 - NCR6594 - NCR6587 - NCR6585 - NCR6596CR</t>
        </is>
      </c>
      <c r="K42" t="inlineStr" s="8">
        <is>
          <t>NCR6589 - NCR6590 - NCR6584 - NCR6588 - NCR6593 - NCR6586 - NCR6595 - NCR6592</t>
        </is>
      </c>
      <c r="L42" t="inlineStr" s="8">
        <is>
          <t>SEP.18/22F - DIC.7/22F - MAY.18/23F - JUL.4/23F - OCT.1/23 - OCT.7/23F - NOV.7/23 - NOV.22/23 - DIC.28/23 - ENE.11/24F - FEB.15/24F - MAR.3/24F</t>
        </is>
      </c>
      <c r="M42" s="9">
        <f>100000+240000+106000+314000</f>
      </c>
      <c r="N42" s="9"/>
      <c r="O42" t="inlineStr" s="8">
        <is>
          <t>MAY.18/23</t>
        </is>
      </c>
      <c r="P42" s="8"/>
      <c r="Q42" s="10"/>
      <c r="R42" s="10"/>
      <c r="S42" s="10"/>
      <c r="T42" s="10"/>
      <c r="U42" s="10"/>
      <c r="V42" s="10"/>
      <c r="W42" s="10"/>
      <c r="X42" s="10"/>
      <c r="Y42" s="10">
        <v>100000</v>
      </c>
      <c r="Z42" s="10"/>
      <c r="AA42" s="10"/>
      <c r="AB42" s="10">
        <v>280000</v>
      </c>
      <c r="AC42" s="10"/>
      <c r="AD42" s="10"/>
      <c r="AE42" s="10"/>
      <c r="AF42" s="10"/>
      <c r="AG42" s="10">
        <v>257000</v>
      </c>
      <c r="AH42" s="10"/>
      <c r="AI42" s="10">
        <v>589000</v>
      </c>
      <c r="AJ42" s="10"/>
      <c r="AK42" s="10"/>
      <c r="AL42" s="10">
        <v>123000</v>
      </c>
      <c r="AM42" s="10"/>
      <c r="AN42" s="10"/>
      <c r="AO42" s="10">
        <v>217000</v>
      </c>
      <c r="AP42" s="10">
        <v>160000</v>
      </c>
      <c r="AQ42" s="10">
        <v>372000</v>
      </c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9">
        <v>8929000</v>
      </c>
      <c r="BH42" s="9"/>
      <c r="BI42" s="9"/>
      <c r="BJ42" s="9"/>
      <c r="BK42" s="9">
        <f>SUM(M42,N42,Q42,R42,S42,T42,U42,V42,W42,X42,Y42,Z42,AA42,AB42,AC42,AD42,AE42,AF42,AG42,AH42,AI42,AJ42,AK42,AL42,AM42,AN42,AO42,AP42,AQ42,AR42,AS42,AT42,AU42,AV42,AW42,AX42,AY42,AZ42,BA42,BB42,BC42,BD42,BE42,BF42,BG42,BH42,BI42,BJ42)</f>
      </c>
      <c r="BL42" s="9">
        <f>I42-BK42</f>
      </c>
      <c r="BM42" s="9">
        <f>BL42-BN42-BO42-BP42-BQ42</f>
      </c>
      <c r="BN42" s="9"/>
      <c r="BO42" s="9"/>
      <c r="BP42" s="9"/>
      <c r="BQ42" s="9"/>
      <c r="BR42" s="8"/>
      <c r="BS42" t="inlineStr" s="8">
        <is>
          <t>2022-10-30</t>
        </is>
      </c>
      <c r="BT42" t="inlineStr" s="8">
        <is>
          <t>2023-02-13</t>
        </is>
      </c>
      <c r="BU42" s="8"/>
      <c r="BV42" s="8"/>
      <c r="BW42" s="8"/>
      <c r="BX42" s="8"/>
      <c r="BY42" s="8"/>
      <c r="BZ42" s="8"/>
      <c r="CA42" s="8"/>
      <c r="CB42" s="9"/>
      <c r="CC42" s="9"/>
      <c r="CD42" t="inlineStr" s="8">
        <is>
          <t>3166511374</t>
        </is>
      </c>
      <c r="CE42" t="inlineStr" s="8">
        <is>
          <t>cooper.legolas.75831600@example.com</t>
        </is>
      </c>
      <c r="CF42" t="inlineStr" s="8">
        <is>
          <t>JAKE CEL: 3166512184</t>
        </is>
      </c>
      <c r="CG42" s="8"/>
    </row>
    <row r="43" ht="12.75" customHeight="1">
      <c r="A43" t="inlineStr" s="8">
        <is>
          <t>60007919109296</t>
        </is>
      </c>
      <c r="B43" s="8"/>
      <c r="C43" t="inlineStr" s="8">
        <is>
          <t>604</t>
        </is>
      </c>
      <c r="D43" s="9">
        <v>55.20</v>
      </c>
      <c r="E43" t="inlineStr" s="8">
        <is>
          <t>75835247</t>
        </is>
      </c>
      <c r="F43" t="inlineStr" s="8">
        <is>
          <t>SMITH BRUCE</t>
        </is>
      </c>
      <c r="G43" s="8"/>
      <c r="H43" t="inlineStr" s="8">
        <is>
          <t>BANCO DAVIVIENDA</t>
        </is>
      </c>
      <c r="I43" s="9">
        <v>192172500.00</v>
      </c>
      <c r="J43" t="inlineStr" s="8">
        <is>
          <t>NCR6599 - NCR6605CR</t>
        </is>
      </c>
      <c r="K43" t="inlineStr" s="8">
        <is>
          <t>NCR6601 - NCR6602 - NCR6600 - NCR6603 - NCR6604 - NCR6598</t>
        </is>
      </c>
      <c r="L43" t="inlineStr" s="8">
        <is>
          <t>SEP.18/22F - OCT.21/22F - NOV.16/22F - ENE.23/23F - JUL.18/23F - SEP.8/23F - DIC.16/23</t>
        </is>
      </c>
      <c r="M43" s="9">
        <v>6986000</v>
      </c>
      <c r="N43" s="9"/>
      <c r="O43" t="inlineStr" s="8">
        <is>
          <t>ABR.24/23</t>
        </is>
      </c>
      <c r="P43" s="8"/>
      <c r="Q43" s="10"/>
      <c r="R43" s="10"/>
      <c r="S43" s="10"/>
      <c r="T43" s="10"/>
      <c r="U43" s="10"/>
      <c r="V43" s="10"/>
      <c r="W43" s="10"/>
      <c r="X43" s="10"/>
      <c r="Y43" s="10">
        <v>4904000</v>
      </c>
      <c r="Z43" s="10">
        <v>32041000</v>
      </c>
      <c r="AA43" s="10">
        <v>6717000</v>
      </c>
      <c r="AB43" s="10"/>
      <c r="AC43" s="10">
        <v>3560000</v>
      </c>
      <c r="AD43" s="10"/>
      <c r="AE43" s="10"/>
      <c r="AF43" s="10"/>
      <c r="AG43" s="10"/>
      <c r="AH43" s="10"/>
      <c r="AI43" s="10">
        <v>739500</v>
      </c>
      <c r="AJ43" s="10"/>
      <c r="AK43" s="10">
        <v>12225000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9">
        <v>125000000</v>
      </c>
      <c r="BH43" s="9"/>
      <c r="BI43" s="9"/>
      <c r="BJ43" s="9"/>
      <c r="BK43" s="9">
        <f>SUM(M43,N43,Q43,R43,S43,T43,U43,V43,W43,X43,Y43,Z43,AA43,AB43,AC43,AD43,AE43,AF43,AG43,AH43,AI43,AJ43,AK43,AL43,AM43,AN43,AO43,AP43,AQ43,AR43,AS43,AT43,AU43,AV43,AW43,AX43,AY43,AZ43,BA43,BB43,BC43,BD43,BE43,BF43,BG43,BH43,BI43,BJ43)</f>
      </c>
      <c r="BL43" s="9">
        <f>I43-BK43</f>
      </c>
      <c r="BM43" s="9">
        <f>BL43-BN43-BO43-BP43-BQ43</f>
      </c>
      <c r="BN43" s="9"/>
      <c r="BO43" s="9"/>
      <c r="BP43" s="9"/>
      <c r="BQ43" s="9"/>
      <c r="BR43" s="8"/>
      <c r="BS43" t="inlineStr" s="8">
        <is>
          <t>2023-01-10</t>
        </is>
      </c>
      <c r="BT43" t="inlineStr" s="8">
        <is>
          <t>2023-03-10</t>
        </is>
      </c>
      <c r="BU43" s="8"/>
      <c r="BV43" s="8"/>
      <c r="BW43" s="8"/>
      <c r="BX43" s="8"/>
      <c r="BY43" s="8"/>
      <c r="BZ43" s="8"/>
      <c r="CA43" s="8"/>
      <c r="CB43" s="9"/>
      <c r="CC43" s="9"/>
      <c r="CD43" t="inlineStr" s="8">
        <is>
          <t>3166512322</t>
        </is>
      </c>
      <c r="CE43" t="inlineStr" s="8">
        <is>
          <t>smith.bruce.75835247@example.com</t>
        </is>
      </c>
      <c r="CF43" t="inlineStr" s="8">
        <is>
          <t>FLINTSTONE FRED CEL: 3166513095</t>
        </is>
      </c>
      <c r="CG43" s="8"/>
    </row>
    <row r="44" ht="12.75" customHeight="1">
      <c r="A44" t="inlineStr" s="8">
        <is>
          <t>60007919109382</t>
        </is>
      </c>
      <c r="B44" s="8"/>
      <c r="C44" t="inlineStr" s="8">
        <is>
          <t>605</t>
        </is>
      </c>
      <c r="D44" s="9">
        <v>55.20</v>
      </c>
      <c r="E44" t="inlineStr" s="8">
        <is>
          <t>75844442</t>
        </is>
      </c>
      <c r="F44" t="inlineStr" s="8">
        <is>
          <t>CHEEKS LEIA</t>
        </is>
      </c>
      <c r="G44" s="8"/>
      <c r="H44" t="inlineStr" s="8">
        <is>
          <t>BBVA</t>
        </is>
      </c>
      <c r="I44" s="9">
        <v>192172500.00</v>
      </c>
      <c r="J44" t="inlineStr" s="8">
        <is>
          <t>NCR6610 - NCR6612 - NCR6615 - NCR6616 - NCR6620CR</t>
        </is>
      </c>
      <c r="K44" t="inlineStr" s="8">
        <is>
          <t>NCR6607 - NCR6611 - NCR6618 - NCR6613 - NCR6606 - NCR6619 - NCR6617 - NCR6608 - NCR6609 - NCR6614</t>
        </is>
      </c>
      <c r="L44" t="inlineStr" s="8">
        <is>
          <t>ENE.15/24F - ENE.27/24F - ABR.7/24F - MAY.12/24F - MAY.24/24F - JUN.1/24 - JUN.3/24 - JUL.12/24F - AGO.5/24F - AGO.9/24F - SEP.8/24F - DIC.10/24 - DIC.21/24 - MAR.4/25F</t>
        </is>
      </c>
      <c r="M44" s="9">
        <f>799000+571000+555000+326000</f>
      </c>
      <c r="N44" s="9"/>
      <c r="O44" t="inlineStr" s="8">
        <is>
          <t>NOV.13/24</t>
        </is>
      </c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>
        <f>1028000+114000</f>
      </c>
      <c r="AP44" s="10"/>
      <c r="AQ44" s="10"/>
      <c r="AR44" s="10">
        <v>1370000</v>
      </c>
      <c r="AS44" s="10">
        <f>375000+2626000</f>
      </c>
      <c r="AT44" s="10"/>
      <c r="AU44" s="10">
        <v>1729334</v>
      </c>
      <c r="AV44" s="10">
        <f>343000+3980000</f>
      </c>
      <c r="AW44" s="10">
        <v>440000</v>
      </c>
      <c r="AX44" s="10"/>
      <c r="AY44" s="10"/>
      <c r="AZ44" s="10"/>
      <c r="BA44" s="10"/>
      <c r="BB44" s="10"/>
      <c r="BC44" s="10">
        <v>2055000</v>
      </c>
      <c r="BD44" s="10"/>
      <c r="BE44" s="10"/>
      <c r="BF44" s="10"/>
      <c r="BG44" s="9">
        <v>21155666</v>
      </c>
      <c r="BH44" s="9"/>
      <c r="BI44" s="9"/>
      <c r="BJ44" s="9"/>
      <c r="BK44" s="9">
        <f>SUM(M44,N44,Q44,R44,S44,T44,U44,V44,W44,X44,Y44,Z44,AA44,AB44,AC44,AD44,AE44,AF44,AG44,AH44,AI44,AJ44,AK44,AL44,AM44,AN44,AO44,AP44,AQ44,AR44,AS44,AT44,AU44,AV44,AW44,AX44,AY44,AZ44,BA44,BB44,BC44,BD44,BE44,BF44,BG44,BH44,BI44,BJ44)</f>
      </c>
      <c r="BL44" s="9">
        <f>I44-BK44</f>
      </c>
      <c r="BM44" s="9">
        <f>BL44-BN44-BO44-BP44-BQ44</f>
      </c>
      <c r="BN44" s="9"/>
      <c r="BO44" s="9"/>
      <c r="BP44" s="9"/>
      <c r="BQ44" s="9"/>
      <c r="BR44" s="8"/>
      <c r="BS44" t="inlineStr" s="8">
        <is>
          <t>2024-03-20</t>
        </is>
      </c>
      <c r="BT44" t="inlineStr" s="8">
        <is>
          <t>2024-05-04</t>
        </is>
      </c>
      <c r="BU44" s="8"/>
      <c r="BV44" s="8"/>
      <c r="BW44" s="8"/>
      <c r="BX44" s="8"/>
      <c r="BY44" s="8"/>
      <c r="BZ44" s="8"/>
      <c r="CA44" s="8"/>
      <c r="CB44" s="9"/>
      <c r="CC44" s="9"/>
      <c r="CD44" t="inlineStr" s="8">
        <is>
          <t>3166513982</t>
        </is>
      </c>
      <c r="CE44" t="inlineStr" s="8">
        <is>
          <t>cheeks.leia.75844442@example.com</t>
        </is>
      </c>
      <c r="CF44" t="inlineStr" s="8">
        <is>
          <t>MOUSE MINNIE CEL: 3166514207</t>
        </is>
      </c>
      <c r="CG44" s="8"/>
    </row>
    <row r="45" ht="12.75" customHeight="1">
      <c r="A45" t="inlineStr" s="8">
        <is>
          <t>60007919109522</t>
        </is>
      </c>
      <c r="B45" s="8"/>
      <c r="C45" t="inlineStr" s="8">
        <is>
          <t>606</t>
        </is>
      </c>
      <c r="D45" s="9">
        <v>55.20</v>
      </c>
      <c r="E45" t="inlineStr" s="8">
        <is>
          <t>75850924</t>
        </is>
      </c>
      <c r="F45" t="inlineStr" s="8">
        <is>
          <t>ROGERS DIANA</t>
        </is>
      </c>
      <c r="G45" s="8"/>
      <c r="H45" t="inlineStr" s="8">
        <is>
          <t>BANCO DE OCCIDENTE</t>
        </is>
      </c>
      <c r="I45" s="9">
        <v>192172500.00</v>
      </c>
      <c r="J45" t="inlineStr" s="8">
        <is>
          <t>NCR6624 - NCR6629 - NCR6634CR</t>
        </is>
      </c>
      <c r="K45" t="inlineStr" s="8">
        <is>
          <t>NCR6633 - NCR6625 - NCR6627 - NCR6631 - NCR6628 - NCR6626 - NCR6632 - NCR6630 - NCR6622 - NCR6623</t>
        </is>
      </c>
      <c r="L45" t="inlineStr" s="8">
        <is>
          <t>JUL.13/23F - OCT.20/23 - NOV.7/23 - ENE.14/24F - ABR.5/24F - ABR.7/24F - JUN.11/24F - JUN.26/24F - OCT.14/24F - OCT.28/24F - FEB.2/25F - FEB.21/25F</t>
        </is>
      </c>
      <c r="M45" s="9">
        <f>6740000+1526000</f>
      </c>
      <c r="N45" s="9"/>
      <c r="O45" t="inlineStr" s="8">
        <is>
          <t>DIC.22/24</t>
        </is>
      </c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636500</v>
      </c>
      <c r="AJ45" s="10"/>
      <c r="AK45" s="10"/>
      <c r="AL45" s="10"/>
      <c r="AM45" s="10"/>
      <c r="AN45" s="10"/>
      <c r="AO45" s="10">
        <v>36244000</v>
      </c>
      <c r="AP45" s="10"/>
      <c r="AQ45" s="10"/>
      <c r="AR45" s="10">
        <f>12844000+4451000</f>
      </c>
      <c r="AS45" s="10"/>
      <c r="AT45" s="10">
        <f>3434000+10047000</f>
      </c>
      <c r="AU45" s="10"/>
      <c r="AV45" s="10"/>
      <c r="AW45" s="10"/>
      <c r="AX45" s="10">
        <f>17168000+763000</f>
      </c>
      <c r="AY45" s="10"/>
      <c r="AZ45" s="10"/>
      <c r="BA45" s="10"/>
      <c r="BB45" s="10">
        <f>5214000+28105000</f>
      </c>
      <c r="BC45" s="10"/>
      <c r="BD45" s="10"/>
      <c r="BE45" s="10"/>
      <c r="BF45" s="10"/>
      <c r="BG45" s="9">
        <v>65000000</v>
      </c>
      <c r="BH45" s="9"/>
      <c r="BI45" s="9"/>
      <c r="BJ45" s="9"/>
      <c r="BK45" s="9">
        <f>SUM(M45,N45,Q45,R45,S45,T45,U45,V45,W45,X45,Y45,Z45,AA45,AB45,AC45,AD45,AE45,AF45,AG45,AH45,AI45,AJ45,AK45,AL45,AM45,AN45,AO45,AP45,AQ45,AR45,AS45,AT45,AU45,AV45,AW45,AX45,AY45,AZ45,BA45,BB45,BC45,BD45,BE45,BF45,BG45,BH45,BI45,BJ45)</f>
      </c>
      <c r="BL45" s="9">
        <f>I45-BK45</f>
      </c>
      <c r="BM45" s="9">
        <f>BL45-BN45-BO45-BP45-BQ45</f>
      </c>
      <c r="BN45" s="9"/>
      <c r="BO45" s="9"/>
      <c r="BP45" s="9"/>
      <c r="BQ45" s="9"/>
      <c r="BR45" s="8"/>
      <c r="BS45" t="inlineStr" s="8">
        <is>
          <t>2023-09-15</t>
        </is>
      </c>
      <c r="BT45" t="inlineStr" s="8">
        <is>
          <t>2023-12-12</t>
        </is>
      </c>
      <c r="BU45" t="inlineStr" s="8">
        <is>
          <t>2025-03-12</t>
        </is>
      </c>
      <c r="BV45" s="8"/>
      <c r="BW45" s="8"/>
      <c r="BX45" s="8"/>
      <c r="BY45" s="8"/>
      <c r="BZ45" s="8"/>
      <c r="CA45" s="8"/>
      <c r="CB45" s="9"/>
      <c r="CC45" s="9"/>
      <c r="CD45" t="inlineStr" s="8">
        <is>
          <t>3166514472</t>
        </is>
      </c>
      <c r="CE45" t="inlineStr" s="8">
        <is>
          <t>rogers.diana.75850924@example.com</t>
        </is>
      </c>
      <c r="CF45" t="inlineStr" s="8">
        <is>
          <t>FLINTSTONE FRED CEL: 3166514520</t>
        </is>
      </c>
      <c r="CG45" s="8"/>
    </row>
    <row r="46" ht="12.75" customHeight="1">
      <c r="A46" t="inlineStr" s="8">
        <is>
          <t>60007919109631</t>
        </is>
      </c>
      <c r="B46" s="8"/>
      <c r="C46" t="inlineStr" s="8">
        <is>
          <t>607</t>
        </is>
      </c>
      <c r="D46" s="9">
        <v>55.20</v>
      </c>
      <c r="E46" t="inlineStr" s="8">
        <is>
          <t>75865267</t>
        </is>
      </c>
      <c r="F46" t="inlineStr" s="8">
        <is>
          <t>SINCLAIR RAJ</t>
        </is>
      </c>
      <c r="G46" s="8"/>
      <c r="H46" s="8"/>
      <c r="I46" s="9">
        <v>192172500.00</v>
      </c>
      <c r="J46" t="inlineStr" s="8">
        <is>
          <t>NCR6637 - NCR6639 - NCR6643</t>
        </is>
      </c>
      <c r="K46" t="inlineStr" s="8">
        <is>
          <t>NCR6640 - NCR6636 - NCR6642 - NCR6644 - NCR6641 - NCR6638</t>
        </is>
      </c>
      <c r="L46" t="inlineStr" s="8">
        <is>
          <t>NOV.18/22F - DIC.6/22F - FEB.12/23F - ABR.10/23F - JUN.21/23 - AGO.16/23 - OCT.26/23 - ENE.4/24F - JUL.6/24F</t>
        </is>
      </c>
      <c r="M46" s="9">
        <f>7468000+1673000+6379000</f>
      </c>
      <c r="N46" s="9"/>
      <c r="O46" s="8"/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>
        <v>1556000</v>
      </c>
      <c r="AB46" s="10">
        <v>4162000</v>
      </c>
      <c r="AC46" s="10"/>
      <c r="AD46" s="10">
        <v>2295000</v>
      </c>
      <c r="AE46" s="10"/>
      <c r="AF46" s="10">
        <v>1361000</v>
      </c>
      <c r="AG46" s="10"/>
      <c r="AH46" s="10"/>
      <c r="AI46" s="10"/>
      <c r="AJ46" s="10"/>
      <c r="AK46" s="10"/>
      <c r="AL46" s="10"/>
      <c r="AM46" s="10"/>
      <c r="AN46" s="10"/>
      <c r="AO46" s="10">
        <v>2956000</v>
      </c>
      <c r="AP46" s="10"/>
      <c r="AQ46" s="10"/>
      <c r="AR46" s="10"/>
      <c r="AS46" s="10"/>
      <c r="AT46" s="10"/>
      <c r="AU46" s="10">
        <v>11046000</v>
      </c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9"/>
      <c r="BH46" s="9"/>
      <c r="BI46" s="9"/>
      <c r="BJ46" s="9"/>
      <c r="BK46" s="9">
        <f>SUM(M46,N46,Q46,R46,S46,T46,U46,V46,W46,X46,Y46,Z46,AA46,AB46,AC46,AD46,AE46,AF46,AG46,AH46,AI46,AJ46,AK46,AL46,AM46,AN46,AO46,AP46,AQ46,AR46,AS46,AT46,AU46,AV46,AW46,AX46,AY46,AZ46,BA46,BB46,BC46,BD46,BE46,BF46,BG46,BH46,BI46,BJ46)</f>
      </c>
      <c r="BL46" s="9">
        <f>I46-BK46</f>
      </c>
      <c r="BM46" s="9">
        <f>BL46-BN46-BO46-BP46-BQ46</f>
      </c>
      <c r="BN46" s="9"/>
      <c r="BO46" s="9"/>
      <c r="BP46" s="9"/>
      <c r="BQ46" s="9"/>
      <c r="BR46" s="8"/>
      <c r="BS46" t="inlineStr" s="8">
        <is>
          <t>2023-01-18</t>
        </is>
      </c>
      <c r="BT46" t="inlineStr" s="8">
        <is>
          <t>2023-03-07</t>
        </is>
      </c>
      <c r="BU46" s="8"/>
      <c r="BV46" s="8"/>
      <c r="BW46" s="8"/>
      <c r="BX46" s="8"/>
      <c r="BY46" s="8"/>
      <c r="BZ46" s="8"/>
      <c r="CA46" s="8"/>
      <c r="CB46" s="9"/>
      <c r="CC46" s="9"/>
      <c r="CD46" t="inlineStr" s="8">
        <is>
          <t>3166515565</t>
        </is>
      </c>
      <c r="CE46" t="inlineStr" s="8">
        <is>
          <t>sinclair.raj.75865267@example.com</t>
        </is>
      </c>
      <c r="CF46" t="inlineStr" s="8">
        <is>
          <t>JAKE CEL: 3166515842</t>
        </is>
      </c>
      <c r="CG46" s="8"/>
    </row>
    <row r="47" ht="12.75" customHeight="1">
      <c r="A47" t="inlineStr" s="8">
        <is>
          <t>60007919109813</t>
        </is>
      </c>
      <c r="B47" s="8"/>
      <c r="C47" t="inlineStr" s="8">
        <is>
          <t>701</t>
        </is>
      </c>
      <c r="D47" s="9">
        <v>55.20</v>
      </c>
      <c r="E47" t="inlineStr" s="8">
        <is>
          <t>75872751</t>
        </is>
      </c>
      <c r="F47" t="inlineStr" s="8">
        <is>
          <t>HOFSTADTER TONY</t>
        </is>
      </c>
      <c r="G47" s="8"/>
      <c r="H47" t="inlineStr" s="8">
        <is>
          <t>BANCO DE BOGOTA</t>
        </is>
      </c>
      <c r="I47" s="9">
        <v>192172500.00</v>
      </c>
      <c r="J47" t="inlineStr" s="8">
        <is>
          <t>NCR6658CR</t>
        </is>
      </c>
      <c r="K47" t="inlineStr" s="8">
        <is>
          <t>NCR6655 - NCR6656 - NCR6653 - NCR6654 - NCR6651 - NCR6648 - NCR6649 - NCR6650 - NCR6657 - NCR6652 - NCR6646 - NCR6647</t>
        </is>
      </c>
      <c r="L47" t="inlineStr" s="8">
        <is>
          <t>JUL.11/22F - AGO.18/22F - OCT.28/22F - NOV.8/22F - NOV.9/22F - ENE.1/23F - ENE.2/23F - ENE.20/23F - MAR.21/23F - ABR.27/23F - MAY.4/23F - MAY.21/23F</t>
        </is>
      </c>
      <c r="M47" s="9"/>
      <c r="N47" s="9"/>
      <c r="O47" t="inlineStr" s="8">
        <is>
          <t>MAR.16/23</t>
        </is>
      </c>
      <c r="P47" s="8"/>
      <c r="Q47" s="10"/>
      <c r="R47" s="10"/>
      <c r="S47" s="10"/>
      <c r="T47" s="10"/>
      <c r="U47" s="10"/>
      <c r="V47" s="10"/>
      <c r="W47" s="10">
        <v>1145000</v>
      </c>
      <c r="X47" s="10">
        <v>6740000</v>
      </c>
      <c r="Y47" s="10"/>
      <c r="Z47" s="10">
        <v>34591000</v>
      </c>
      <c r="AA47" s="10">
        <f>7249000+7249000</f>
      </c>
      <c r="AB47" s="10"/>
      <c r="AC47" s="10">
        <f>25816000+4833000+15388000</f>
      </c>
      <c r="AD47" s="10"/>
      <c r="AE47" s="10">
        <v>1016500</v>
      </c>
      <c r="AF47" s="10">
        <v>6104000</v>
      </c>
      <c r="AG47" s="10">
        <f>3688000+13353000</f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9">
        <v>65000000</v>
      </c>
      <c r="BH47" s="9"/>
      <c r="BI47" s="9"/>
      <c r="BJ47" s="9"/>
      <c r="BK47" s="9">
        <f>SUM(M47,N47,Q47,R47,S47,T47,U47,V47,W47,X47,Y47,Z47,AA47,AB47,AC47,AD47,AE47,AF47,AG47,AH47,AI47,AJ47,AK47,AL47,AM47,AN47,AO47,AP47,AQ47,AR47,AS47,AT47,AU47,AV47,AW47,AX47,AY47,AZ47,BA47,BB47,BC47,BD47,BE47,BF47,BG47,BH47,BI47,BJ47)</f>
      </c>
      <c r="BL47" s="9">
        <f>I47-BK47</f>
      </c>
      <c r="BM47" s="9">
        <f>BL47-BN47-BO47-BP47-BQ47</f>
      </c>
      <c r="BN47" s="9"/>
      <c r="BO47" s="9"/>
      <c r="BP47" s="9"/>
      <c r="BQ47" s="9"/>
      <c r="BR47" s="8"/>
      <c r="BS47" t="inlineStr" s="8">
        <is>
          <t>2022-09-07</t>
        </is>
      </c>
      <c r="BT47" t="inlineStr" s="8">
        <is>
          <t>2022-09-23</t>
        </is>
      </c>
      <c r="BU47" t="inlineStr" s="8">
        <is>
          <t>2023-06-12</t>
        </is>
      </c>
      <c r="BV47" s="8"/>
      <c r="BW47" s="8"/>
      <c r="BX47" s="8"/>
      <c r="BY47" s="8"/>
      <c r="BZ47" s="8"/>
      <c r="CA47" s="8"/>
      <c r="CB47" s="9"/>
      <c r="CC47" s="9"/>
      <c r="CD47" t="inlineStr" s="8">
        <is>
          <t>3166515957</t>
        </is>
      </c>
      <c r="CE47" t="inlineStr" s="8">
        <is>
          <t>hofstadter.tony.75872751@example.com</t>
        </is>
      </c>
      <c r="CF47" t="inlineStr" s="8">
        <is>
          <t>JETSON GEORGE CEL: 3166516845</t>
        </is>
      </c>
      <c r="CG47" s="8"/>
    </row>
    <row r="48" ht="12.75" customHeight="1">
      <c r="A48" t="inlineStr" s="8">
        <is>
          <t>60007919109938</t>
        </is>
      </c>
      <c r="B48" s="8"/>
      <c r="C48" t="inlineStr" s="8">
        <is>
          <t>702</t>
        </is>
      </c>
      <c r="D48" s="9">
        <v>55.20</v>
      </c>
      <c r="E48" t="inlineStr" s="8">
        <is>
          <t>75883432</t>
        </is>
      </c>
      <c r="F48" t="inlineStr" s="8">
        <is>
          <t>WHEELER OBI WAN</t>
        </is>
      </c>
      <c r="G48" s="8"/>
      <c r="H48" t="inlineStr" s="8">
        <is>
          <t>BBVA</t>
        </is>
      </c>
      <c r="I48" s="9">
        <v>192172500.00</v>
      </c>
      <c r="J48" t="inlineStr" s="8">
        <is>
          <t>NC6659CESION - NCR6660 - NCR6666CR</t>
        </is>
      </c>
      <c r="K48" t="inlineStr" s="8">
        <is>
          <t>NCR6661 - NCR6662 - NCR6663 - NCR6664 - NCR6665</t>
        </is>
      </c>
      <c r="L48" t="inlineStr" s="8">
        <is>
          <t>MAY.5/22F - JUL.25/22F - SEP.17/22F - DIC.6/22F - (AGO.3/23CESION) - AGO.12/23 - DIC.5/23F</t>
        </is>
      </c>
      <c r="M48" s="9">
        <v>10561000</v>
      </c>
      <c r="N48" s="9">
        <v>12000000</v>
      </c>
      <c r="O48" t="inlineStr" s="8">
        <is>
          <t>SEP.11/22</t>
        </is>
      </c>
      <c r="P48" s="8"/>
      <c r="Q48" s="10"/>
      <c r="R48" s="10"/>
      <c r="S48" s="10"/>
      <c r="T48" s="10"/>
      <c r="U48" s="10">
        <v>10732000</v>
      </c>
      <c r="V48" s="10"/>
      <c r="W48" s="10">
        <v>8517000</v>
      </c>
      <c r="X48" s="10"/>
      <c r="Y48" s="10">
        <v>11158000</v>
      </c>
      <c r="Z48" s="10"/>
      <c r="AA48" s="10"/>
      <c r="AB48" s="10">
        <v>10221000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>
        <v>33983500</v>
      </c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9">
        <v>95000000</v>
      </c>
      <c r="BH48" s="9"/>
      <c r="BI48" s="9"/>
      <c r="BJ48" s="9"/>
      <c r="BK48" s="9">
        <f>SUM(M48,N48,Q48,R48,S48,T48,U48,V48,W48,X48,Y48,Z48,AA48,AB48,AC48,AD48,AE48,AF48,AG48,AH48,AI48,AJ48,AK48,AL48,AM48,AN48,AO48,AP48,AQ48,AR48,AS48,AT48,AU48,AV48,AW48,AX48,AY48,AZ48,BA48,BB48,BC48,BD48,BE48,BF48,BG48,BH48,BI48,BJ48)</f>
      </c>
      <c r="BL48" s="9">
        <f>I48-BK48</f>
      </c>
      <c r="BM48" s="9">
        <f>BL48-BN48-BO48-BP48-BQ48</f>
      </c>
      <c r="BN48" s="9"/>
      <c r="BO48" s="9"/>
      <c r="BP48" s="9"/>
      <c r="BQ48" s="9"/>
      <c r="BR48" s="8"/>
      <c r="BS48" t="inlineStr" s="8">
        <is>
          <t>2022-06-03</t>
        </is>
      </c>
      <c r="BT48" t="inlineStr" s="8">
        <is>
          <t>2022-08-12</t>
        </is>
      </c>
      <c r="BU48" s="8"/>
      <c r="BV48" s="8"/>
      <c r="BW48" s="8"/>
      <c r="BX48" s="8"/>
      <c r="BY48" s="8"/>
      <c r="BZ48" s="8"/>
      <c r="CA48" s="8"/>
      <c r="CB48" s="9"/>
      <c r="CC48" s="9"/>
      <c r="CD48" t="inlineStr" s="8">
        <is>
          <t>3166517198</t>
        </is>
      </c>
      <c r="CE48" t="inlineStr" s="8">
        <is>
          <t>wheeler.obi.wan.75883432@example.com</t>
        </is>
      </c>
      <c r="CF48" t="inlineStr" s="8">
        <is>
          <t>PANTHER PINK CEL: 3166517337</t>
        </is>
      </c>
      <c r="CG48" t="inlineStr" s="8">
        <is>
          <t>NC6659 AGO.3/23 CESION DE HOWARD CHEEKS A OBI WHEELER *ANTIC $12.000.000 *ARRAS $4'640</t>
        </is>
      </c>
    </row>
    <row r="49" ht="12.75" customHeight="1">
      <c r="A49" t="inlineStr" s="8">
        <is>
          <t>60007919110123</t>
        </is>
      </c>
      <c r="B49" s="8"/>
      <c r="C49" t="inlineStr" s="8">
        <is>
          <t>703</t>
        </is>
      </c>
      <c r="D49" s="9">
        <v>55.20</v>
      </c>
      <c r="E49" t="inlineStr" s="8">
        <is>
          <t>75884208</t>
        </is>
      </c>
      <c r="F49" t="inlineStr" s="8">
        <is>
          <t>GRIFFIN WILL</t>
        </is>
      </c>
      <c r="G49" s="8"/>
      <c r="H49" s="8"/>
      <c r="I49" s="9">
        <v>192172500.00</v>
      </c>
      <c r="J49" t="inlineStr" s="8">
        <is>
          <t>NCR6668 - NCR6671 - NCR6667</t>
        </is>
      </c>
      <c r="K49" t="inlineStr" s="8">
        <is>
          <t>NCR6670 - NCR6669</t>
        </is>
      </c>
      <c r="L49" t="inlineStr" s="8">
        <is>
          <t>MAR.3/23F - MAY.19/23F - JUL.24/23 - AGO.3/23 - AGO.10/23</t>
        </is>
      </c>
      <c r="M49" s="9">
        <f>15846000+9871000+14235000</f>
      </c>
      <c r="N49" s="9"/>
      <c r="O49" s="8"/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3948000</v>
      </c>
      <c r="AF49" s="10"/>
      <c r="AG49" s="10">
        <v>8053000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9"/>
      <c r="BH49" s="9"/>
      <c r="BI49" s="9"/>
      <c r="BJ49" s="9"/>
      <c r="BK49" s="9">
        <f>SUM(M49,N49,Q49,R49,S49,T49,U49,V49,W49,X49,Y49,Z49,AA49,AB49,AC49,AD49,AE49,AF49,AG49,AH49,AI49,AJ49,AK49,AL49,AM49,AN49,AO49,AP49,AQ49,AR49,AS49,AT49,AU49,AV49,AW49,AX49,AY49,AZ49,BA49,BB49,BC49,BD49,BE49,BF49,BG49,BH49,BI49,BJ49)</f>
      </c>
      <c r="BL49" s="9">
        <f>I49-BK49</f>
      </c>
      <c r="BM49" s="9">
        <f>BL49-BN49-BO49-BP49-BQ49</f>
      </c>
      <c r="BN49" s="9"/>
      <c r="BO49" s="9"/>
      <c r="BP49" s="9"/>
      <c r="BQ49" s="9"/>
      <c r="BR49" s="8"/>
      <c r="BS49" t="inlineStr" s="8">
        <is>
          <t>2022-11-10</t>
        </is>
      </c>
      <c r="BT49" t="inlineStr" s="8">
        <is>
          <t>2022-11-24</t>
        </is>
      </c>
      <c r="BU49" s="8"/>
      <c r="BV49" s="8"/>
      <c r="BW49" s="8"/>
      <c r="BX49" s="8"/>
      <c r="BY49" s="8"/>
      <c r="BZ49" s="8"/>
      <c r="CA49" s="8"/>
      <c r="CB49" s="9"/>
      <c r="CC49" s="9"/>
      <c r="CD49" t="inlineStr" s="8">
        <is>
          <t>3166517415</t>
        </is>
      </c>
      <c r="CE49" t="inlineStr" s="8">
        <is>
          <t>griffin.will.75884208@example.com</t>
        </is>
      </c>
      <c r="CF49" t="inlineStr" s="8">
        <is>
          <t>MOUSE MICKEY CEL: 3166517695</t>
        </is>
      </c>
      <c r="CG49" s="8"/>
    </row>
    <row r="50" ht="12.75" customHeight="1">
      <c r="A50" t="inlineStr" s="8">
        <is>
          <t>60007919110220</t>
        </is>
      </c>
      <c r="B50" s="8"/>
      <c r="C50" t="inlineStr" s="8">
        <is>
          <t>704</t>
        </is>
      </c>
      <c r="D50" s="9">
        <v>55.20</v>
      </c>
      <c r="E50" t="inlineStr" s="8">
        <is>
          <t>75886979</t>
        </is>
      </c>
      <c r="F50" t="inlineStr" s="8">
        <is>
          <t>GREEN CHLOE</t>
        </is>
      </c>
      <c r="G50" s="8"/>
      <c r="H50" t="inlineStr" s="8">
        <is>
          <t>BANCO CAJA SOCIAL</t>
        </is>
      </c>
      <c r="I50" s="9">
        <v>192172500.00</v>
      </c>
      <c r="J50" t="inlineStr" s="8">
        <is>
          <t>NC6673CESION - NCR6685CR</t>
        </is>
      </c>
      <c r="K50" t="inlineStr" s="8">
        <is>
          <t>NCR6677 - NCR6678 - NCR6681 - NCR6679 - NCR6683 - NCR6684 - NCR6680 - NCR6682 - NCR6676 - NCR6674 - NCR6675</t>
        </is>
      </c>
      <c r="L50" t="inlineStr" s="8">
        <is>
          <t>ENE.15/22F - FEB.13/22F - FEB.27/22F - MAR.22/22F - MAY.23/22F - SEP.10/22F - SEP.20/22F - SEP.27/22F - OCT.17/22F - OCT.19/22F - OCT.24/22F - (NOV.18/22CESION)</t>
        </is>
      </c>
      <c r="M50" s="9"/>
      <c r="N50" s="9">
        <v>15000000</v>
      </c>
      <c r="O50" t="inlineStr" s="8">
        <is>
          <t>DIC.8/22</t>
        </is>
      </c>
      <c r="P50" s="8"/>
      <c r="Q50" s="10">
        <v>100000</v>
      </c>
      <c r="R50" s="10">
        <f>100000+286000</f>
      </c>
      <c r="S50" s="10">
        <v>100000</v>
      </c>
      <c r="T50" s="10"/>
      <c r="U50" s="10">
        <v>1285000</v>
      </c>
      <c r="V50" s="10"/>
      <c r="W50" s="10"/>
      <c r="X50" s="10"/>
      <c r="Y50" s="10">
        <f>84334+411000+1258000</f>
      </c>
      <c r="Z50" s="10">
        <f>1142000+589000+3570000</f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9">
        <v>11962666</v>
      </c>
      <c r="BH50" s="9"/>
      <c r="BI50" s="9"/>
      <c r="BJ50" s="9"/>
      <c r="BK50" s="9">
        <f>SUM(M50,N50,Q50,R50,S50,T50,U50,V50,W50,X50,Y50,Z50,AA50,AB50,AC50,AD50,AE50,AF50,AG50,AH50,AI50,AJ50,AK50,AL50,AM50,AN50,AO50,AP50,AQ50,AR50,AS50,AT50,AU50,AV50,AW50,AX50,AY50,AZ50,BA50,BB50,BC50,BD50,BE50,BF50,BG50,BH50,BI50,BJ50)</f>
      </c>
      <c r="BL50" s="9">
        <f>I50-BK50</f>
      </c>
      <c r="BM50" s="9">
        <f>BL50-BN50-BO50-BP50-BQ50</f>
      </c>
      <c r="BN50" s="9"/>
      <c r="BO50" s="9"/>
      <c r="BP50" s="9"/>
      <c r="BQ50" s="9"/>
      <c r="BR50" s="8"/>
      <c r="BS50" t="inlineStr" s="8">
        <is>
          <t>2022-03-08</t>
        </is>
      </c>
      <c r="BT50" t="inlineStr" s="8">
        <is>
          <t>2022-06-15</t>
        </is>
      </c>
      <c r="BU50" s="8"/>
      <c r="BV50" s="8"/>
      <c r="BW50" s="8"/>
      <c r="BX50" s="8"/>
      <c r="BY50" s="8"/>
      <c r="BZ50" s="8"/>
      <c r="CA50" s="8"/>
      <c r="CB50" s="9"/>
      <c r="CC50" s="9"/>
      <c r="CD50" t="inlineStr" s="8">
        <is>
          <t>3166519302</t>
        </is>
      </c>
      <c r="CE50" t="inlineStr" s="8">
        <is>
          <t>green.chloe.75886979@example.com</t>
        </is>
      </c>
      <c r="CF50" t="inlineStr" s="8">
        <is>
          <t>FINN CEL: 3166520243</t>
        </is>
      </c>
      <c r="CG50" t="inlineStr" s="8">
        <is>
          <t>NC6673 NOV.18/22 CESION DE MORTY HOFSTADTER A CHLOE GREEN *ANTIC $15.000.000 *ARRAS $4'640</t>
        </is>
      </c>
    </row>
    <row r="51" ht="12.75" customHeight="1">
      <c r="A51" t="inlineStr" s="8">
        <is>
          <t>60007919110397</t>
        </is>
      </c>
      <c r="B51" s="8"/>
      <c r="C51" t="inlineStr" s="8">
        <is>
          <t>705</t>
        </is>
      </c>
      <c r="D51" s="9">
        <v>55.20</v>
      </c>
      <c r="E51" t="inlineStr" s="8">
        <is>
          <t>75897765</t>
        </is>
      </c>
      <c r="F51" t="inlineStr" s="8">
        <is>
          <t>GELLER LISA</t>
        </is>
      </c>
      <c r="G51" s="8"/>
      <c r="H51" t="inlineStr" s="8">
        <is>
          <t>BANCO DAVIVIENDA</t>
        </is>
      </c>
      <c r="I51" s="9">
        <v>192172500.00</v>
      </c>
      <c r="J51" t="inlineStr" s="8">
        <is>
          <t>NCR6689 - NCR6687 - NCR6695CR</t>
        </is>
      </c>
      <c r="K51" t="inlineStr" s="8">
        <is>
          <t>NCR6694 - NCR6691 - NCR6688 - NCR6693 - NCR6692 - NCR6690</t>
        </is>
      </c>
      <c r="L51" t="inlineStr" s="8">
        <is>
          <t>NOV.18/23 - DIC.21/23F - FEB.1/24F - FEB.2/24F - FEB.10/24F - MAR.4/24F - JUN.3/24 - OCT.23/24F</t>
        </is>
      </c>
      <c r="M51" s="9">
        <f>1115000+2007000</f>
      </c>
      <c r="N51" s="9"/>
      <c r="O51" t="inlineStr" s="8">
        <is>
          <t>OCT.11/24</t>
        </is>
      </c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>
        <v>9144500</v>
      </c>
      <c r="AO51" s="10"/>
      <c r="AP51" s="10">
        <f>1264000+372000+20445000</f>
      </c>
      <c r="AQ51" s="10">
        <v>1747000</v>
      </c>
      <c r="AR51" s="10"/>
      <c r="AS51" s="10"/>
      <c r="AT51" s="10"/>
      <c r="AU51" s="10"/>
      <c r="AV51" s="10"/>
      <c r="AW51" s="10"/>
      <c r="AX51" s="10">
        <v>1078000</v>
      </c>
      <c r="AY51" s="10"/>
      <c r="AZ51" s="10"/>
      <c r="BA51" s="10"/>
      <c r="BB51" s="10"/>
      <c r="BC51" s="10"/>
      <c r="BD51" s="10"/>
      <c r="BE51" s="10"/>
      <c r="BF51" s="10"/>
      <c r="BG51" s="9">
        <v>125000000</v>
      </c>
      <c r="BH51" s="9"/>
      <c r="BI51" s="9"/>
      <c r="BJ51" s="9"/>
      <c r="BK51" s="9">
        <f>SUM(M51,N51,Q51,R51,S51,T51,U51,V51,W51,X51,Y51,Z51,AA51,AB51,AC51,AD51,AE51,AF51,AG51,AH51,AI51,AJ51,AK51,AL51,AM51,AN51,AO51,AP51,AQ51,AR51,AS51,AT51,AU51,AV51,AW51,AX51,AY51,AZ51,BA51,BB51,BC51,BD51,BE51,BF51,BG51,BH51,BI51,BJ51)</f>
      </c>
      <c r="BL51" s="9">
        <f>I51-BK51</f>
      </c>
      <c r="BM51" s="9">
        <f>BL51-BN51-BO51-BP51-BQ51</f>
      </c>
      <c r="BN51" s="9"/>
      <c r="BO51" s="9"/>
      <c r="BP51" s="9"/>
      <c r="BQ51" s="9"/>
      <c r="BR51" s="8"/>
      <c r="BS51" t="inlineStr" s="8">
        <is>
          <t>2024-01-06</t>
        </is>
      </c>
      <c r="BT51" t="inlineStr" s="8">
        <is>
          <t>2024-04-23</t>
        </is>
      </c>
      <c r="BU51" t="inlineStr" s="8">
        <is>
          <t>2024-11-10</t>
        </is>
      </c>
      <c r="BV51" s="8"/>
      <c r="BW51" s="8"/>
      <c r="BX51" s="8"/>
      <c r="BY51" s="8"/>
      <c r="BZ51" s="8"/>
      <c r="CA51" s="8"/>
      <c r="CB51" s="9"/>
      <c r="CC51" s="9"/>
      <c r="CD51" t="inlineStr" s="8">
        <is>
          <t>3166520921</t>
        </is>
      </c>
      <c r="CE51" t="inlineStr" s="8">
        <is>
          <t>geller.lisa.75897765@example.com</t>
        </is>
      </c>
      <c r="CF51" t="inlineStr" s="8">
        <is>
          <t>FINN CEL: 3166521037</t>
        </is>
      </c>
      <c r="CG51" s="8"/>
    </row>
    <row r="52" ht="12.75" customHeight="1">
      <c r="A52" t="inlineStr" s="8">
        <is>
          <t>60007919110469</t>
        </is>
      </c>
      <c r="B52" s="8"/>
      <c r="C52" t="inlineStr" s="8">
        <is>
          <t>706</t>
        </is>
      </c>
      <c r="D52" s="9">
        <v>55.20</v>
      </c>
      <c r="E52" t="inlineStr" s="8">
        <is>
          <t>75905677</t>
        </is>
      </c>
      <c r="F52" t="inlineStr" s="8">
        <is>
          <t>DECKER SQUIDWARD</t>
        </is>
      </c>
      <c r="G52" s="8"/>
      <c r="H52" s="8"/>
      <c r="I52" s="9">
        <v>192172500.00</v>
      </c>
      <c r="J52" t="inlineStr" s="8">
        <is>
          <t>NCR6708 - NCR6704 - NCR6699 - NCR6703 - NCR6709 - NCR6710 - NCR6707 - NCR6698</t>
        </is>
      </c>
      <c r="K52" t="inlineStr" s="8">
        <is>
          <t>NCR6705 - NCR6700 - NCR6697 - NCR6702 - NCR6706 - NCR6701</t>
        </is>
      </c>
      <c r="L52" t="inlineStr" s="8">
        <is>
          <t>OCT.21/22F - DIC.5/22F - DIC.11/22F - FEB.4/23F - FEB.5/23F - ABR.17/23F - JUN.2/23 - JUN.21/23 - JUN.22/23 - JUN.26/23 - JUL.13/23 - JUL.22/23 - JUL.24/23 - JUL.25/23</t>
        </is>
      </c>
      <c r="M52" s="9">
        <f>577000+3075000+27673000+17488000+3649500+28442000+4036000+2114000</f>
      </c>
      <c r="N52" s="9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>
        <v>18256000</v>
      </c>
      <c r="AA52" s="10"/>
      <c r="AB52" s="10">
        <f>192000+2883000</f>
      </c>
      <c r="AC52" s="10"/>
      <c r="AD52" s="10">
        <f>1345000+1345000</f>
      </c>
      <c r="AE52" s="10"/>
      <c r="AF52" s="10">
        <v>81097000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9"/>
      <c r="BH52" s="9"/>
      <c r="BI52" s="9"/>
      <c r="BJ52" s="9"/>
      <c r="BK52" s="9">
        <f>SUM(M52,N52,Q52,R52,S52,T52,U52,V52,W52,X52,Y52,Z52,AA52,AB52,AC52,AD52,AE52,AF52,AG52,AH52,AI52,AJ52,AK52,AL52,AM52,AN52,AO52,AP52,AQ52,AR52,AS52,AT52,AU52,AV52,AW52,AX52,AY52,AZ52,BA52,BB52,BC52,BD52,BE52,BF52,BG52,BH52,BI52,BJ52)</f>
      </c>
      <c r="BL52" s="9">
        <f>I52-BK52</f>
      </c>
      <c r="BM52" s="9">
        <f>BL52-BN52-BO52-BP52-BQ52</f>
      </c>
      <c r="BN52" s="9"/>
      <c r="BO52" s="9"/>
      <c r="BP52" s="9"/>
      <c r="BQ52" s="9"/>
      <c r="BR52" s="8"/>
      <c r="BS52" t="inlineStr" s="8">
        <is>
          <t>2022-12-01</t>
        </is>
      </c>
      <c r="BT52" t="inlineStr" s="8">
        <is>
          <t>2023-02-19</t>
        </is>
      </c>
      <c r="BU52" t="inlineStr" s="8">
        <is>
          <t>2024-01-24</t>
        </is>
      </c>
      <c r="BV52" s="8"/>
      <c r="BW52" s="8"/>
      <c r="BX52" s="8"/>
      <c r="BY52" s="8"/>
      <c r="BZ52" s="8"/>
      <c r="CA52" s="8"/>
      <c r="CB52" s="9"/>
      <c r="CC52" s="9"/>
      <c r="CD52" t="inlineStr" s="8">
        <is>
          <t>3166521395</t>
        </is>
      </c>
      <c r="CE52" t="inlineStr" s="8">
        <is>
          <t>decker.squidward.75905677@example.com</t>
        </is>
      </c>
      <c r="CF52" t="inlineStr" s="8">
        <is>
          <t>FINN CEL: 3166521432</t>
        </is>
      </c>
      <c r="CG52" s="8"/>
    </row>
    <row r="53" ht="12.75" customHeight="1">
      <c r="A53" t="inlineStr" s="8">
        <is>
          <t>60007919110625</t>
        </is>
      </c>
      <c r="B53" s="8"/>
      <c r="C53" t="inlineStr" s="8">
        <is>
          <t>707</t>
        </is>
      </c>
      <c r="D53" s="9">
        <v>55.20</v>
      </c>
      <c r="E53" t="inlineStr" s="8">
        <is>
          <t>75913691</t>
        </is>
      </c>
      <c r="F53" t="inlineStr" s="8">
        <is>
          <t>FRING LEONARD</t>
        </is>
      </c>
      <c r="G53" t="inlineStr" s="8">
        <is>
          <t>MARTIN DWIGHT</t>
        </is>
      </c>
      <c r="H53" s="8"/>
      <c r="I53" s="9">
        <v>192172500.00</v>
      </c>
      <c r="J53" t="inlineStr" s="8">
        <is>
          <t>NCR6720 - NCR6711 - NCR6713 - NCR6714 - NCR6712</t>
        </is>
      </c>
      <c r="K53" t="inlineStr" s="8">
        <is>
          <t>NCR6716 - NCR6717 - NCR6718 - NCR6715 - NCR6719</t>
        </is>
      </c>
      <c r="L53" t="inlineStr" s="8">
        <is>
          <t>FEB.27/23F - ABR.2/23F - JUN.6/23F - DIC.5/23 - DIC.13/23 - DIC.21/23 - DIC.23/23 - DIC.26/23 - ENE.28/24F - MAR.19/24F</t>
        </is>
      </c>
      <c r="M53" s="9">
        <f>33663000+9744000+19312000+709000+16122500</f>
      </c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>
        <v>4429000</v>
      </c>
      <c r="AE53" s="10"/>
      <c r="AF53" s="10">
        <v>12048000</v>
      </c>
      <c r="AG53" s="10"/>
      <c r="AH53" s="10">
        <v>27462000</v>
      </c>
      <c r="AI53" s="10"/>
      <c r="AJ53" s="10"/>
      <c r="AK53" s="10"/>
      <c r="AL53" s="10"/>
      <c r="AM53" s="10"/>
      <c r="AN53" s="10"/>
      <c r="AO53" s="10">
        <v>6024000</v>
      </c>
      <c r="AP53" s="10"/>
      <c r="AQ53" s="10">
        <v>47659000</v>
      </c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9"/>
      <c r="BH53" s="9"/>
      <c r="BI53" s="9"/>
      <c r="BJ53" s="9"/>
      <c r="BK53" s="9">
        <f>SUM(M53,N53,Q53,R53,S53,T53,U53,V53,W53,X53,Y53,Z53,AA53,AB53,AC53,AD53,AE53,AF53,AG53,AH53,AI53,AJ53,AK53,AL53,AM53,AN53,AO53,AP53,AQ53,AR53,AS53,AT53,AU53,AV53,AW53,AX53,AY53,AZ53,BA53,BB53,BC53,BD53,BE53,BF53,BG53,BH53,BI53,BJ53)</f>
      </c>
      <c r="BL53" s="9">
        <f>I53-BK53</f>
      </c>
      <c r="BM53" s="9">
        <f>BL53-BN53-BO53-BP53-BQ53</f>
      </c>
      <c r="BN53" s="9"/>
      <c r="BO53" s="9"/>
      <c r="BP53" s="9"/>
      <c r="BQ53" s="9"/>
      <c r="BR53" s="8"/>
      <c r="BS53" t="inlineStr" s="8">
        <is>
          <t>2022-12-08</t>
        </is>
      </c>
      <c r="BT53" t="inlineStr" s="8">
        <is>
          <t>2023-01-26</t>
        </is>
      </c>
      <c r="BU53" t="inlineStr" s="8">
        <is>
          <t>2024-07-19</t>
        </is>
      </c>
      <c r="BV53" s="8"/>
      <c r="BW53" s="8"/>
      <c r="BX53" s="8"/>
      <c r="BY53" s="8"/>
      <c r="BZ53" s="8"/>
      <c r="CA53" s="8"/>
      <c r="CB53" s="9"/>
      <c r="CC53" s="9"/>
      <c r="CD53" t="inlineStr" s="8">
        <is>
          <t>3166521473</t>
        </is>
      </c>
      <c r="CE53" t="inlineStr" s="8">
        <is>
          <t>fring.leonard.75913691@example.com</t>
        </is>
      </c>
      <c r="CF53" t="inlineStr" s="8">
        <is>
          <t>MOUSE MICKEY CEL: 3166522050</t>
        </is>
      </c>
      <c r="CG53" s="8"/>
    </row>
    <row r="54" ht="13.15" customHeight="1">
      <c r="A54" s="8"/>
      <c r="B54" s="8"/>
      <c r="C54" s="8"/>
      <c r="D54" s="9">
        <f>SUM(D5:D53)</f>
      </c>
      <c r="E54" s="8"/>
      <c r="F54" t="inlineStr" s="8">
        <is>
          <t>TOTAL VENTAS</t>
        </is>
      </c>
      <c r="G54" s="8"/>
      <c r="H54" s="8"/>
      <c r="I54" s="9">
        <f>SUM(I5:I53)</f>
      </c>
      <c r="J54" s="8"/>
      <c r="K54" s="8"/>
      <c r="L54" s="8"/>
      <c r="M54" s="9"/>
      <c r="N54" s="9">
        <f>SUM(N5:N53)</f>
      </c>
      <c r="O54" s="8"/>
      <c r="P54" s="8"/>
      <c r="Q54" s="10">
        <f>SUM(Q5:Q53)</f>
      </c>
      <c r="R54" s="10">
        <f>SUM(R5:R53)</f>
      </c>
      <c r="S54" s="10">
        <f>SUM(S5:S53)</f>
      </c>
      <c r="T54" s="10">
        <f>SUM(T5:T53)</f>
      </c>
      <c r="U54" s="10">
        <f>SUM(U5:U53)</f>
      </c>
      <c r="V54" s="10">
        <f>SUM(V5:V53)</f>
      </c>
      <c r="W54" s="10">
        <f>SUM(W5:W53)</f>
      </c>
      <c r="X54" s="10">
        <f>SUM(X5:X53)</f>
      </c>
      <c r="Y54" s="10">
        <f>SUM(Y5:Y53)</f>
      </c>
      <c r="Z54" s="10">
        <f>SUM(Z5:Z53)</f>
      </c>
      <c r="AA54" s="10">
        <f>SUM(AA5:AA53)</f>
      </c>
      <c r="AB54" s="10">
        <f>SUM(AB5:AB53)</f>
      </c>
      <c r="AC54" s="10">
        <f>SUM(AC5:AC53)</f>
      </c>
      <c r="AD54" s="10">
        <f>SUM(AD5:AD53)</f>
      </c>
      <c r="AE54" s="10">
        <f>SUM(AE5:AE53)</f>
      </c>
      <c r="AF54" s="10">
        <f>SUM(AF5:AF53)</f>
      </c>
      <c r="AG54" s="10">
        <f>SUM(AG5:AG53)</f>
      </c>
      <c r="AH54" s="10">
        <f>SUM(AH5:AH53)</f>
      </c>
      <c r="AI54" s="10">
        <f>SUM(AI5:AI53)</f>
      </c>
      <c r="AJ54" s="10">
        <f>SUM(AJ5:AJ53)</f>
      </c>
      <c r="AK54" s="10">
        <f>SUM(AK5:AK53)</f>
      </c>
      <c r="AL54" s="10">
        <f>SUM(AL5:AL53)</f>
      </c>
      <c r="AM54" s="10">
        <f>SUM(AM5:AM53)</f>
      </c>
      <c r="AN54" s="10">
        <f>SUM(AN5:AN53)</f>
      </c>
      <c r="AO54" s="10">
        <f>SUM(AO5:AO53)</f>
      </c>
      <c r="AP54" s="10">
        <f>SUM(AP5:AP53)</f>
      </c>
      <c r="AQ54" s="10">
        <f>SUM(AQ5:AQ53)</f>
      </c>
      <c r="AR54" s="10">
        <f>SUM(AR5:AR53)</f>
      </c>
      <c r="AS54" s="10">
        <f>SUM(AS5:AS53)</f>
      </c>
      <c r="AT54" s="10">
        <f>SUM(AT5:AT53)</f>
      </c>
      <c r="AU54" s="10">
        <f>SUM(AU5:AU53)</f>
      </c>
      <c r="AV54" s="10">
        <f>SUM(AV5:AV53)</f>
      </c>
      <c r="AW54" s="10">
        <f>SUM(AW5:AW53)</f>
      </c>
      <c r="AX54" s="10">
        <f>SUM(AX5:AX53)</f>
      </c>
      <c r="AY54" s="10">
        <f>SUM(AY5:AY53)</f>
      </c>
      <c r="AZ54" s="10">
        <f>SUM(AZ5:AZ53)</f>
      </c>
      <c r="BA54" s="10">
        <f>SUM(BA5:BA53)</f>
      </c>
      <c r="BB54" s="10">
        <f>SUM(BB5:BB53)</f>
      </c>
      <c r="BC54" s="10">
        <f>SUM(BC5:BC53)</f>
      </c>
      <c r="BD54" s="10">
        <f>SUM(BD5:BD53)</f>
      </c>
      <c r="BE54" s="10">
        <f>SUM(BE5:BE53)</f>
      </c>
      <c r="BF54" s="10">
        <f>SUM(BF5:BF53)</f>
      </c>
      <c r="BG54" s="9">
        <f>SUM(BG5:BG53)</f>
      </c>
      <c r="BH54" s="9">
        <f>SUM(BH5:BH53)</f>
      </c>
      <c r="BI54" s="9">
        <f>SUM(BI5:BI53)</f>
      </c>
      <c r="BJ54" s="9">
        <f>SUM(BJ5:BJ53)</f>
      </c>
      <c r="BK54" s="9">
        <f>SUM(BK5:BK53)</f>
      </c>
      <c r="BL54" s="9">
        <f>SUM(BL5:BL53)</f>
      </c>
      <c r="BM54" s="9">
        <f>SUM(BM5:BM53)</f>
      </c>
      <c r="BN54" s="9">
        <f>SUM(BN5:BN53)</f>
      </c>
      <c r="BO54" s="9">
        <f>SUM(BO5:BO53)</f>
      </c>
      <c r="BP54" s="9">
        <f>SUM(BP5:BP53)</f>
      </c>
      <c r="BQ54" s="9">
        <f>SUM(BQ5:BQ53)</f>
      </c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>
        <f>SUM(CB5:CB53)</f>
      </c>
      <c r="CC54" s="9">
        <f>SUM(CC5:CC53)</f>
      </c>
      <c r="CD54" s="8"/>
      <c r="CE54" s="8"/>
      <c r="CF54" s="8"/>
      <c r="CG54" s="8"/>
    </row>
    <row r="55" ht="13.15" customHeight="1">
      <c r="A55" s="8"/>
      <c r="B55" s="8"/>
      <c r="C55" s="8"/>
      <c r="D55" s="9"/>
      <c r="E55" s="8"/>
      <c r="F55" t="inlineStr" s="8">
        <is>
          <t>POR VENDER</t>
        </is>
      </c>
      <c r="G55" s="8"/>
      <c r="H55" s="8"/>
      <c r="I55" s="9"/>
      <c r="J55" s="8"/>
      <c r="K55" s="8"/>
      <c r="L55" s="8"/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8"/>
      <c r="CE55" s="8"/>
      <c r="CF55" s="8"/>
      <c r="CG55" s="8"/>
    </row>
    <row r="56" ht="13.15" customHeight="1">
      <c r="A56" s="8"/>
      <c r="B56" s="8"/>
      <c r="C56" s="8"/>
      <c r="D56" s="9">
        <f>SUM(D5:D53)</f>
      </c>
      <c r="E56" s="8"/>
      <c r="F56" t="inlineStr" s="8">
        <is>
          <t>TOTAL</t>
        </is>
      </c>
      <c r="G56" s="8"/>
      <c r="H56" s="8"/>
      <c r="I56" s="9">
        <f>SUM(I5:I53)</f>
      </c>
      <c r="J56" s="8"/>
      <c r="K56" s="8"/>
      <c r="L56" s="8"/>
      <c r="M56" s="9"/>
      <c r="N56" s="9">
        <f>SUM(N5:N53)</f>
      </c>
      <c r="O56" s="8"/>
      <c r="P56" s="8"/>
      <c r="Q56" s="10">
        <f>SUM(Q5:Q53)</f>
      </c>
      <c r="R56" s="10">
        <f>SUM(R5:R53)</f>
      </c>
      <c r="S56" s="10">
        <f>SUM(S5:S53)</f>
      </c>
      <c r="T56" s="10">
        <f>SUM(T5:T53)</f>
      </c>
      <c r="U56" s="10">
        <f>SUM(U5:U53)</f>
      </c>
      <c r="V56" s="10">
        <f>SUM(V5:V53)</f>
      </c>
      <c r="W56" s="10">
        <f>SUM(W5:W53)</f>
      </c>
      <c r="X56" s="10">
        <f>SUM(X5:X53)</f>
      </c>
      <c r="Y56" s="10">
        <f>SUM(Y5:Y53)</f>
      </c>
      <c r="Z56" s="10">
        <f>SUM(Z5:Z53)</f>
      </c>
      <c r="AA56" s="10">
        <f>SUM(AA5:AA53)</f>
      </c>
      <c r="AB56" s="10">
        <f>SUM(AB5:AB53)</f>
      </c>
      <c r="AC56" s="10">
        <f>SUM(AC5:AC53)</f>
      </c>
      <c r="AD56" s="10">
        <f>SUM(AD5:AD53)</f>
      </c>
      <c r="AE56" s="10">
        <f>SUM(AE5:AE53)</f>
      </c>
      <c r="AF56" s="10">
        <f>SUM(AF5:AF53)</f>
      </c>
      <c r="AG56" s="10">
        <f>SUM(AG5:AG53)</f>
      </c>
      <c r="AH56" s="10">
        <f>SUM(AH5:AH53)</f>
      </c>
      <c r="AI56" s="10">
        <f>SUM(AI5:AI53)</f>
      </c>
      <c r="AJ56" s="10">
        <f>SUM(AJ5:AJ53)</f>
      </c>
      <c r="AK56" s="10">
        <f>SUM(AK5:AK53)</f>
      </c>
      <c r="AL56" s="10">
        <f>SUM(AL5:AL53)</f>
      </c>
      <c r="AM56" s="10">
        <f>SUM(AM5:AM53)</f>
      </c>
      <c r="AN56" s="10">
        <f>SUM(AN5:AN53)</f>
      </c>
      <c r="AO56" s="10">
        <f>SUM(AO5:AO53)</f>
      </c>
      <c r="AP56" s="10">
        <f>SUM(AP5:AP53)</f>
      </c>
      <c r="AQ56" s="10">
        <f>SUM(AQ5:AQ53)</f>
      </c>
      <c r="AR56" s="10">
        <f>SUM(AR5:AR53)</f>
      </c>
      <c r="AS56" s="10">
        <f>SUM(AS5:AS53)</f>
      </c>
      <c r="AT56" s="10">
        <f>SUM(AT5:AT53)</f>
      </c>
      <c r="AU56" s="10">
        <f>SUM(AU5:AU53)</f>
      </c>
      <c r="AV56" s="10">
        <f>SUM(AV5:AV53)</f>
      </c>
      <c r="AW56" s="10">
        <f>SUM(AW5:AW53)</f>
      </c>
      <c r="AX56" s="10">
        <f>SUM(AX5:AX53)</f>
      </c>
      <c r="AY56" s="10">
        <f>SUM(AY5:AY53)</f>
      </c>
      <c r="AZ56" s="10">
        <f>SUM(AZ5:AZ53)</f>
      </c>
      <c r="BA56" s="10">
        <f>SUM(BA5:BA53)</f>
      </c>
      <c r="BB56" s="10">
        <f>SUM(BB5:BB53)</f>
      </c>
      <c r="BC56" s="10">
        <f>SUM(BC5:BC53)</f>
      </c>
      <c r="BD56" s="10">
        <f>SUM(BD5:BD53)</f>
      </c>
      <c r="BE56" s="10">
        <f>SUM(BE5:BE53)</f>
      </c>
      <c r="BF56" s="10">
        <f>SUM(BF5:BF53)</f>
      </c>
      <c r="BG56" s="9">
        <f>SUM(BG5:BG53)</f>
      </c>
      <c r="BH56" s="9">
        <f>SUM(BH5:BH53)</f>
      </c>
      <c r="BI56" s="9">
        <f>SUM(BI5:BI53)</f>
      </c>
      <c r="BJ56" s="9"/>
      <c r="BK56" s="9">
        <f>SUM(BK5:BK53)</f>
      </c>
      <c r="BL56" s="9">
        <f>SUM(BL5:BL53)</f>
      </c>
      <c r="BM56" s="9">
        <f>SUM(BM5:BM53)</f>
      </c>
      <c r="BN56" s="9">
        <f>SUM(BN5:BN53)</f>
      </c>
      <c r="BO56" s="9">
        <f>SUM(BO5:BO53)</f>
      </c>
      <c r="BP56" s="9">
        <f>SUM(BP5:BP53)</f>
      </c>
      <c r="BQ56" s="9">
        <f>SUM(BQ5:BQ53)</f>
      </c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9">
        <f>SUM(CB5:CB53)</f>
      </c>
      <c r="CC56" s="9">
        <f>SUM(CC5:CC53)</f>
      </c>
      <c r="CD56" s="8"/>
      <c r="CE56" s="8"/>
      <c r="CF56" s="8"/>
      <c r="CG56" s="8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</row>
    <row r="58" ht="15.0" customHeight="1">
      <c r="A58" t="inlineStr" s="1">
        <is>
          <t>NOVEDADES / OBSERVACIONES</t>
        </is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ht="13.7" customHeight="1">
      <c r="A59" t="inlineStr" s="8">
        <is>
          <t>60007919155557</t>
        </is>
      </c>
      <c r="B59" t="inlineStr" s="8">
        <is>
          <t>60007919107412</t>
        </is>
      </c>
      <c r="C59" t="inlineStr" s="8">
        <is>
          <t>303</t>
        </is>
      </c>
      <c r="D59" s="9">
        <v>55.20</v>
      </c>
      <c r="E59" t="inlineStr" s="8">
        <is>
          <t>75686638</t>
        </is>
      </c>
      <c r="F59" t="inlineStr" s="8">
        <is>
          <t>LEYTON GÓMEZ MARÍA JOSÉ</t>
        </is>
      </c>
      <c r="G59" t="inlineStr" s="8">
        <is>
          <t>*CESION/ARRAS</t>
        </is>
      </c>
      <c r="H59" t="inlineStr" s="8">
        <is>
          <t>BANCO DE OCCIDENTE</t>
        </is>
      </c>
      <c r="I59" s="9">
        <v>192172500.00</v>
      </c>
      <c r="J59" s="8"/>
      <c r="K59" s="8"/>
      <c r="L59" t="inlineStr" s="8">
        <is>
          <t>2022-03-04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9"/>
      <c r="BH59" s="9"/>
      <c r="BI59" s="9"/>
      <c r="BJ59" s="9"/>
      <c r="BK59" s="9">
        <f>SUM(M59,N59,Q59,R59,S59,T59,U59,V59,W59,X59,Y59,Z59,AA59,AB59,AC59,AD59,AE59,AF59,AG59,AH59,AI59,AJ59,AK59,AL59,AM59,AN59,AO59,AP59,AQ59,AR59,AS59,AT59,AU59,AV59,AW59,AX59,AY59,AZ59,BA59,BB59,BC59,BD59,BE59,BF59,BG59,BH59,BI59,BJ59)</f>
      </c>
      <c r="BL59" s="9">
        <f>I59-BK59</f>
      </c>
      <c r="BM59" s="9">
        <f>BL59-BN59-BO59-BP59-BQ59</f>
      </c>
      <c r="BN59" s="9"/>
      <c r="BO59" s="9"/>
      <c r="BP59" s="9"/>
      <c r="BQ59" s="9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9"/>
      <c r="CC59" s="9"/>
      <c r="CD59" t="inlineStr" s="8">
        <is>
          <t>3217746503</t>
        </is>
      </c>
      <c r="CE59" t="inlineStr" s="8">
        <is>
          <t>majogol@msn.com</t>
        </is>
      </c>
      <c r="CF59" t="inlineStr" s="8">
        <is>
          <t>SANTIAGO LEYTON CEL: 3009898588</t>
        </is>
      </c>
      <c r="CG59" t="inlineStr" s="8">
        <is>
          <t>NC6383 MAR.4/22 CESION DE LEYTON MARIA A LUCAS TENTACLES *ANTIC $15.000.000 *ARRAS $4'640</t>
        </is>
      </c>
    </row>
    <row r="60" ht="13.7" customHeight="1">
      <c r="A60" t="inlineStr" s="8">
        <is>
          <t>60007919107412</t>
        </is>
      </c>
      <c r="B60" t="inlineStr" s="8">
        <is>
          <t>60007919107424</t>
        </is>
      </c>
      <c r="C60" t="inlineStr" s="8">
        <is>
          <t>303</t>
        </is>
      </c>
      <c r="D60" s="9">
        <v>55.20</v>
      </c>
      <c r="E60" s="8"/>
      <c r="F60" t="inlineStr" s="8">
        <is>
          <t>TENTACLES LUCAS</t>
        </is>
      </c>
      <c r="G60" t="inlineStr" s="8">
        <is>
          <t>*CESION/ARRAS - *CESION/ARRAS</t>
        </is>
      </c>
      <c r="H60" t="inlineStr" s="8">
        <is>
          <t>BANCO DE OCCIDENTE</t>
        </is>
      </c>
      <c r="I60" s="9">
        <v>192172500.00</v>
      </c>
      <c r="J60" s="8"/>
      <c r="K60" s="8"/>
      <c r="L60" t="inlineStr" s="8">
        <is>
          <t>2022-03-04 - 2023-03-04</t>
        </is>
      </c>
      <c r="M60" s="9"/>
      <c r="N60" s="9"/>
      <c r="O60" s="8"/>
      <c r="P60" s="8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9"/>
      <c r="BH60" s="9"/>
      <c r="BI60" s="9"/>
      <c r="BJ60" s="9"/>
      <c r="BK60" s="9">
        <f>SUM(M60,N60,Q60,R60,S60,T60,U60,V60,W60,X60,Y60,Z60,AA60,AB60,AC60,AD60,AE60,AF60,AG60,AH60,AI60,AJ60,AK60,AL60,AM60,AN60,AO60,AP60,AQ60,AR60,AS60,AT60,AU60,AV60,AW60,AX60,AY60,AZ60,BA60,BB60,BC60,BD60,BE60,BF60,BG60,BH60,BI60,BJ60)</f>
      </c>
      <c r="BL60" s="9">
        <f>I60-BK60</f>
      </c>
      <c r="BM60" s="9">
        <f>BL60-BN60-BO60-BP60-BQ60</f>
      </c>
      <c r="BN60" s="9"/>
      <c r="BO60" s="9"/>
      <c r="BP60" s="9"/>
      <c r="BQ60" s="9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9"/>
      <c r="CC60" s="9"/>
      <c r="CD60" t="inlineStr" s="8">
        <is>
          <t>3166487906</t>
        </is>
      </c>
      <c r="CE60" t="inlineStr" s="8">
        <is>
          <t>tentacles.lucas.75686638@example.com</t>
        </is>
      </c>
      <c r="CF60" t="inlineStr" s="8">
        <is>
          <t>MOUSE MINNIE CEL: 3166489425</t>
        </is>
      </c>
      <c r="CG60" t="inlineStr" s="8">
        <is>
          <t>NC6383 MAR.4/22 CESION DE LEYTON MARIA A LUCAS TENTACLES *ANTIC $15.000.000 *ARRAS $4'640 - NC6383 MAR.4/23 CESION DE LUCAS TENTACLES A CLEVELAND WATSON *ANTIC $15.000.000 *ARRAS $4'640</t>
        </is>
      </c>
    </row>
    <row r="61" ht="13.7" customHeight="1">
      <c r="A61" t="inlineStr" s="8">
        <is>
          <t>60007919106831</t>
        </is>
      </c>
      <c r="B61" s="8"/>
      <c r="C61" t="inlineStr" s="8">
        <is>
          <t>206</t>
        </is>
      </c>
      <c r="D61" s="9">
        <v>55.20</v>
      </c>
      <c r="E61" t="inlineStr" s="8">
        <is>
          <t>75640154</t>
        </is>
      </c>
      <c r="F61" t="inlineStr" s="8">
        <is>
          <t>BUFFAY LUCAS</t>
        </is>
      </c>
      <c r="G61" t="inlineStr" s="8">
        <is>
          <t>*INCLUSION</t>
        </is>
      </c>
      <c r="H61" t="inlineStr" s="8">
        <is>
          <t>BANCOLOMBIA</t>
        </is>
      </c>
      <c r="I61" s="9">
        <v>192172500.00</v>
      </c>
      <c r="J61" s="8"/>
      <c r="K61" s="8"/>
      <c r="L61" t="inlineStr" s="8">
        <is>
          <t>2022-09-09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9"/>
      <c r="BH61" s="9"/>
      <c r="BI61" s="9"/>
      <c r="BJ61" s="9"/>
      <c r="BK61" s="9">
        <f>SUM(M61,N61,Q61,R61,S61,T61,U61,V61,W61,X61,Y61,Z61,AA61,AB61,AC61,AD61,AE61,AF61,AG61,AH61,AI61,AJ61,AK61,AL61,AM61,AN61,AO61,AP61,AQ61,AR61,AS61,AT61,AU61,AV61,AW61,AX61,AY61,AZ61,BA61,BB61,BC61,BD61,BE61,BF61,BG61,BH61,BI61,BJ61)</f>
      </c>
      <c r="BL61" s="9">
        <f>I61-BK61</f>
      </c>
      <c r="BM61" s="9">
        <f>BL61-BN61-BO61-BP61-BQ61</f>
      </c>
      <c r="BN61" s="9"/>
      <c r="BO61" s="9"/>
      <c r="BP61" s="9"/>
      <c r="BQ61" s="9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9"/>
      <c r="CC61" s="9"/>
      <c r="CD61" t="inlineStr" s="8">
        <is>
          <t>3166482697</t>
        </is>
      </c>
      <c r="CE61" t="inlineStr" s="8">
        <is>
          <t>buffay.lucas.75640154@example.com</t>
        </is>
      </c>
      <c r="CF61" t="inlineStr" s="8">
        <is>
          <t>MOUSE MICKEY CEL: 3166483744</t>
        </is>
      </c>
      <c r="CG61" t="inlineStr" s="8">
        <is>
          <t>NC6343 SEP.9/22 INCLUSION SANDY ROMANOFF</t>
        </is>
      </c>
    </row>
    <row r="62" ht="13.7" customHeight="1">
      <c r="A62" t="inlineStr" s="8">
        <is>
          <t>60007919110203</t>
        </is>
      </c>
      <c r="B62" t="inlineStr" s="8">
        <is>
          <t>60007919110220</t>
        </is>
      </c>
      <c r="C62" t="inlineStr" s="8">
        <is>
          <t>704</t>
        </is>
      </c>
      <c r="D62" s="9">
        <v>55.20</v>
      </c>
      <c r="E62" t="inlineStr" s="8">
        <is>
          <t>75885842</t>
        </is>
      </c>
      <c r="F62" t="inlineStr" s="8">
        <is>
          <t>HOFSTADTER MORTY</t>
        </is>
      </c>
      <c r="G62" t="inlineStr" s="8">
        <is>
          <t>*CESION/ARRAS</t>
        </is>
      </c>
      <c r="H62" t="inlineStr" s="8">
        <is>
          <t>BANCO CAJA SOCIAL</t>
        </is>
      </c>
      <c r="I62" s="9">
        <v>192172500.00</v>
      </c>
      <c r="J62" s="8"/>
      <c r="K62" s="8"/>
      <c r="L62" t="inlineStr" s="8">
        <is>
          <t>2022-11-18</t>
        </is>
      </c>
      <c r="M62" s="9"/>
      <c r="N62" s="9"/>
      <c r="O62" s="8"/>
      <c r="P62" s="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9"/>
      <c r="BH62" s="9"/>
      <c r="BI62" s="9"/>
      <c r="BJ62" s="9"/>
      <c r="BK62" s="9">
        <f>SUM(M62,N62,Q62,R62,S62,T62,U62,V62,W62,X62,Y62,Z62,AA62,AB62,AC62,AD62,AE62,AF62,AG62,AH62,AI62,AJ62,AK62,AL62,AM62,AN62,AO62,AP62,AQ62,AR62,AS62,AT62,AU62,AV62,AW62,AX62,AY62,AZ62,BA62,BB62,BC62,BD62,BE62,BF62,BG62,BH62,BI62,BJ62)</f>
      </c>
      <c r="BL62" s="9">
        <f>I62-BK62</f>
      </c>
      <c r="BM62" s="9">
        <f>BL62-BN62-BO62-BP62-BQ62</f>
      </c>
      <c r="BN62" s="9"/>
      <c r="BO62" s="9"/>
      <c r="BP62" s="9"/>
      <c r="BQ62" s="9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9"/>
      <c r="CC62" s="9"/>
      <c r="CD62" t="inlineStr" s="8">
        <is>
          <t>3166518477</t>
        </is>
      </c>
      <c r="CE62" t="inlineStr" s="8">
        <is>
          <t>hofstadter.morty.75885842@example.com</t>
        </is>
      </c>
      <c r="CF62" t="inlineStr" s="8">
        <is>
          <t>FINN CEL: 3166520243</t>
        </is>
      </c>
      <c r="CG62" t="inlineStr" s="8">
        <is>
          <t>NC6673 NOV.18/22 CESION DE MORTY HOFSTADTER A CHLOE GREEN *ANTIC $15.000.000 *ARRAS $4'640</t>
        </is>
      </c>
    </row>
    <row r="63" ht="13.7" customHeight="1">
      <c r="A63" t="inlineStr" s="8">
        <is>
          <t>60007919110220</t>
        </is>
      </c>
      <c r="B63" s="8"/>
      <c r="C63" t="inlineStr" s="8">
        <is>
          <t>704</t>
        </is>
      </c>
      <c r="D63" s="9">
        <v>55.20</v>
      </c>
      <c r="E63" t="inlineStr" s="8">
        <is>
          <t>75886979</t>
        </is>
      </c>
      <c r="F63" t="inlineStr" s="8">
        <is>
          <t>GREEN CHLOE</t>
        </is>
      </c>
      <c r="G63" t="inlineStr" s="8">
        <is>
          <t>*CESION/ARRAS</t>
        </is>
      </c>
      <c r="H63" t="inlineStr" s="8">
        <is>
          <t>BANCO CAJA SOCIAL</t>
        </is>
      </c>
      <c r="I63" s="9">
        <v>192172500.00</v>
      </c>
      <c r="J63" t="inlineStr" s="8">
        <is>
          <t>NC6673CESION - NCR6685CR</t>
        </is>
      </c>
      <c r="K63" t="inlineStr" s="8">
        <is>
          <t>NCR6675 - NCR6674 - NCR6676 - NCR6682 - NCR6680 - NCR6684 - NCR6683 - NCR6679 - NCR6681 - NCR6678 - NCR6677</t>
        </is>
      </c>
      <c r="L63" t="inlineStr" s="8">
        <is>
          <t>2022-11-18</t>
        </is>
      </c>
      <c r="M63" s="9"/>
      <c r="N63" s="9">
        <v>15000000</v>
      </c>
      <c r="O63" t="inlineStr" s="8">
        <is>
          <t>DIC.8/22</t>
        </is>
      </c>
      <c r="P63" s="8"/>
      <c r="Q63" s="10">
        <v>100000</v>
      </c>
      <c r="R63" s="10">
        <f>286000+100000</f>
      </c>
      <c r="S63" s="10">
        <v>100000</v>
      </c>
      <c r="T63" s="10"/>
      <c r="U63" s="10">
        <v>1285000</v>
      </c>
      <c r="V63" s="10"/>
      <c r="W63" s="10"/>
      <c r="X63" s="10"/>
      <c r="Y63" s="10">
        <f>1258000+411000+84334</f>
      </c>
      <c r="Z63" s="10">
        <f>3570000+589000+1142000</f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9">
        <v>11962666</v>
      </c>
      <c r="BH63" s="9"/>
      <c r="BI63" s="9"/>
      <c r="BJ63" s="9"/>
      <c r="BK63" s="9">
        <f>SUM(M63,N63,Q63,R63,S63,T63,U63,V63,W63,X63,Y63,Z63,AA63,AB63,AC63,AD63,AE63,AF63,AG63,AH63,AI63,AJ63,AK63,AL63,AM63,AN63,AO63,AP63,AQ63,AR63,AS63,AT63,AU63,AV63,AW63,AX63,AY63,AZ63,BA63,BB63,BC63,BD63,BE63,BF63,BG63,BH63,BI63,BJ63)</f>
      </c>
      <c r="BL63" s="9">
        <f>I63-BK63</f>
      </c>
      <c r="BM63" s="9">
        <f>BL63-BN63-BO63-BP63-BQ63</f>
      </c>
      <c r="BN63" s="9"/>
      <c r="BO63" s="9"/>
      <c r="BP63" s="9"/>
      <c r="BQ63" s="9"/>
      <c r="BR63" s="8"/>
      <c r="BS63" t="inlineStr" s="8">
        <is>
          <t>2022-03-08</t>
        </is>
      </c>
      <c r="BT63" t="inlineStr" s="8">
        <is>
          <t>2022-06-15</t>
        </is>
      </c>
      <c r="BU63" s="8"/>
      <c r="BV63" s="8"/>
      <c r="BW63" s="8"/>
      <c r="BX63" s="8"/>
      <c r="BY63" s="8"/>
      <c r="BZ63" s="8"/>
      <c r="CA63" s="8"/>
      <c r="CB63" s="9"/>
      <c r="CC63" s="9"/>
      <c r="CD63" t="inlineStr" s="8">
        <is>
          <t>3166519302</t>
        </is>
      </c>
      <c r="CE63" t="inlineStr" s="8">
        <is>
          <t>green.chloe.75886979@example.com</t>
        </is>
      </c>
      <c r="CF63" t="inlineStr" s="8">
        <is>
          <t>FINN CEL: 3166520243</t>
        </is>
      </c>
      <c r="CG63" t="inlineStr" s="8">
        <is>
          <t>NC6673 NOV.18/22 CESION DE MORTY HOFSTADTER A CHLOE GREEN *ANTIC $15.000.000 *ARRAS $4'640</t>
        </is>
      </c>
    </row>
    <row r="64" ht="13.7" customHeight="1">
      <c r="A64" t="inlineStr" s="8">
        <is>
          <t>60007919107424</t>
        </is>
      </c>
      <c r="B64" s="8"/>
      <c r="C64" t="inlineStr" s="8">
        <is>
          <t>303</t>
        </is>
      </c>
      <c r="D64" s="9">
        <v>55.20</v>
      </c>
      <c r="E64" t="inlineStr" s="8">
        <is>
          <t>75692028</t>
        </is>
      </c>
      <c r="F64" t="inlineStr" s="8">
        <is>
          <t>WATSON CLEVELAND</t>
        </is>
      </c>
      <c r="G64" t="inlineStr" s="8">
        <is>
          <t>*CESION/ARRAS</t>
        </is>
      </c>
      <c r="H64" t="inlineStr" s="8">
        <is>
          <t>BANCO DE OCCIDENTE</t>
        </is>
      </c>
      <c r="I64" s="9">
        <v>192172500.00</v>
      </c>
      <c r="J64" t="inlineStr" s="8">
        <is>
          <t>NCR6388 - NC6383CESION - NCR6391CR</t>
        </is>
      </c>
      <c r="K64" t="inlineStr" s="8">
        <is>
          <t>NCR6386 - NCR6390 - NCR6387 - NCR6389 - NCR6384 - NCR6385</t>
        </is>
      </c>
      <c r="L64" t="inlineStr" s="8">
        <is>
          <t>2023-03-04</t>
        </is>
      </c>
      <c r="M64" s="9">
        <v>342000</v>
      </c>
      <c r="N64" s="9">
        <v>15000000</v>
      </c>
      <c r="O64" t="inlineStr" s="8">
        <is>
          <t>DIC.23/23</t>
        </is>
      </c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>
        <v>344000</v>
      </c>
      <c r="AF64" s="10"/>
      <c r="AG64" s="10"/>
      <c r="AH64" s="10"/>
      <c r="AI64" s="10"/>
      <c r="AJ64" s="10"/>
      <c r="AK64" s="10"/>
      <c r="AL64" s="10"/>
      <c r="AM64" s="10"/>
      <c r="AN64" s="10">
        <v>470000</v>
      </c>
      <c r="AO64" s="10"/>
      <c r="AP64" s="10">
        <v>124000</v>
      </c>
      <c r="AQ64" s="10">
        <v>206000</v>
      </c>
      <c r="AR64" s="10">
        <v>180000</v>
      </c>
      <c r="AS64" s="10">
        <v>759000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9">
        <v>65000000</v>
      </c>
      <c r="BH64" s="9"/>
      <c r="BI64" s="9"/>
      <c r="BJ64" s="9"/>
      <c r="BK64" s="9">
        <f>SUM(M64,N64,Q64,R64,S64,T64,U64,V64,W64,X64,Y64,Z64,AA64,AB64,AC64,AD64,AE64,AF64,AG64,AH64,AI64,AJ64,AK64,AL64,AM64,AN64,AO64,AP64,AQ64,AR64,AS64,AT64,AU64,AV64,AW64,AX64,AY64,AZ64,BA64,BB64,BC64,BD64,BE64,BF64,BG64,BH64,BI64,BJ64)</f>
      </c>
      <c r="BL64" s="9">
        <f>I64-BK64</f>
      </c>
      <c r="BM64" s="9">
        <f>BL64-BN64-BO64-BP64-BQ64</f>
      </c>
      <c r="BN64" s="9"/>
      <c r="BO64" s="9"/>
      <c r="BP64" s="9"/>
      <c r="BQ64" s="9"/>
      <c r="BR64" s="8"/>
      <c r="BS64" t="inlineStr" s="8">
        <is>
          <t>2022-10-29</t>
        </is>
      </c>
      <c r="BT64" t="inlineStr" s="8">
        <is>
          <t>2023-02-09</t>
        </is>
      </c>
      <c r="BU64" s="8"/>
      <c r="BV64" s="8"/>
      <c r="BW64" s="8"/>
      <c r="BX64" s="8"/>
      <c r="BY64" s="8"/>
      <c r="BZ64" s="8"/>
      <c r="CA64" s="8"/>
      <c r="CB64" s="9"/>
      <c r="CC64" s="9"/>
      <c r="CD64" t="inlineStr" s="8">
        <is>
          <t>3166488834</t>
        </is>
      </c>
      <c r="CE64" t="inlineStr" s="8">
        <is>
          <t>watson.cleveland.75692028@example.com</t>
        </is>
      </c>
      <c r="CF64" t="inlineStr" s="8">
        <is>
          <t>MOUSE MINNIE CEL: 3166489425</t>
        </is>
      </c>
      <c r="CG64" t="inlineStr" s="8">
        <is>
          <t>NC6383 MAR.4/23 CESION DE LUCAS TENTACLES A CLEVELAND WATSON *ANTIC $15.000.000 *ARRAS $4'640</t>
        </is>
      </c>
    </row>
    <row r="65" ht="13.7" customHeight="1">
      <c r="A65" t="inlineStr" s="8">
        <is>
          <t>60007919105580</t>
        </is>
      </c>
      <c r="B65" s="8"/>
      <c r="C65" t="inlineStr" s="8">
        <is>
          <t>103</t>
        </is>
      </c>
      <c r="D65" s="9">
        <v>55.20</v>
      </c>
      <c r="E65" t="inlineStr" s="8">
        <is>
          <t>75540528</t>
        </is>
      </c>
      <c r="F65" t="inlineStr" s="8">
        <is>
          <t>KOOTHRAPPALI LEONARD</t>
        </is>
      </c>
      <c r="G65" t="inlineStr" s="8">
        <is>
          <t>*INCLUSION</t>
        </is>
      </c>
      <c r="H65" t="inlineStr" s="8">
        <is>
          <t>BANCO CAJA SOCIAL</t>
        </is>
      </c>
      <c r="I65" s="9">
        <v>192172500.00</v>
      </c>
      <c r="J65" s="8"/>
      <c r="K65" s="8"/>
      <c r="L65" t="inlineStr" s="8">
        <is>
          <t>2023-03-08</t>
        </is>
      </c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9"/>
      <c r="BH65" s="9"/>
      <c r="BI65" s="9"/>
      <c r="BJ65" s="9"/>
      <c r="BK65" s="9">
        <f>SUM(M65,N65,Q65,R65,S65,T65,U65,V65,W65,X65,Y65,Z65,AA65,AB65,AC65,AD65,AE65,AF65,AG65,AH65,AI65,AJ65,AK65,AL65,AM65,AN65,AO65,AP65,AQ65,AR65,AS65,AT65,AU65,AV65,AW65,AX65,AY65,AZ65,BA65,BB65,BC65,BD65,BE65,BF65,BG65,BH65,BI65,BJ65)</f>
      </c>
      <c r="BL65" s="9">
        <f>I65-BK65</f>
      </c>
      <c r="BM65" s="9">
        <f>BL65-BN65-BO65-BP65-BQ65</f>
      </c>
      <c r="BN65" s="9"/>
      <c r="BO65" s="9"/>
      <c r="BP65" s="9"/>
      <c r="BQ65" s="9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9"/>
      <c r="CC65" s="9"/>
      <c r="CD65" t="inlineStr" s="8">
        <is>
          <t>3166470279</t>
        </is>
      </c>
      <c r="CE65" t="inlineStr" s="8">
        <is>
          <t>koothrappali.leonard.75540528@example.com</t>
        </is>
      </c>
      <c r="CF65" t="inlineStr" s="8">
        <is>
          <t>DUCK DAFFY CEL: 3166471034</t>
        </is>
      </c>
      <c r="CG65" t="inlineStr" s="8">
        <is>
          <t>NC6257 MAR.8/23 INCLUSION HAN TANO</t>
        </is>
      </c>
    </row>
    <row r="66" ht="13.7" customHeight="1">
      <c r="A66" t="inlineStr" s="8">
        <is>
          <t>60007919105487</t>
        </is>
      </c>
      <c r="B66" s="8"/>
      <c r="C66" t="inlineStr" s="8">
        <is>
          <t>102</t>
        </is>
      </c>
      <c r="D66" s="9">
        <v>55.20</v>
      </c>
      <c r="E66" t="inlineStr" s="8">
        <is>
          <t>75530817</t>
        </is>
      </c>
      <c r="F66" t="inlineStr" s="8">
        <is>
          <t>TARGARYEN LEGOLAS</t>
        </is>
      </c>
      <c r="G66" t="inlineStr" s="8">
        <is>
          <t>*CESION/ARRAS</t>
        </is>
      </c>
      <c r="H66" t="inlineStr" s="8">
        <is>
          <t>BANCO CAJA SOCIAL</t>
        </is>
      </c>
      <c r="I66" s="9">
        <v>192172500.00</v>
      </c>
      <c r="J66" t="inlineStr" s="8">
        <is>
          <t>NC6254CESION - NCR6255CR</t>
        </is>
      </c>
      <c r="K66" s="8"/>
      <c r="L66" t="inlineStr" s="8">
        <is>
          <t>2023-06-01</t>
        </is>
      </c>
      <c r="M66" s="9"/>
      <c r="N66" s="9">
        <v>18000000</v>
      </c>
      <c r="O66" t="inlineStr" s="8">
        <is>
          <t>JUN.24/23</t>
        </is>
      </c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9">
        <v>95000000</v>
      </c>
      <c r="BH66" s="9"/>
      <c r="BI66" s="9"/>
      <c r="BJ66" s="9"/>
      <c r="BK66" s="9">
        <f>SUM(M66,N66,Q66,R66,S66,T66,U66,V66,W66,X66,Y66,Z66,AA66,AB66,AC66,AD66,AE66,AF66,AG66,AH66,AI66,AJ66,AK66,AL66,AM66,AN66,AO66,AP66,AQ66,AR66,AS66,AT66,AU66,AV66,AW66,AX66,AY66,AZ66,BA66,BB66,BC66,BD66,BE66,BF66,BG66,BH66,BI66,BJ66)</f>
      </c>
      <c r="BL66" s="9">
        <f>I66-BK66</f>
      </c>
      <c r="BM66" s="9">
        <f>BL66-BN66-BO66-BP66-BQ66</f>
      </c>
      <c r="BN66" s="9"/>
      <c r="BO66" s="9"/>
      <c r="BP66" s="9"/>
      <c r="BQ66" s="9"/>
      <c r="BR66" s="8"/>
      <c r="BS66" t="inlineStr" s="8">
        <is>
          <t>2022-08-05</t>
        </is>
      </c>
      <c r="BT66" t="inlineStr" s="8">
        <is>
          <t>2022-11-23</t>
        </is>
      </c>
      <c r="BU66" s="8"/>
      <c r="BV66" s="8"/>
      <c r="BW66" s="8"/>
      <c r="BX66" s="8"/>
      <c r="BY66" s="8"/>
      <c r="BZ66" s="8"/>
      <c r="CA66" s="8"/>
      <c r="CB66" s="9"/>
      <c r="CC66" s="9"/>
      <c r="CD66" t="inlineStr" s="8">
        <is>
          <t>3166468978</t>
        </is>
      </c>
      <c r="CE66" t="inlineStr" s="8">
        <is>
          <t>targaryen.legolas.75530817@example.com</t>
        </is>
      </c>
      <c r="CF66" t="inlineStr" s="8">
        <is>
          <t>DUCK DAFFY CEL: 3166470022</t>
        </is>
      </c>
      <c r="CG66" t="inlineStr" s="8">
        <is>
          <t>NC6254 JUN.1/23 CESION DE LEGOLAS TARGARYEN A EDDIE JANE *ANTIC $18.000.000 *ARRAS $4'640</t>
        </is>
      </c>
    </row>
    <row r="67" ht="13.7" customHeight="1">
      <c r="A67" t="inlineStr" s="8">
        <is>
          <t>60007919105487</t>
        </is>
      </c>
      <c r="B67" s="8"/>
      <c r="C67" t="inlineStr" s="8">
        <is>
          <t>102</t>
        </is>
      </c>
      <c r="D67" s="9">
        <v>55.20</v>
      </c>
      <c r="E67" t="inlineStr" s="8">
        <is>
          <t>75534101</t>
        </is>
      </c>
      <c r="F67" t="inlineStr" s="8">
        <is>
          <t>JANE EDDIE</t>
        </is>
      </c>
      <c r="G67" t="inlineStr" s="8">
        <is>
          <t>*CESION/ARRAS</t>
        </is>
      </c>
      <c r="H67" t="inlineStr" s="8">
        <is>
          <t>BANCO CAJA SOCIAL</t>
        </is>
      </c>
      <c r="I67" s="9">
        <v>192172500.00</v>
      </c>
      <c r="J67" t="inlineStr" s="8">
        <is>
          <t>NC6254CESION - NCR6255CR</t>
        </is>
      </c>
      <c r="K67" s="8"/>
      <c r="L67" t="inlineStr" s="8">
        <is>
          <t>2023-06-01</t>
        </is>
      </c>
      <c r="M67" s="9"/>
      <c r="N67" s="9">
        <v>18000000</v>
      </c>
      <c r="O67" t="inlineStr" s="8">
        <is>
          <t>JUN.24/23</t>
        </is>
      </c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9">
        <v>95000000</v>
      </c>
      <c r="BH67" s="9"/>
      <c r="BI67" s="9"/>
      <c r="BJ67" s="9"/>
      <c r="BK67" s="9">
        <f>SUM(M67,N67,Q67,R67,S67,T67,U67,V67,W67,X67,Y67,Z67,AA67,AB67,AC67,AD67,AE67,AF67,AG67,AH67,AI67,AJ67,AK67,AL67,AM67,AN67,AO67,AP67,AQ67,AR67,AS67,AT67,AU67,AV67,AW67,AX67,AY67,AZ67,BA67,BB67,BC67,BD67,BE67,BF67,BG67,BH67,BI67,BJ67)</f>
      </c>
      <c r="BL67" s="9">
        <f>I67-BK67</f>
      </c>
      <c r="BM67" s="9">
        <f>BL67-BN67-BO67-BP67-BQ67</f>
      </c>
      <c r="BN67" s="9"/>
      <c r="BO67" s="9"/>
      <c r="BP67" s="9"/>
      <c r="BQ67" s="9"/>
      <c r="BR67" s="8"/>
      <c r="BS67" t="inlineStr" s="8">
        <is>
          <t>2022-08-05</t>
        </is>
      </c>
      <c r="BT67" t="inlineStr" s="8">
        <is>
          <t>2022-11-23</t>
        </is>
      </c>
      <c r="BU67" s="8"/>
      <c r="BV67" s="8"/>
      <c r="BW67" s="8"/>
      <c r="BX67" s="8"/>
      <c r="BY67" s="8"/>
      <c r="BZ67" s="8"/>
      <c r="CA67" s="8"/>
      <c r="CB67" s="9"/>
      <c r="CC67" s="9"/>
      <c r="CD67" t="inlineStr" s="8">
        <is>
          <t>3166469402</t>
        </is>
      </c>
      <c r="CE67" t="inlineStr" s="8">
        <is>
          <t>jane.eddie.75534101@example.com</t>
        </is>
      </c>
      <c r="CF67" t="inlineStr" s="8">
        <is>
          <t>DUCK DAFFY CEL: 3166470022</t>
        </is>
      </c>
      <c r="CG67" t="inlineStr" s="8">
        <is>
          <t>NC6254 JUN.1/23 CESION DE LEGOLAS TARGARYEN A EDDIE JANE *ANTIC $18.000.000 *ARRAS $4'640</t>
        </is>
      </c>
    </row>
    <row r="68" ht="13.7" customHeight="1">
      <c r="A68" t="inlineStr" s="8">
        <is>
          <t>60007919105877</t>
        </is>
      </c>
      <c r="B68" s="8"/>
      <c r="C68" t="inlineStr" s="8">
        <is>
          <t>105</t>
        </is>
      </c>
      <c r="D68" s="9">
        <v>55.20</v>
      </c>
      <c r="E68" t="inlineStr" s="8">
        <is>
          <t>75554978</t>
        </is>
      </c>
      <c r="F68" t="inlineStr" s="8">
        <is>
          <t>SNOW MAX</t>
        </is>
      </c>
      <c r="G68" t="inlineStr" s="8">
        <is>
          <t>*TRASLADO</t>
        </is>
      </c>
      <c r="H68" t="inlineStr" s="8">
        <is>
          <t>BANCO CAJA SOCIAL</t>
        </is>
      </c>
      <c r="I68" s="9">
        <v>192172500.00</v>
      </c>
      <c r="J68" s="8"/>
      <c r="K68" s="8"/>
      <c r="L68" t="inlineStr" s="8">
        <is>
          <t>2023-06-01</t>
        </is>
      </c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9"/>
      <c r="BH68" s="9"/>
      <c r="BI68" s="9"/>
      <c r="BJ68" s="9"/>
      <c r="BK68" s="9">
        <f>SUM(M68,N68,Q68,R68,S68,T68,U68,V68,W68,X68,Y68,Z68,AA68,AB68,AC68,AD68,AE68,AF68,AG68,AH68,AI68,AJ68,AK68,AL68,AM68,AN68,AO68,AP68,AQ68,AR68,AS68,AT68,AU68,AV68,AW68,AX68,AY68,AZ68,BA68,BB68,BC68,BD68,BE68,BF68,BG68,BH68,BI68,BJ68)</f>
      </c>
      <c r="BL68" s="9">
        <f>I68-BK68</f>
      </c>
      <c r="BM68" s="9">
        <f>BL68-BN68-BO68-BP68-BQ68</f>
      </c>
      <c r="BN68" s="9"/>
      <c r="BO68" s="9"/>
      <c r="BP68" s="9"/>
      <c r="BQ68" s="9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9"/>
      <c r="CC68" s="9"/>
      <c r="CD68" t="inlineStr" s="8">
        <is>
          <t>3166471513</t>
        </is>
      </c>
      <c r="CE68" t="inlineStr" s="8">
        <is>
          <t>snow.max.75554978@example.com</t>
        </is>
      </c>
      <c r="CF68" t="inlineStr" s="8">
        <is>
          <t>FLINTSTONE FRED CEL: 3166473251</t>
        </is>
      </c>
      <c r="CG68" t="inlineStr" s="8">
        <is>
          <t>NC6275 JUN.1/23 TRASLADO DE MAX SNOW A GUSTAVO SINCLAIR/SUMMER TRIBBIANI *ANTIC $18.000.000 *ARRAS $4'640</t>
        </is>
      </c>
    </row>
    <row r="69" ht="13.7" customHeight="1">
      <c r="A69" t="inlineStr" s="8">
        <is>
          <t>60007919109884</t>
        </is>
      </c>
      <c r="B69" t="inlineStr" s="8">
        <is>
          <t>60007919109938</t>
        </is>
      </c>
      <c r="C69" t="inlineStr" s="8">
        <is>
          <t>702</t>
        </is>
      </c>
      <c r="D69" s="9">
        <v>55.20</v>
      </c>
      <c r="E69" t="inlineStr" s="8">
        <is>
          <t>75879439</t>
        </is>
      </c>
      <c r="F69" t="inlineStr" s="8">
        <is>
          <t>CHEEKS HOWARD</t>
        </is>
      </c>
      <c r="G69" t="inlineStr" s="8">
        <is>
          <t>*CESION/ARRAS</t>
        </is>
      </c>
      <c r="H69" t="inlineStr" s="8">
        <is>
          <t>BBVA</t>
        </is>
      </c>
      <c r="I69" s="9">
        <v>192172500.00</v>
      </c>
      <c r="J69" s="8"/>
      <c r="K69" s="8"/>
      <c r="L69" t="inlineStr" s="8">
        <is>
          <t>2023-08-03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9"/>
      <c r="BH69" s="9"/>
      <c r="BI69" s="9"/>
      <c r="BJ69" s="9"/>
      <c r="BK69" s="9">
        <f>SUM(M69,N69,Q69,R69,S69,T69,U69,V69,W69,X69,Y69,Z69,AA69,AB69,AC69,AD69,AE69,AF69,AG69,AH69,AI69,AJ69,AK69,AL69,AM69,AN69,AO69,AP69,AQ69,AR69,AS69,AT69,AU69,AV69,AW69,AX69,AY69,AZ69,BA69,BB69,BC69,BD69,BE69,BF69,BG69,BH69,BI69,BJ69)</f>
      </c>
      <c r="BL69" s="9">
        <f>I69-BK69</f>
      </c>
      <c r="BM69" s="9">
        <f>BL69-BN69-BO69-BP69-BQ69</f>
      </c>
      <c r="BN69" s="9"/>
      <c r="BO69" s="9"/>
      <c r="BP69" s="9"/>
      <c r="BQ69" s="9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9"/>
      <c r="CC69" s="9"/>
      <c r="CD69" t="inlineStr" s="8">
        <is>
          <t>3166516909</t>
        </is>
      </c>
      <c r="CE69" t="inlineStr" s="8">
        <is>
          <t>cheeks.howard.75879439@example.com</t>
        </is>
      </c>
      <c r="CF69" t="inlineStr" s="8">
        <is>
          <t>PANTHER PINK CEL: 3166517337</t>
        </is>
      </c>
      <c r="CG69" t="inlineStr" s="8">
        <is>
          <t>NC6659 AGO.3/23 CESION DE HOWARD CHEEKS A OBI WHEELER *ANTIC $12.000.000 *ARRAS $4'640</t>
        </is>
      </c>
    </row>
    <row r="70" ht="13.7" customHeight="1">
      <c r="A70" t="inlineStr" s="8">
        <is>
          <t>60007919109938</t>
        </is>
      </c>
      <c r="B70" s="8"/>
      <c r="C70" t="inlineStr" s="8">
        <is>
          <t>702</t>
        </is>
      </c>
      <c r="D70" s="9">
        <v>55.20</v>
      </c>
      <c r="E70" t="inlineStr" s="8">
        <is>
          <t>75883432</t>
        </is>
      </c>
      <c r="F70" t="inlineStr" s="8">
        <is>
          <t>WHEELER OBI WAN</t>
        </is>
      </c>
      <c r="G70" t="inlineStr" s="8">
        <is>
          <t>*CESION/ARRAS</t>
        </is>
      </c>
      <c r="H70" t="inlineStr" s="8">
        <is>
          <t>BBVA</t>
        </is>
      </c>
      <c r="I70" s="9">
        <v>192172500.00</v>
      </c>
      <c r="J70" t="inlineStr" s="8">
        <is>
          <t>NCR6660 - NC6659CESION - NCR6666CR</t>
        </is>
      </c>
      <c r="K70" t="inlineStr" s="8">
        <is>
          <t>NCR6665 - NCR6664 - NCR6663 - NCR6662 - NCR6661</t>
        </is>
      </c>
      <c r="L70" t="inlineStr" s="8">
        <is>
          <t>2023-08-03</t>
        </is>
      </c>
      <c r="M70" s="9">
        <v>10561000</v>
      </c>
      <c r="N70" s="9">
        <v>12000000</v>
      </c>
      <c r="O70" t="inlineStr" s="8">
        <is>
          <t>SEP.11/22</t>
        </is>
      </c>
      <c r="P70" s="8"/>
      <c r="Q70" s="10"/>
      <c r="R70" s="10"/>
      <c r="S70" s="10"/>
      <c r="T70" s="10"/>
      <c r="U70" s="10">
        <v>10732000</v>
      </c>
      <c r="V70" s="10"/>
      <c r="W70" s="10">
        <v>8517000</v>
      </c>
      <c r="X70" s="10"/>
      <c r="Y70" s="10">
        <v>11158000</v>
      </c>
      <c r="Z70" s="10"/>
      <c r="AA70" s="10"/>
      <c r="AB70" s="10">
        <v>10221000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>
        <v>33983500</v>
      </c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9">
        <v>95000000</v>
      </c>
      <c r="BH70" s="9"/>
      <c r="BI70" s="9"/>
      <c r="BJ70" s="9"/>
      <c r="BK70" s="9">
        <f>SUM(M70,N70,Q70,R70,S70,T70,U70,V70,W70,X70,Y70,Z70,AA70,AB70,AC70,AD70,AE70,AF70,AG70,AH70,AI70,AJ70,AK70,AL70,AM70,AN70,AO70,AP70,AQ70,AR70,AS70,AT70,AU70,AV70,AW70,AX70,AY70,AZ70,BA70,BB70,BC70,BD70,BE70,BF70,BG70,BH70,BI70,BJ70)</f>
      </c>
      <c r="BL70" s="9">
        <f>I70-BK70</f>
      </c>
      <c r="BM70" s="9">
        <f>BL70-BN70-BO70-BP70-BQ70</f>
      </c>
      <c r="BN70" s="9"/>
      <c r="BO70" s="9"/>
      <c r="BP70" s="9"/>
      <c r="BQ70" s="9"/>
      <c r="BR70" s="8"/>
      <c r="BS70" t="inlineStr" s="8">
        <is>
          <t>2022-06-03</t>
        </is>
      </c>
      <c r="BT70" t="inlineStr" s="8">
        <is>
          <t>2022-08-12</t>
        </is>
      </c>
      <c r="BU70" s="8"/>
      <c r="BV70" s="8"/>
      <c r="BW70" s="8"/>
      <c r="BX70" s="8"/>
      <c r="BY70" s="8"/>
      <c r="BZ70" s="8"/>
      <c r="CA70" s="8"/>
      <c r="CB70" s="9"/>
      <c r="CC70" s="9"/>
      <c r="CD70" t="inlineStr" s="8">
        <is>
          <t>3166517198</t>
        </is>
      </c>
      <c r="CE70" t="inlineStr" s="8">
        <is>
          <t>wheeler.obi.wan.75883432@example.com</t>
        </is>
      </c>
      <c r="CF70" t="inlineStr" s="8">
        <is>
          <t>PANTHER PINK CEL: 3166517337</t>
        </is>
      </c>
      <c r="CG70" t="inlineStr" s="8">
        <is>
          <t>NC6659 AGO.3/23 CESION DE HOWARD CHEEKS A OBI WHEELER *ANTIC $12.000.000 *ARRAS $4'640</t>
        </is>
      </c>
    </row>
    <row r="71" ht="13.7" customHeight="1">
      <c r="A71" t="inlineStr" s="8">
        <is>
          <t>60007919109535</t>
        </is>
      </c>
      <c r="B71" s="8"/>
      <c r="C71" t="inlineStr" s="8">
        <is>
          <t>607</t>
        </is>
      </c>
      <c r="D71" s="9">
        <v>55.20</v>
      </c>
      <c r="E71" t="inlineStr" s="8">
        <is>
          <t>75858846</t>
        </is>
      </c>
      <c r="F71" t="inlineStr" s="8">
        <is>
          <t>BAGGINS STEWIE</t>
        </is>
      </c>
      <c r="G71" t="inlineStr" s="8">
        <is>
          <t>*EXCLUSION</t>
        </is>
      </c>
      <c r="H71" s="8"/>
      <c r="I71" s="9">
        <v>192172500.00</v>
      </c>
      <c r="J71" s="8"/>
      <c r="K71" s="8"/>
      <c r="L71" t="inlineStr" s="8">
        <is>
          <t>2023-09-13</t>
        </is>
      </c>
      <c r="M71" s="9"/>
      <c r="N71" s="9"/>
      <c r="O71" s="8"/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9"/>
      <c r="BH71" s="9"/>
      <c r="BI71" s="9"/>
      <c r="BJ71" s="9"/>
      <c r="BK71" s="9">
        <f>SUM(M71,N71,Q71,R71,S71,T71,U71,V71,W71,X71,Y71,Z71,AA71,AB71,AC71,AD71,AE71,AF71,AG71,AH71,AI71,AJ71,AK71,AL71,AM71,AN71,AO71,AP71,AQ71,AR71,AS71,AT71,AU71,AV71,AW71,AX71,AY71,AZ71,BA71,BB71,BC71,BD71,BE71,BF71,BG71,BH71,BI71,BJ71)</f>
      </c>
      <c r="BL71" s="9">
        <f>I71-BK71</f>
      </c>
      <c r="BM71" s="9">
        <f>BL71-BN71-BO71-BP71-BQ71</f>
      </c>
      <c r="BN71" s="9"/>
      <c r="BO71" s="9"/>
      <c r="BP71" s="9"/>
      <c r="BQ71" s="9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9"/>
      <c r="CC71" s="9"/>
      <c r="CD71" t="inlineStr" s="8">
        <is>
          <t>3166514675</t>
        </is>
      </c>
      <c r="CE71" t="inlineStr" s="8">
        <is>
          <t>baggins.stewie.75858846@example.com</t>
        </is>
      </c>
      <c r="CF71" t="inlineStr" s="8">
        <is>
          <t>JAKE CEL: 3166515842</t>
        </is>
      </c>
      <c r="CG71" t="inlineStr" s="8">
        <is>
          <t>NC6635 SEP.13/23 EXCLUSION DE STEWIE BAGGINS</t>
        </is>
      </c>
    </row>
    <row r="72" ht="13.7" customHeight="1">
      <c r="A72" t="inlineStr" s="8">
        <is>
          <t>60007919108593</t>
        </is>
      </c>
      <c r="B72" s="8"/>
      <c r="C72" t="inlineStr" s="8">
        <is>
          <t>504</t>
        </is>
      </c>
      <c r="D72" s="9">
        <v>55.20</v>
      </c>
      <c r="E72" t="inlineStr" s="8">
        <is>
          <t>75798404</t>
        </is>
      </c>
      <c r="F72" t="inlineStr" s="8">
        <is>
          <t>ROGERS MAX</t>
        </is>
      </c>
      <c r="G72" t="inlineStr" s="8">
        <is>
          <t>*TRASLADO</t>
        </is>
      </c>
      <c r="H72" t="inlineStr" s="8">
        <is>
          <t>BANCOLOMBIA</t>
        </is>
      </c>
      <c r="I72" s="9">
        <v>192172500.00</v>
      </c>
      <c r="J72" t="inlineStr" s="8">
        <is>
          <t>NC6534TRASLADO - NCR6539 - NCR6543 - NCR6537 - NCR6545CR</t>
        </is>
      </c>
      <c r="K72" t="inlineStr" s="8">
        <is>
          <t>NCR6542 - NCR6541 - NCR6536 - NCR6540 - NCR6538 - NCR6544 - NCR6535</t>
        </is>
      </c>
      <c r="L72" t="inlineStr" s="8">
        <is>
          <t>2023-12-07</t>
        </is>
      </c>
      <c r="M72" s="9">
        <f>8296000+4577000+1063000</f>
      </c>
      <c r="N72" s="9">
        <v>20000000</v>
      </c>
      <c r="O72" t="inlineStr" s="8">
        <is>
          <t>SEP.30/23</t>
        </is>
      </c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>
        <v>1716000</v>
      </c>
      <c r="AI72" s="10"/>
      <c r="AJ72" s="10">
        <f>3760000+3228000</f>
      </c>
      <c r="AK72" s="10"/>
      <c r="AL72" s="10">
        <v>2002000</v>
      </c>
      <c r="AM72" s="10"/>
      <c r="AN72" s="10">
        <f>3801000+1798000</f>
      </c>
      <c r="AO72" s="10"/>
      <c r="AP72" s="10"/>
      <c r="AQ72" s="10"/>
      <c r="AR72" s="10"/>
      <c r="AS72" s="10"/>
      <c r="AT72" s="10"/>
      <c r="AU72" s="10">
        <v>10625000</v>
      </c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9">
        <v>65000000</v>
      </c>
      <c r="BH72" s="9"/>
      <c r="BI72" s="9"/>
      <c r="BJ72" s="9"/>
      <c r="BK72" s="9">
        <f>SUM(M72,N72,Q72,R72,S72,T72,U72,V72,W72,X72,Y72,Z72,AA72,AB72,AC72,AD72,AE72,AF72,AG72,AH72,AI72,AJ72,AK72,AL72,AM72,AN72,AO72,AP72,AQ72,AR72,AS72,AT72,AU72,AV72,AW72,AX72,AY72,AZ72,BA72,BB72,BC72,BD72,BE72,BF72,BG72,BH72,BI72,BJ72)</f>
      </c>
      <c r="BL72" s="9">
        <f>I72-BK72</f>
      </c>
      <c r="BM72" s="9">
        <f>BL72-BN72-BO72-BP72-BQ72</f>
      </c>
      <c r="BN72" s="9"/>
      <c r="BO72" s="9"/>
      <c r="BP72" s="9"/>
      <c r="BQ72" s="9"/>
      <c r="BR72" s="8"/>
      <c r="BS72" t="inlineStr" s="8">
        <is>
          <t>2022-12-17</t>
        </is>
      </c>
      <c r="BT72" t="inlineStr" s="8">
        <is>
          <t>2023-04-14</t>
        </is>
      </c>
      <c r="BU72" s="8"/>
      <c r="BV72" s="8"/>
      <c r="BW72" s="8"/>
      <c r="BX72" s="8"/>
      <c r="BY72" s="8"/>
      <c r="BZ72" s="8"/>
      <c r="CA72" s="8"/>
      <c r="CB72" s="9"/>
      <c r="CC72" s="9"/>
      <c r="CD72" t="inlineStr" s="8">
        <is>
          <t>3166503395</t>
        </is>
      </c>
      <c r="CE72" t="inlineStr" s="8">
        <is>
          <t>rogers.max.75798404@example.com</t>
        </is>
      </c>
      <c r="CF72" t="inlineStr" s="8">
        <is>
          <t>JETSON GEORGE CEL: 3166504866</t>
        </is>
      </c>
      <c r="CG72" t="inlineStr" s="8">
        <is>
          <t>NC6534 DIC.7/23 TRASLADO DE MAX ROGERS A OBI BARTON *ANTIC $20.000.000 *ARRAS $4'640</t>
        </is>
      </c>
    </row>
    <row r="73" ht="13.7" customHeight="1">
      <c r="A73" t="inlineStr" s="8">
        <is>
          <t>60007919108593</t>
        </is>
      </c>
      <c r="B73" s="8"/>
      <c r="C73" t="inlineStr" s="8">
        <is>
          <t>504</t>
        </is>
      </c>
      <c r="D73" s="9">
        <v>55.20</v>
      </c>
      <c r="E73" t="inlineStr" s="8">
        <is>
          <t>75803773</t>
        </is>
      </c>
      <c r="F73" t="inlineStr" s="8">
        <is>
          <t>BARTON OBI WAN</t>
        </is>
      </c>
      <c r="G73" t="inlineStr" s="8">
        <is>
          <t>*TRASLADO</t>
        </is>
      </c>
      <c r="H73" t="inlineStr" s="8">
        <is>
          <t>BANCOLOMBIA</t>
        </is>
      </c>
      <c r="I73" s="9">
        <v>192172500.00</v>
      </c>
      <c r="J73" t="inlineStr" s="8">
        <is>
          <t>NC6534TRASLADO - NCR6539 - NCR6543 - NCR6537 - NCR6545CR</t>
        </is>
      </c>
      <c r="K73" t="inlineStr" s="8">
        <is>
          <t>NCR6542 - NCR6541 - NCR6536 - NCR6540 - NCR6538 - NCR6544 - NCR6535</t>
        </is>
      </c>
      <c r="L73" t="inlineStr" s="8">
        <is>
          <t>2023-12-07</t>
        </is>
      </c>
      <c r="M73" s="9">
        <f>8296000+4577000+1063000</f>
      </c>
      <c r="N73" s="9">
        <v>20000000</v>
      </c>
      <c r="O73" t="inlineStr" s="8">
        <is>
          <t>SEP.30/23</t>
        </is>
      </c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>
        <v>1716000</v>
      </c>
      <c r="AI73" s="10"/>
      <c r="AJ73" s="10">
        <f>3760000+3228000</f>
      </c>
      <c r="AK73" s="10"/>
      <c r="AL73" s="10">
        <v>2002000</v>
      </c>
      <c r="AM73" s="10"/>
      <c r="AN73" s="10">
        <f>3801000+1798000</f>
      </c>
      <c r="AO73" s="10"/>
      <c r="AP73" s="10"/>
      <c r="AQ73" s="10"/>
      <c r="AR73" s="10"/>
      <c r="AS73" s="10"/>
      <c r="AT73" s="10"/>
      <c r="AU73" s="10">
        <v>10625000</v>
      </c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9">
        <v>65000000</v>
      </c>
      <c r="BH73" s="9"/>
      <c r="BI73" s="9"/>
      <c r="BJ73" s="9"/>
      <c r="BK73" s="9">
        <f>SUM(M73,N73,Q73,R73,S73,T73,U73,V73,W73,X73,Y73,Z73,AA73,AB73,AC73,AD73,AE73,AF73,AG73,AH73,AI73,AJ73,AK73,AL73,AM73,AN73,AO73,AP73,AQ73,AR73,AS73,AT73,AU73,AV73,AW73,AX73,AY73,AZ73,BA73,BB73,BC73,BD73,BE73,BF73,BG73,BH73,BI73,BJ73)</f>
      </c>
      <c r="BL73" s="9">
        <f>I73-BK73</f>
      </c>
      <c r="BM73" s="9">
        <f>BL73-BN73-BO73-BP73-BQ73</f>
      </c>
      <c r="BN73" s="9"/>
      <c r="BO73" s="9"/>
      <c r="BP73" s="9"/>
      <c r="BQ73" s="9"/>
      <c r="BR73" s="8"/>
      <c r="BS73" t="inlineStr" s="8">
        <is>
          <t>2022-12-17</t>
        </is>
      </c>
      <c r="BT73" t="inlineStr" s="8">
        <is>
          <t>2023-04-14</t>
        </is>
      </c>
      <c r="BU73" s="8"/>
      <c r="BV73" s="8"/>
      <c r="BW73" s="8"/>
      <c r="BX73" s="8"/>
      <c r="BY73" s="8"/>
      <c r="BZ73" s="8"/>
      <c r="CA73" s="8"/>
      <c r="CB73" s="9"/>
      <c r="CC73" s="9"/>
      <c r="CD73" t="inlineStr" s="8">
        <is>
          <t>3166504209</t>
        </is>
      </c>
      <c r="CE73" t="inlineStr" s="8">
        <is>
          <t>barton.obi.wan.75803773@example.com</t>
        </is>
      </c>
      <c r="CF73" t="inlineStr" s="8">
        <is>
          <t>JETSON GEORGE CEL: 3166504866</t>
        </is>
      </c>
      <c r="CG73" t="inlineStr" s="8">
        <is>
          <t>NC6534 DIC.7/23 TRASLADO DE MAX ROGERS A OBI BARTON *ANTIC $20.000.000 *ARRAS $4'640</t>
        </is>
      </c>
    </row>
    <row r="74" ht="13.7" customHeight="1">
      <c r="A74" t="inlineStr" s="8">
        <is>
          <t>60007919108812</t>
        </is>
      </c>
      <c r="B74" t="inlineStr" s="8">
        <is>
          <t>60007919108880</t>
        </is>
      </c>
      <c r="C74" t="inlineStr" s="8">
        <is>
          <t>506</t>
        </is>
      </c>
      <c r="D74" s="9">
        <v>55.20</v>
      </c>
      <c r="E74" t="inlineStr" s="8">
        <is>
          <t>75809141</t>
        </is>
      </c>
      <c r="F74" t="inlineStr" s="8">
        <is>
          <t>KENOBI EUGENE</t>
        </is>
      </c>
      <c r="G74" t="inlineStr" s="8">
        <is>
          <t>*TRASLADO</t>
        </is>
      </c>
      <c r="H74" t="inlineStr" s="8">
        <is>
          <t>BANCOLOMBIA</t>
        </is>
      </c>
      <c r="I74" s="9">
        <v>192172500.00</v>
      </c>
      <c r="J74" s="8"/>
      <c r="K74" s="8"/>
      <c r="L74" t="inlineStr" s="8">
        <is>
          <t>2024-01-11</t>
        </is>
      </c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9"/>
      <c r="BH74" s="9"/>
      <c r="BI74" s="9"/>
      <c r="BJ74" s="9"/>
      <c r="BK74" s="9">
        <f>SUM(M74,N74,Q74,R74,S74,T74,U74,V74,W74,X74,Y74,Z74,AA74,AB74,AC74,AD74,AE74,AF74,AG74,AH74,AI74,AJ74,AK74,AL74,AM74,AN74,AO74,AP74,AQ74,AR74,AS74,AT74,AU74,AV74,AW74,AX74,AY74,AZ74,BA74,BB74,BC74,BD74,BE74,BF74,BG74,BH74,BI74,BJ74)</f>
      </c>
      <c r="BL74" s="9">
        <f>I74-BK74</f>
      </c>
      <c r="BM74" s="9">
        <f>BL74-BN74-BO74-BP74-BQ74</f>
      </c>
      <c r="BN74" s="9"/>
      <c r="BO74" s="9"/>
      <c r="BP74" s="9"/>
      <c r="BQ74" s="9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9"/>
      <c r="CC74" s="9"/>
      <c r="CD74" t="inlineStr" s="8">
        <is>
          <t>3166506551</t>
        </is>
      </c>
      <c r="CE74" t="inlineStr" s="8">
        <is>
          <t>kenobi.eugene.75809141@example.com</t>
        </is>
      </c>
      <c r="CF74" t="inlineStr" s="8">
        <is>
          <t>MOUSE MINNIE CEL: 3166507233</t>
        </is>
      </c>
      <c r="CG74" t="inlineStr" s="8">
        <is>
          <t>NC6554 ENE.11/24 TRASLADO DE EUGENE KENOBI A SAUL SIMPSON *ANTIC $25.000.000 *ARRAS $4'640</t>
        </is>
      </c>
    </row>
    <row r="75" ht="13.7" customHeight="1">
      <c r="A75" t="inlineStr" s="8">
        <is>
          <t>60007919108880</t>
        </is>
      </c>
      <c r="B75" s="8"/>
      <c r="C75" t="inlineStr" s="8">
        <is>
          <t>506</t>
        </is>
      </c>
      <c r="D75" s="9">
        <v>55.20</v>
      </c>
      <c r="E75" t="inlineStr" s="8">
        <is>
          <t>75815418</t>
        </is>
      </c>
      <c r="F75" t="inlineStr" s="8">
        <is>
          <t>SIMPSON SAUL</t>
        </is>
      </c>
      <c r="G75" t="inlineStr" s="8">
        <is>
          <t>*TRASLADO</t>
        </is>
      </c>
      <c r="H75" t="inlineStr" s="8">
        <is>
          <t>BANCOLOMBIA</t>
        </is>
      </c>
      <c r="I75" s="9">
        <v>192172500.00</v>
      </c>
      <c r="J75" t="inlineStr" s="8">
        <is>
          <t>NCR6555 - NC6554TRASLADO - NCR6561 - NCR6562CR</t>
        </is>
      </c>
      <c r="K75" t="inlineStr" s="8">
        <is>
          <t>NCR6556 - NCR6557 - NCR6559 - NCR6558 - NCR6560</t>
        </is>
      </c>
      <c r="L75" t="inlineStr" s="8">
        <is>
          <t>2024-01-11</t>
        </is>
      </c>
      <c r="M75" s="9">
        <f>6133000+5575500</f>
      </c>
      <c r="N75" s="9">
        <v>25000000</v>
      </c>
      <c r="O75" t="inlineStr" s="8">
        <is>
          <t>MAR.16/24</t>
        </is>
      </c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>
        <v>632000</v>
      </c>
      <c r="AM75" s="10">
        <v>4238000</v>
      </c>
      <c r="AN75" s="10">
        <v>855000</v>
      </c>
      <c r="AO75" s="10"/>
      <c r="AP75" s="10"/>
      <c r="AQ75" s="10"/>
      <c r="AR75" s="10"/>
      <c r="AS75" s="10">
        <v>15204000</v>
      </c>
      <c r="AT75" s="10"/>
      <c r="AU75" s="10">
        <v>4535000</v>
      </c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9">
        <v>110000000</v>
      </c>
      <c r="BH75" s="9"/>
      <c r="BI75" s="9"/>
      <c r="BJ75" s="9"/>
      <c r="BK75" s="9">
        <f>SUM(M75,N75,Q75,R75,S75,T75,U75,V75,W75,X75,Y75,Z75,AA75,AB75,AC75,AD75,AE75,AF75,AG75,AH75,AI75,AJ75,AK75,AL75,AM75,AN75,AO75,AP75,AQ75,AR75,AS75,AT75,AU75,AV75,AW75,AX75,AY75,AZ75,BA75,BB75,BC75,BD75,BE75,BF75,BG75,BH75,BI75,BJ75)</f>
      </c>
      <c r="BL75" s="9">
        <f>I75-BK75</f>
      </c>
      <c r="BM75" s="9">
        <f>BL75-BN75-BO75-BP75-BQ75</f>
      </c>
      <c r="BN75" s="9"/>
      <c r="BO75" s="9"/>
      <c r="BP75" s="9"/>
      <c r="BQ75" s="9"/>
      <c r="BR75" s="8"/>
      <c r="BS75" t="inlineStr" s="8">
        <is>
          <t>2023-11-14</t>
        </is>
      </c>
      <c r="BT75" t="inlineStr" s="8">
        <is>
          <t>2024-01-26</t>
        </is>
      </c>
      <c r="BU75" t="inlineStr" s="8">
        <is>
          <t>2025-01-28</t>
        </is>
      </c>
      <c r="BV75" s="8"/>
      <c r="BW75" s="8"/>
      <c r="BX75" s="8"/>
      <c r="BY75" s="8"/>
      <c r="BZ75" s="8"/>
      <c r="CA75" s="8"/>
      <c r="CB75" s="9"/>
      <c r="CC75" s="9"/>
      <c r="CD75" t="inlineStr" s="8">
        <is>
          <t>3166506672</t>
        </is>
      </c>
      <c r="CE75" t="inlineStr" s="8">
        <is>
          <t>simpson.saul.75815418@example.com</t>
        </is>
      </c>
      <c r="CF75" t="inlineStr" s="8">
        <is>
          <t>MOUSE MINNIE CEL: 3166507233</t>
        </is>
      </c>
      <c r="CG75" t="inlineStr" s="8">
        <is>
          <t>NC6554 ENE.11/24 TRASLADO DE EUGENE KENOBI A SAUL SIMPSON *ANTIC $25.000.000 *ARRAS $4'640</t>
        </is>
      </c>
    </row>
    <row r="76" ht="13.7" customHeight="1">
      <c r="A76" t="inlineStr" s="8">
        <is>
          <t>60007919106060</t>
        </is>
      </c>
      <c r="B76" s="8"/>
      <c r="C76" t="inlineStr" s="8">
        <is>
          <t>107</t>
        </is>
      </c>
      <c r="D76" s="9">
        <v>55.20</v>
      </c>
      <c r="E76" t="inlineStr" s="8">
        <is>
          <t>75577620</t>
        </is>
      </c>
      <c r="F76" t="inlineStr" s="8">
        <is>
          <t>TARGARYEN CHANDLER</t>
        </is>
      </c>
      <c r="G76" t="inlineStr" s="8">
        <is>
          <t>*INCLUSION</t>
        </is>
      </c>
      <c r="H76" t="inlineStr" s="8">
        <is>
          <t>BANCO DE BOGOTA</t>
        </is>
      </c>
      <c r="I76" s="9">
        <v>192172500.00</v>
      </c>
      <c r="J76" s="8"/>
      <c r="K76" s="8"/>
      <c r="L76" t="inlineStr" s="8">
        <is>
          <t>2024-02-04</t>
        </is>
      </c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9"/>
      <c r="BH76" s="9"/>
      <c r="BI76" s="9"/>
      <c r="BJ76" s="9"/>
      <c r="BK76" s="9">
        <f>SUM(M76,N76,Q76,R76,S76,T76,U76,V76,W76,X76,Y76,Z76,AA76,AB76,AC76,AD76,AE76,AF76,AG76,AH76,AI76,AJ76,AK76,AL76,AM76,AN76,AO76,AP76,AQ76,AR76,AS76,AT76,AU76,AV76,AW76,AX76,AY76,AZ76,BA76,BB76,BC76,BD76,BE76,BF76,BG76,BH76,BI76,BJ76)</f>
      </c>
      <c r="BL76" s="9">
        <f>I76-BK76</f>
      </c>
      <c r="BM76" s="9">
        <f>BL76-BN76-BO76-BP76-BQ76</f>
      </c>
      <c r="BN76" s="9"/>
      <c r="BO76" s="9"/>
      <c r="BP76" s="9"/>
      <c r="BQ76" s="9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9"/>
      <c r="CC76" s="9"/>
      <c r="CD76" t="inlineStr" s="8">
        <is>
          <t>3166475099</t>
        </is>
      </c>
      <c r="CE76" t="inlineStr" s="8">
        <is>
          <t>targaryen.chandler.75577620@example.com</t>
        </is>
      </c>
      <c r="CF76" t="inlineStr" s="8">
        <is>
          <t>MOUSE MINNIE CEL: 3166475744</t>
        </is>
      </c>
      <c r="CG76" t="inlineStr" s="8">
        <is>
          <t>NC6293 FEB.4/24 INCLUSION SHELDON WEASLEY</t>
        </is>
      </c>
    </row>
    <row r="77" ht="13.7" customHeight="1">
      <c r="A77" t="inlineStr" s="8">
        <is>
          <t>60007919108345</t>
        </is>
      </c>
      <c r="B77" s="8"/>
      <c r="C77" t="inlineStr" s="8">
        <is>
          <t>407</t>
        </is>
      </c>
      <c r="D77" s="9">
        <v>55.20</v>
      </c>
      <c r="E77" t="inlineStr" s="8">
        <is>
          <t>75764196</t>
        </is>
      </c>
      <c r="F77" t="inlineStr" s="8">
        <is>
          <t>TARGARYEN LEIA</t>
        </is>
      </c>
      <c r="G77" t="inlineStr" s="8">
        <is>
          <t>*INCLUSION</t>
        </is>
      </c>
      <c r="H77" t="inlineStr" s="8">
        <is>
          <t>BBVA</t>
        </is>
      </c>
      <c r="I77" s="9">
        <v>192172500.00</v>
      </c>
      <c r="J77" t="inlineStr" s="8">
        <is>
          <t>NCR6507CR</t>
        </is>
      </c>
      <c r="K77" t="inlineStr" s="8">
        <is>
          <t>NCR6506 - NCR6505 - NCR6504 - NCR6503</t>
        </is>
      </c>
      <c r="L77" t="inlineStr" s="8">
        <is>
          <t>2024-04-25</t>
        </is>
      </c>
      <c r="M77" s="9"/>
      <c r="N77" s="9"/>
      <c r="O77" t="inlineStr" s="8">
        <is>
          <t>ENE.19/25</t>
        </is>
      </c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>
        <f>656000+17514000</f>
      </c>
      <c r="AT77" s="10">
        <v>2430000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>
        <v>17977000</v>
      </c>
      <c r="BF77" s="10"/>
      <c r="BG77" s="9">
        <v>110000000</v>
      </c>
      <c r="BH77" s="9"/>
      <c r="BI77" s="9"/>
      <c r="BJ77" s="9"/>
      <c r="BK77" s="9">
        <f>SUM(M77,N77,Q77,R77,S77,T77,U77,V77,W77,X77,Y77,Z77,AA77,AB77,AC77,AD77,AE77,AF77,AG77,AH77,AI77,AJ77,AK77,AL77,AM77,AN77,AO77,AP77,AQ77,AR77,AS77,AT77,AU77,AV77,AW77,AX77,AY77,AZ77,BA77,BB77,BC77,BD77,BE77,BF77,BG77,BH77,BI77,BJ77)</f>
      </c>
      <c r="BL77" s="9">
        <f>I77-BK77</f>
      </c>
      <c r="BM77" s="9">
        <f>BL77-BN77-BO77-BP77-BQ77</f>
      </c>
      <c r="BN77" s="9"/>
      <c r="BO77" s="9"/>
      <c r="BP77" s="9"/>
      <c r="BQ77" s="9"/>
      <c r="BR77" s="8"/>
      <c r="BS77" t="inlineStr" s="8">
        <is>
          <t>2024-03-08</t>
        </is>
      </c>
      <c r="BT77" t="inlineStr" s="8">
        <is>
          <t>2024-04-18</t>
        </is>
      </c>
      <c r="BU77" s="8"/>
      <c r="BV77" s="8"/>
      <c r="BW77" s="8"/>
      <c r="BX77" s="8"/>
      <c r="BY77" s="8"/>
      <c r="BZ77" s="8"/>
      <c r="CA77" s="8"/>
      <c r="CB77" s="9"/>
      <c r="CC77" s="9"/>
      <c r="CD77" t="inlineStr" s="8">
        <is>
          <t>3166498666</t>
        </is>
      </c>
      <c r="CE77" t="inlineStr" s="8">
        <is>
          <t>targaryen.leia.75764196@example.com</t>
        </is>
      </c>
      <c r="CF77" t="inlineStr" s="8">
        <is>
          <t>MOUSE MINNIE CEL: 3166499491</t>
        </is>
      </c>
      <c r="CG77" t="inlineStr" s="8">
        <is>
          <t>NC6502 ABR.25/24 INCLUSION OBI GREENLEAF</t>
        </is>
      </c>
    </row>
    <row r="78" ht="13.7" customHeight="1">
      <c r="A78" t="inlineStr" s="8">
        <is>
          <t>60007919110311</t>
        </is>
      </c>
      <c r="B78" s="8"/>
      <c r="C78" t="inlineStr" s="8">
        <is>
          <t>705</t>
        </is>
      </c>
      <c r="D78" s="9">
        <v>55.20</v>
      </c>
      <c r="E78" t="inlineStr" s="8">
        <is>
          <t>75890216</t>
        </is>
      </c>
      <c r="F78" t="inlineStr" s="8">
        <is>
          <t>TRIBBIANI LOIS</t>
        </is>
      </c>
      <c r="G78" t="inlineStr" s="8">
        <is>
          <t>*EXCLUSION</t>
        </is>
      </c>
      <c r="H78" t="inlineStr" s="8">
        <is>
          <t>BANCO DAVIVIENDA</t>
        </is>
      </c>
      <c r="I78" s="9">
        <v>192172500.00</v>
      </c>
      <c r="J78" s="8"/>
      <c r="K78" s="8"/>
      <c r="L78" t="inlineStr" s="8">
        <is>
          <t>2024-04-26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9"/>
      <c r="BH78" s="9"/>
      <c r="BI78" s="9"/>
      <c r="BJ78" s="9"/>
      <c r="BK78" s="9">
        <f>SUM(M78,N78,Q78,R78,S78,T78,U78,V78,W78,X78,Y78,Z78,AA78,AB78,AC78,AD78,AE78,AF78,AG78,AH78,AI78,AJ78,AK78,AL78,AM78,AN78,AO78,AP78,AQ78,AR78,AS78,AT78,AU78,AV78,AW78,AX78,AY78,AZ78,BA78,BB78,BC78,BD78,BE78,BF78,BG78,BH78,BI78,BJ78)</f>
      </c>
      <c r="BL78" s="9">
        <f>I78-BK78</f>
      </c>
      <c r="BM78" s="9">
        <f>BL78-BN78-BO78-BP78-BQ78</f>
      </c>
      <c r="BN78" s="9"/>
      <c r="BO78" s="9"/>
      <c r="BP78" s="9"/>
      <c r="BQ78" s="9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9"/>
      <c r="CC78" s="9"/>
      <c r="CD78" t="inlineStr" s="8">
        <is>
          <t>3166520544</t>
        </is>
      </c>
      <c r="CE78" t="inlineStr" s="8">
        <is>
          <t>tribbiani.lois.75890216@example.com</t>
        </is>
      </c>
      <c r="CF78" t="inlineStr" s="8">
        <is>
          <t>FINN CEL: 3166521037</t>
        </is>
      </c>
      <c r="CG78" t="inlineStr" s="8">
        <is>
          <t>NC6686 ABR.26/24 EXCLUSION DE LOIS TRIBBIANI</t>
        </is>
      </c>
    </row>
    <row r="79" ht="13.7" customHeight="1">
      <c r="A79" t="inlineStr" s="8">
        <is>
          <t>60007919106465</t>
        </is>
      </c>
      <c r="B79" s="8"/>
      <c r="C79" t="inlineStr" s="8">
        <is>
          <t>203</t>
        </is>
      </c>
      <c r="D79" s="9">
        <v>55.20</v>
      </c>
      <c r="E79" t="inlineStr" s="8">
        <is>
          <t>75602679</t>
        </is>
      </c>
      <c r="F79" t="inlineStr" s="8">
        <is>
          <t>GREEN BRIAN</t>
        </is>
      </c>
      <c r="G79" t="inlineStr" s="8">
        <is>
          <t>*CESION/ARRAS</t>
        </is>
      </c>
      <c r="H79" t="inlineStr" s="8">
        <is>
          <t>BANCO CAJA SOCIAL</t>
        </is>
      </c>
      <c r="I79" s="9">
        <v>192172500.00</v>
      </c>
      <c r="J79" t="inlineStr" s="8">
        <is>
          <t>NC6322CESION - NCR6330 - NCR6331 - NCR6325 - NCR6332CR</t>
        </is>
      </c>
      <c r="K79" t="inlineStr" s="8">
        <is>
          <t>NCR6324 - NCR6323 - NCR6329 - NCR6326 - NCR6327 - NCR6328</t>
        </is>
      </c>
      <c r="L79" t="inlineStr" s="8">
        <is>
          <t>2024-05-28</t>
        </is>
      </c>
      <c r="M79" s="9">
        <f>29258000+12337500+764000</f>
      </c>
      <c r="N79" s="9">
        <v>18000000</v>
      </c>
      <c r="O79" t="inlineStr" s="8">
        <is>
          <t>MAY.26/24</t>
        </is>
      </c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>
        <v>16813000</v>
      </c>
      <c r="AD79" s="10"/>
      <c r="AE79" s="10">
        <v>10262000</v>
      </c>
      <c r="AF79" s="10">
        <f>109000+21398000</f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>
        <v>4694000</v>
      </c>
      <c r="AS79" s="10"/>
      <c r="AT79" s="10"/>
      <c r="AU79" s="10">
        <v>13537000</v>
      </c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9">
        <v>65000000</v>
      </c>
      <c r="BH79" s="9"/>
      <c r="BI79" s="9"/>
      <c r="BJ79" s="9"/>
      <c r="BK79" s="9">
        <f>SUM(M79,N79,Q79,R79,S79,T79,U79,V79,W79,X79,Y79,Z79,AA79,AB79,AC79,AD79,AE79,AF79,AG79,AH79,AI79,AJ79,AK79,AL79,AM79,AN79,AO79,AP79,AQ79,AR79,AS79,AT79,AU79,AV79,AW79,AX79,AY79,AZ79,BA79,BB79,BC79,BD79,BE79,BF79,BG79,BH79,BI79,BJ79)</f>
      </c>
      <c r="BL79" s="9">
        <f>I79-BK79</f>
      </c>
      <c r="BM79" s="9">
        <f>BL79-BN79-BO79-BP79-BQ79</f>
      </c>
      <c r="BN79" s="9"/>
      <c r="BO79" s="9"/>
      <c r="BP79" s="9"/>
      <c r="BQ79" s="9"/>
      <c r="BR79" s="8"/>
      <c r="BS79" t="inlineStr" s="8">
        <is>
          <t>2023-02-21</t>
        </is>
      </c>
      <c r="BT79" t="inlineStr" s="8">
        <is>
          <t>2023-05-08</t>
        </is>
      </c>
      <c r="BU79" t="inlineStr" s="8">
        <is>
          <t>2024-10-17</t>
        </is>
      </c>
      <c r="BV79" s="8"/>
      <c r="BW79" s="8"/>
      <c r="BX79" s="8"/>
      <c r="BY79" s="8"/>
      <c r="BZ79" s="8"/>
      <c r="CA79" s="8"/>
      <c r="CB79" s="9"/>
      <c r="CC79" s="9"/>
      <c r="CD79" t="inlineStr" s="8">
        <is>
          <t>3166477803</t>
        </is>
      </c>
      <c r="CE79" t="inlineStr" s="8">
        <is>
          <t>green.brian.75602679@example.com</t>
        </is>
      </c>
      <c r="CF79" t="inlineStr" s="8">
        <is>
          <t>FLINTSTONE FRED CEL: 3166479218</t>
        </is>
      </c>
      <c r="CG79" t="inlineStr" s="8">
        <is>
          <t>NC6322 MAY.28/24 CESION DE BRIAN GREEN/MONICA WAYNE A SAMWISE SOLO *ANTIC $18.000.000 *ARRAS $4'640</t>
        </is>
      </c>
    </row>
    <row r="80" ht="13.7" customHeight="1">
      <c r="A80" t="inlineStr" s="8">
        <is>
          <t>60007919106465</t>
        </is>
      </c>
      <c r="B80" s="8"/>
      <c r="C80" t="inlineStr" s="8">
        <is>
          <t>203</t>
        </is>
      </c>
      <c r="D80" s="9">
        <v>55.20</v>
      </c>
      <c r="E80" t="inlineStr" s="8">
        <is>
          <t>75608028</t>
        </is>
      </c>
      <c r="F80" t="inlineStr" s="8">
        <is>
          <t>SOLO SAMWISE</t>
        </is>
      </c>
      <c r="G80" t="inlineStr" s="8">
        <is>
          <t>*CESION/ARRAS</t>
        </is>
      </c>
      <c r="H80" t="inlineStr" s="8">
        <is>
          <t>BANCO CAJA SOCIAL</t>
        </is>
      </c>
      <c r="I80" s="9">
        <v>192172500.00</v>
      </c>
      <c r="J80" t="inlineStr" s="8">
        <is>
          <t>NC6322CESION - NCR6330 - NCR6331 - NCR6325 - NCR6332CR</t>
        </is>
      </c>
      <c r="K80" t="inlineStr" s="8">
        <is>
          <t>NCR6324 - NCR6323 - NCR6329 - NCR6326 - NCR6327 - NCR6328</t>
        </is>
      </c>
      <c r="L80" t="inlineStr" s="8">
        <is>
          <t>2024-05-28</t>
        </is>
      </c>
      <c r="M80" s="9">
        <f>29258000+12337500+764000</f>
      </c>
      <c r="N80" s="9">
        <v>18000000</v>
      </c>
      <c r="O80" t="inlineStr" s="8">
        <is>
          <t>MAY.26/24</t>
        </is>
      </c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16813000</v>
      </c>
      <c r="AD80" s="10"/>
      <c r="AE80" s="10">
        <v>10262000</v>
      </c>
      <c r="AF80" s="10">
        <f>109000+21398000</f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>
        <v>4694000</v>
      </c>
      <c r="AS80" s="10"/>
      <c r="AT80" s="10"/>
      <c r="AU80" s="10">
        <v>13537000</v>
      </c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9">
        <v>65000000</v>
      </c>
      <c r="BH80" s="9"/>
      <c r="BI80" s="9"/>
      <c r="BJ80" s="9"/>
      <c r="BK80" s="9">
        <f>SUM(M80,N80,Q80,R80,S80,T80,U80,V80,W80,X80,Y80,Z80,AA80,AB80,AC80,AD80,AE80,AF80,AG80,AH80,AI80,AJ80,AK80,AL80,AM80,AN80,AO80,AP80,AQ80,AR80,AS80,AT80,AU80,AV80,AW80,AX80,AY80,AZ80,BA80,BB80,BC80,BD80,BE80,BF80,BG80,BH80,BI80,BJ80)</f>
      </c>
      <c r="BL80" s="9">
        <f>I80-BK80</f>
      </c>
      <c r="BM80" s="9">
        <f>BL80-BN80-BO80-BP80-BQ80</f>
      </c>
      <c r="BN80" s="9"/>
      <c r="BO80" s="9"/>
      <c r="BP80" s="9"/>
      <c r="BQ80" s="9"/>
      <c r="BR80" s="8"/>
      <c r="BS80" t="inlineStr" s="8">
        <is>
          <t>2023-02-21</t>
        </is>
      </c>
      <c r="BT80" t="inlineStr" s="8">
        <is>
          <t>2023-05-08</t>
        </is>
      </c>
      <c r="BU80" t="inlineStr" s="8">
        <is>
          <t>2024-10-17</t>
        </is>
      </c>
      <c r="BV80" s="8"/>
      <c r="BW80" s="8"/>
      <c r="BX80" s="8"/>
      <c r="BY80" s="8"/>
      <c r="BZ80" s="8"/>
      <c r="CA80" s="8"/>
      <c r="CB80" s="9"/>
      <c r="CC80" s="9"/>
      <c r="CD80" t="inlineStr" s="8">
        <is>
          <t>3166479047</t>
        </is>
      </c>
      <c r="CE80" t="inlineStr" s="8">
        <is>
          <t>solo.samwise.75608028@example.com</t>
        </is>
      </c>
      <c r="CF80" t="inlineStr" s="8">
        <is>
          <t>FLINTSTONE FRED CEL: 3166479218</t>
        </is>
      </c>
      <c r="CG80" t="inlineStr" s="8">
        <is>
          <t>NC6322 MAY.28/24 CESION DE BRIAN GREEN/MONICA WAYNE A SAMWISE SOLO *ANTIC $18.000.000 *ARRAS $4'640</t>
        </is>
      </c>
    </row>
    <row r="81" ht="13.7" customHeight="1">
      <c r="A81" t="inlineStr" s="8">
        <is>
          <t>60007919106598</t>
        </is>
      </c>
      <c r="B81" s="8"/>
      <c r="C81" t="inlineStr" s="8">
        <is>
          <t>204</t>
        </is>
      </c>
      <c r="D81" s="9">
        <v>55.20</v>
      </c>
      <c r="E81" t="inlineStr" s="8">
        <is>
          <t>75615284</t>
        </is>
      </c>
      <c r="F81" t="inlineStr" s="8">
        <is>
          <t>GREENLEAF CLEVELAND</t>
        </is>
      </c>
      <c r="G81" t="inlineStr" s="8">
        <is>
          <t>*INCLUSION</t>
        </is>
      </c>
      <c r="H81" t="inlineStr" s="8">
        <is>
          <t>BANCOLOMBIA</t>
        </is>
      </c>
      <c r="I81" s="9">
        <v>192172500.00</v>
      </c>
      <c r="J81" s="8"/>
      <c r="K81" s="8"/>
      <c r="L81" t="inlineStr" s="8">
        <is>
          <t>2024-12-06</t>
        </is>
      </c>
      <c r="M81" s="9"/>
      <c r="N81" s="9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9"/>
      <c r="BH81" s="9"/>
      <c r="BI81" s="9"/>
      <c r="BJ81" s="9"/>
      <c r="BK81" s="9">
        <f>SUM(M81,N81,Q81,R81,S81,T81,U81,V81,W81,X81,Y81,Z81,AA81,AB81,AC81,AD81,AE81,AF81,AG81,AH81,AI81,AJ81,AK81,AL81,AM81,AN81,AO81,AP81,AQ81,AR81,AS81,AT81,AU81,AV81,AW81,AX81,AY81,AZ81,BA81,BB81,BC81,BD81,BE81,BF81,BG81,BH81,BI81,BJ81)</f>
      </c>
      <c r="BL81" s="9">
        <f>I81-BK81</f>
      </c>
      <c r="BM81" s="9">
        <f>BL81-BN81-BO81-BP81-BQ81</f>
      </c>
      <c r="BN81" s="9"/>
      <c r="BO81" s="9"/>
      <c r="BP81" s="9"/>
      <c r="BQ81" s="9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9"/>
      <c r="CC81" s="9"/>
      <c r="CD81" t="inlineStr" s="8">
        <is>
          <t>3166480151</t>
        </is>
      </c>
      <c r="CE81" t="inlineStr" s="8">
        <is>
          <t>greenleaf.cleveland.75615284@example.com</t>
        </is>
      </c>
      <c r="CF81" t="inlineStr" s="8">
        <is>
          <t>BUNNY BUGS CEL: 3166481790</t>
        </is>
      </c>
      <c r="CG81" t="inlineStr" s="8">
        <is>
          <t>NC6333 DIC.6/24 INCLUSION FERRIS SMITH</t>
        </is>
      </c>
    </row>
    <row r="82" ht="13.7" customHeight="1">
      <c r="A82" t="inlineStr" s="8">
        <is>
          <t>60007919107293</t>
        </is>
      </c>
      <c r="B82" s="8"/>
      <c r="C82" t="inlineStr" s="8">
        <is>
          <t>302</t>
        </is>
      </c>
      <c r="D82" s="9">
        <v>55.20</v>
      </c>
      <c r="E82" t="inlineStr" s="8">
        <is>
          <t>75665687</t>
        </is>
      </c>
      <c r="F82" t="inlineStr" s="8">
        <is>
          <t>SIMPSON AMY</t>
        </is>
      </c>
      <c r="G82" t="inlineStr" s="8">
        <is>
          <t>*CESION/ARRAS</t>
        </is>
      </c>
      <c r="H82" s="8"/>
      <c r="I82" s="9">
        <v>192172500.00</v>
      </c>
      <c r="J82" t="inlineStr" s="8">
        <is>
          <t>NC6377CESION</t>
        </is>
      </c>
      <c r="K82" t="inlineStr" s="8">
        <is>
          <t>NCR6382 - NCR6381 - NCR6378 - NCR6380 - NCR6379</t>
        </is>
      </c>
      <c r="L82" t="inlineStr" s="8">
        <is>
          <t>2024-12-12</t>
        </is>
      </c>
      <c r="M82" s="9"/>
      <c r="N82" s="9">
        <v>12000000</v>
      </c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>
        <f>88825000+12792000+17297000</f>
      </c>
      <c r="AP82" s="10"/>
      <c r="AQ82" s="10"/>
      <c r="AR82" s="10"/>
      <c r="AS82" s="10"/>
      <c r="AT82" s="10"/>
      <c r="AU82" s="10">
        <v>13513000</v>
      </c>
      <c r="AV82" s="10"/>
      <c r="AW82" s="10">
        <v>47745500</v>
      </c>
      <c r="AX82" s="10"/>
      <c r="AY82" s="10"/>
      <c r="AZ82" s="10"/>
      <c r="BA82" s="10"/>
      <c r="BB82" s="10"/>
      <c r="BC82" s="10"/>
      <c r="BD82" s="10"/>
      <c r="BE82" s="10"/>
      <c r="BF82" s="10"/>
      <c r="BG82" s="9"/>
      <c r="BH82" s="9"/>
      <c r="BI82" s="9"/>
      <c r="BJ82" s="9"/>
      <c r="BK82" s="9">
        <f>SUM(M82,N82,Q82,R82,S82,T82,U82,V82,W82,X82,Y82,Z82,AA82,AB82,AC82,AD82,AE82,AF82,AG82,AH82,AI82,AJ82,AK82,AL82,AM82,AN82,AO82,AP82,AQ82,AR82,AS82,AT82,AU82,AV82,AW82,AX82,AY82,AZ82,BA82,BB82,BC82,BD82,BE82,BF82,BG82,BH82,BI82,BJ82)</f>
      </c>
      <c r="BL82" s="9">
        <f>I82-BK82</f>
      </c>
      <c r="BM82" s="9">
        <f>BL82-BN82-BO82-BP82-BQ82</f>
      </c>
      <c r="BN82" s="9"/>
      <c r="BO82" s="9"/>
      <c r="BP82" s="9"/>
      <c r="BQ82" s="9"/>
      <c r="BR82" s="8"/>
      <c r="BS82" t="inlineStr" s="8">
        <is>
          <t>2024-04-06</t>
        </is>
      </c>
      <c r="BT82" t="inlineStr" s="8">
        <is>
          <t>2024-05-14</t>
        </is>
      </c>
      <c r="BU82" s="8"/>
      <c r="BV82" s="8"/>
      <c r="BW82" s="8"/>
      <c r="BX82" s="8"/>
      <c r="BY82" s="8"/>
      <c r="BZ82" s="8"/>
      <c r="CA82" s="8"/>
      <c r="CB82" s="9"/>
      <c r="CC82" s="9"/>
      <c r="CD82" t="inlineStr" s="8">
        <is>
          <t>3166486611</t>
        </is>
      </c>
      <c r="CE82" t="inlineStr" s="8">
        <is>
          <t>simpson.amy.75665687@example.com</t>
        </is>
      </c>
      <c r="CF82" t="inlineStr" s="8">
        <is>
          <t>JETSON GEORGE CEL: 3166487653</t>
        </is>
      </c>
      <c r="CG82" t="inlineStr" s="8">
        <is>
          <t>NC6377 DIC.12/24 CESION DE AMY SIMPSON A WILL PINKMAN/JESSE MARPLE *ANTIC $12.000.000 *ARRAS $4'640</t>
        </is>
      </c>
    </row>
    <row r="83" ht="13.7" customHeight="1">
      <c r="A83" t="inlineStr" s="8">
        <is>
          <t>60007919108131</t>
        </is>
      </c>
      <c r="B83" s="8"/>
      <c r="C83" t="inlineStr" s="8">
        <is>
          <t>405</t>
        </is>
      </c>
      <c r="D83" s="9">
        <v>55.20</v>
      </c>
      <c r="E83" t="inlineStr" s="8">
        <is>
          <t>75754224</t>
        </is>
      </c>
      <c r="F83" t="inlineStr" s="8">
        <is>
          <t>DECKER LEIA</t>
        </is>
      </c>
      <c r="G83" t="inlineStr" s="8">
        <is>
          <t>*DESISTIM/ARRAS</t>
        </is>
      </c>
      <c r="H83" t="inlineStr" s="8">
        <is>
          <t>BBVA</t>
        </is>
      </c>
      <c r="I83" s="9">
        <v>192172500.00</v>
      </c>
      <c r="J83" s="8"/>
      <c r="K83" s="8"/>
      <c r="L83" s="8"/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9"/>
      <c r="BH83" s="9"/>
      <c r="BI83" s="9"/>
      <c r="BJ83" s="9"/>
      <c r="BK83" s="9">
        <f>SUM(M83,N83,Q83,R83,S83,T83,U83,V83,W83,X83,Y83,Z83,AA83,AB83,AC83,AD83,AE83,AF83,AG83,AH83,AI83,AJ83,AK83,AL83,AM83,AN83,AO83,AP83,AQ83,AR83,AS83,AT83,AU83,AV83,AW83,AX83,AY83,AZ83,BA83,BB83,BC83,BD83,BE83,BF83,BG83,BH83,BI83,BJ83)</f>
      </c>
      <c r="BL83" s="9">
        <f>I83-BK83</f>
      </c>
      <c r="BM83" s="9">
        <f>BL83-BN83-BO83-BP83-BQ83</f>
      </c>
      <c r="BN83" s="9"/>
      <c r="BO83" s="9"/>
      <c r="BP83" s="9"/>
      <c r="BQ83" s="9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9"/>
      <c r="CC83" s="9"/>
      <c r="CD83" t="inlineStr" s="8">
        <is>
          <t>3166497134</t>
        </is>
      </c>
      <c r="CE83" t="inlineStr" s="8">
        <is>
          <t>decker.leia.75754224@example.com</t>
        </is>
      </c>
      <c r="CF83" t="inlineStr" s="8">
        <is>
          <t>JAKE CEL: 3166497483</t>
        </is>
      </c>
      <c r="CG83" t="inlineStr" s="8">
        <is>
          <t>NC6468 MAY.1/22 DESISTIMIENTO POR ARRAS LEIA DECKER</t>
        </is>
      </c>
    </row>
    <row r="84" ht="13.7" customHeight="1">
      <c r="A84" t="inlineStr" s="8">
        <is>
          <t>60007919108067</t>
        </is>
      </c>
      <c r="B84" s="8"/>
      <c r="C84" t="inlineStr" s="8">
        <is>
          <t>404</t>
        </is>
      </c>
      <c r="D84" s="9">
        <v>55.20</v>
      </c>
      <c r="E84" t="inlineStr" s="8">
        <is>
          <t>75746281</t>
        </is>
      </c>
      <c r="F84" t="inlineStr" s="8">
        <is>
          <t>GRANGER MIKE</t>
        </is>
      </c>
      <c r="G84" t="inlineStr" s="8">
        <is>
          <t>*DESISTIM/ARRAS</t>
        </is>
      </c>
      <c r="H84" s="8"/>
      <c r="I84" s="9">
        <v>192172500.00</v>
      </c>
      <c r="J84" s="8"/>
      <c r="K84" s="8"/>
      <c r="L84" s="8"/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9"/>
      <c r="BH84" s="9"/>
      <c r="BI84" s="9"/>
      <c r="BJ84" s="9"/>
      <c r="BK84" s="9">
        <f>SUM(M84,N84,Q84,R84,S84,T84,U84,V84,W84,X84,Y84,Z84,AA84,AB84,AC84,AD84,AE84,AF84,AG84,AH84,AI84,AJ84,AK84,AL84,AM84,AN84,AO84,AP84,AQ84,AR84,AS84,AT84,AU84,AV84,AW84,AX84,AY84,AZ84,BA84,BB84,BC84,BD84,BE84,BF84,BG84,BH84,BI84,BJ84)</f>
      </c>
      <c r="BL84" s="9">
        <f>I84-BK84</f>
      </c>
      <c r="BM84" s="9">
        <f>BL84-BN84-BO84-BP84-BQ84</f>
      </c>
      <c r="BN84" s="9"/>
      <c r="BO84" s="9"/>
      <c r="BP84" s="9"/>
      <c r="BQ84" s="9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9"/>
      <c r="CC84" s="9"/>
      <c r="CD84" t="inlineStr" s="8">
        <is>
          <t>3166495782</t>
        </is>
      </c>
      <c r="CE84" t="inlineStr" s="8">
        <is>
          <t>granger.mike.75746281@example.com</t>
        </is>
      </c>
      <c r="CF84" t="inlineStr" s="8">
        <is>
          <t>FINN CEL: 3166496682</t>
        </is>
      </c>
      <c r="CG84" t="inlineStr" s="8">
        <is>
          <t>NC6460 NOV.9/23 DESISTIMIENTO POR ARRAS MIKE GRANGER</t>
        </is>
      </c>
    </row>
    <row r="85" ht="13.7" customHeight="1">
      <c r="A85" t="inlineStr" s="8">
        <is>
          <t>60007919108695</t>
        </is>
      </c>
      <c r="B85" s="8"/>
      <c r="C85" t="inlineStr" s="8">
        <is>
          <t>505</t>
        </is>
      </c>
      <c r="D85" s="9">
        <v>55.20</v>
      </c>
      <c r="E85" t="inlineStr" s="8">
        <is>
          <t>75805922</t>
        </is>
      </c>
      <c r="F85" t="inlineStr" s="8">
        <is>
          <t>HALPERT LOIS</t>
        </is>
      </c>
      <c r="G85" t="inlineStr" s="8">
        <is>
          <t>*DESISTIM/ARRAS</t>
        </is>
      </c>
      <c r="H85" t="inlineStr" s="8">
        <is>
          <t>BANCO CAJA SOCIAL</t>
        </is>
      </c>
      <c r="I85" s="9">
        <v>192172500.00</v>
      </c>
      <c r="J85" s="8"/>
      <c r="K85" s="8"/>
      <c r="L85" s="8"/>
      <c r="M85" s="9"/>
      <c r="N85" s="9"/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9"/>
      <c r="BH85" s="9"/>
      <c r="BI85" s="9"/>
      <c r="BJ85" s="9"/>
      <c r="BK85" s="9">
        <f>SUM(M85,N85,Q85,R85,S85,T85,U85,V85,W85,X85,Y85,Z85,AA85,AB85,AC85,AD85,AE85,AF85,AG85,AH85,AI85,AJ85,AK85,AL85,AM85,AN85,AO85,AP85,AQ85,AR85,AS85,AT85,AU85,AV85,AW85,AX85,AY85,AZ85,BA85,BB85,BC85,BD85,BE85,BF85,BG85,BH85,BI85,BJ85)</f>
      </c>
      <c r="BL85" s="9">
        <f>I85-BK85</f>
      </c>
      <c r="BM85" s="9">
        <f>BL85-BN85-BO85-BP85-BQ85</f>
      </c>
      <c r="BN85" s="9"/>
      <c r="BO85" s="9"/>
      <c r="BP85" s="9"/>
      <c r="BQ85" s="9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9"/>
      <c r="CC85" s="9"/>
      <c r="CD85" t="inlineStr" s="8">
        <is>
          <t>3166505799</t>
        </is>
      </c>
      <c r="CE85" t="inlineStr" s="8">
        <is>
          <t>halpert.lois.75805922@example.com</t>
        </is>
      </c>
      <c r="CF85" t="inlineStr" s="8">
        <is>
          <t>MOUSE MICKEY CEL: 3166505939</t>
        </is>
      </c>
      <c r="CG85" t="inlineStr" s="8">
        <is>
          <t>NC6546 NOV.28/23 DESISTIMIENTO POR ARRAS LOIS HALPERT</t>
        </is>
      </c>
    </row>
  </sheetData>
</worksheet>
</file>